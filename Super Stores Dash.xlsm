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OWNER\Desktop\Portfolio\Sales Analytics Dashboard\"/>
    </mc:Choice>
  </mc:AlternateContent>
  <xr:revisionPtr revIDLastSave="0" documentId="13_ncr:1_{315CE57C-B605-4BC2-8410-01524B1DB24E}" xr6:coauthVersionLast="47" xr6:coauthVersionMax="47" xr10:uidLastSave="{00000000-0000-0000-0000-000000000000}"/>
  <workbookProtection workbookAlgorithmName="SHA-512" workbookHashValue="2J8zOZTf3QcQsZY9zevfhKv/ulxywGDQ3VpBYQu+5Gyruj94hfZ6lBD1MG2ORMpzvvrR1n+jMXaVow6AcGk/sg==" workbookSaltValue="fOBiMTfgH/h3zzZvFzFPkA==" workbookSpinCount="100000" lockStructure="1"/>
  <bookViews>
    <workbookView xWindow="-120" yWindow="-120" windowWidth="20730" windowHeight="11160" activeTab="2" xr2:uid="{00000000-000D-0000-FFFF-FFFF00000000}"/>
  </bookViews>
  <sheets>
    <sheet name="Data" sheetId="1" r:id="rId1"/>
    <sheet name="Sheet2" sheetId="2" state="hidden" r:id="rId2"/>
    <sheet name="Dashboard" sheetId="3" r:id="rId3"/>
  </sheets>
  <definedNames>
    <definedName name="_xlnm._FilterDatabase" localSheetId="0" hidden="1">Data!$F$1:$F$2824</definedName>
    <definedName name="Slicer_COUNTRY">#N/A</definedName>
    <definedName name="Slicer_PRODUCTLINE">#N/A</definedName>
    <definedName name="Slicer_Years__ORDERDAT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2" l="1"/>
  <c r="J3" i="2"/>
  <c r="J2" i="2"/>
  <c r="J1" i="2"/>
  <c r="J7" i="2"/>
  <c r="J5" i="2"/>
  <c r="J6" i="2"/>
</calcChain>
</file>

<file path=xl/sharedStrings.xml><?xml version="1.0" encoding="utf-8"?>
<sst xmlns="http://schemas.openxmlformats.org/spreadsheetml/2006/main" count="22880" uniqueCount="359">
  <si>
    <t>ORDERNUMBER</t>
  </si>
  <si>
    <t>PRODUCTCODE</t>
  </si>
  <si>
    <t>CUSTOMERNAME</t>
  </si>
  <si>
    <t>CITY</t>
  </si>
  <si>
    <t>COUNTRY</t>
  </si>
  <si>
    <t>TERRITORY</t>
  </si>
  <si>
    <t>DEALSIZE</t>
  </si>
  <si>
    <t>ORDERLINENUMBER</t>
  </si>
  <si>
    <t>QUANTITYORDERED</t>
  </si>
  <si>
    <t>PRICEEACH</t>
  </si>
  <si>
    <t>MSRP</t>
  </si>
  <si>
    <t>SALES</t>
  </si>
  <si>
    <t>PROFIT_LOSS</t>
  </si>
  <si>
    <t>ORDERDATE</t>
  </si>
  <si>
    <t>STATUS</t>
  </si>
  <si>
    <t>QTR_ID</t>
  </si>
  <si>
    <t>MONTH_ID</t>
  </si>
  <si>
    <t>YEAR_ID</t>
  </si>
  <si>
    <t>PRODUCTLINE</t>
  </si>
  <si>
    <t>S10_1678</t>
  </si>
  <si>
    <t>Land of Toys Inc.</t>
  </si>
  <si>
    <t>NYC</t>
  </si>
  <si>
    <t>USA</t>
  </si>
  <si>
    <t>North America</t>
  </si>
  <si>
    <t>Small</t>
  </si>
  <si>
    <t>Shipped</t>
  </si>
  <si>
    <t>Motorcycles</t>
  </si>
  <si>
    <t>Reims Collectables</t>
  </si>
  <si>
    <t>Reims</t>
  </si>
  <si>
    <t>France</t>
  </si>
  <si>
    <t>EMEA</t>
  </si>
  <si>
    <t>Lyon Souveniers</t>
  </si>
  <si>
    <t>Paris</t>
  </si>
  <si>
    <t>Medium</t>
  </si>
  <si>
    <t>Toys4GrownUps.com</t>
  </si>
  <si>
    <t>Pasadena</t>
  </si>
  <si>
    <t>Corporate Gift Ideas Co.</t>
  </si>
  <si>
    <t>San Francisco</t>
  </si>
  <si>
    <t>Technics Stores Inc.</t>
  </si>
  <si>
    <t>Burlingame</t>
  </si>
  <si>
    <t>Daedalus Designs Imports</t>
  </si>
  <si>
    <t>Lille</t>
  </si>
  <si>
    <t>Herkku Gifts</t>
  </si>
  <si>
    <t>Bergen</t>
  </si>
  <si>
    <t>Norway</t>
  </si>
  <si>
    <t>Mini Wheels Co.</t>
  </si>
  <si>
    <t>Auto Canal Petit</t>
  </si>
  <si>
    <t>Australian Collectors, Co.</t>
  </si>
  <si>
    <t>Melbourne</t>
  </si>
  <si>
    <t>Australia</t>
  </si>
  <si>
    <t>APAC</t>
  </si>
  <si>
    <t>Vitachrome Inc.</t>
  </si>
  <si>
    <t>Tekni Collectables Inc.</t>
  </si>
  <si>
    <t>Newark</t>
  </si>
  <si>
    <t>Gift Depot Inc.</t>
  </si>
  <si>
    <t>Bridgewater</t>
  </si>
  <si>
    <t>La Rochelle Gifts</t>
  </si>
  <si>
    <t>Nantes</t>
  </si>
  <si>
    <t>Marta's Replicas Co.</t>
  </si>
  <si>
    <t>Cambridge</t>
  </si>
  <si>
    <t>Toys of Finland, Co.</t>
  </si>
  <si>
    <t>Helsinki</t>
  </si>
  <si>
    <t>Finland</t>
  </si>
  <si>
    <t>Baane Mini Imports</t>
  </si>
  <si>
    <t>Stavern</t>
  </si>
  <si>
    <t>Diecast Classics Inc.</t>
  </si>
  <si>
    <t>Allentown</t>
  </si>
  <si>
    <t>Salzburg Collectables</t>
  </si>
  <si>
    <t>Salzburg</t>
  </si>
  <si>
    <t>Austria</t>
  </si>
  <si>
    <t>Large</t>
  </si>
  <si>
    <t>Souveniers And Things Co.</t>
  </si>
  <si>
    <t>Chatswood</t>
  </si>
  <si>
    <t>FunGiftIdeas.com</t>
  </si>
  <si>
    <t>New Bedford</t>
  </si>
  <si>
    <t>UK Collectables, Ltd.</t>
  </si>
  <si>
    <t>Liverpool</t>
  </si>
  <si>
    <t>UK</t>
  </si>
  <si>
    <t>Euro Shopping Channel</t>
  </si>
  <si>
    <t>Madrid</t>
  </si>
  <si>
    <t>Spain</t>
  </si>
  <si>
    <t>Disputed</t>
  </si>
  <si>
    <t>S10_1949</t>
  </si>
  <si>
    <t>Classic Cars</t>
  </si>
  <si>
    <t>Volvo Model Replicas, Co</t>
  </si>
  <si>
    <t>Lule</t>
  </si>
  <si>
    <t>Sweden</t>
  </si>
  <si>
    <t>Corrida Auto Replicas, Ltd</t>
  </si>
  <si>
    <t>Dragon Souveniers, Ltd.</t>
  </si>
  <si>
    <t>Singapore</t>
  </si>
  <si>
    <t>Classic Legends Inc.</t>
  </si>
  <si>
    <t>Australian Gift Network, Co</t>
  </si>
  <si>
    <t>South Brisbane</t>
  </si>
  <si>
    <t>Classic Gift Ideas, Inc</t>
  </si>
  <si>
    <t>Philadelphia</t>
  </si>
  <si>
    <t>Saveley &amp; Henriot, Co.</t>
  </si>
  <si>
    <t>Lyon</t>
  </si>
  <si>
    <t>Canadian Gift Exchange Network</t>
  </si>
  <si>
    <t>Vancouver</t>
  </si>
  <si>
    <t>Canada</t>
  </si>
  <si>
    <t>West Coast Collectables Co.</t>
  </si>
  <si>
    <t>Burbank</t>
  </si>
  <si>
    <t>Cambridge Collectables Co.</t>
  </si>
  <si>
    <t>Super Scale Inc.</t>
  </si>
  <si>
    <t>New Haven</t>
  </si>
  <si>
    <t>Tokyo Collectables, Ltd</t>
  </si>
  <si>
    <t>Minato-ku</t>
  </si>
  <si>
    <t>Japan</t>
  </si>
  <si>
    <t>Amica Models &amp; Co.</t>
  </si>
  <si>
    <t>Torino</t>
  </si>
  <si>
    <t>Italy</t>
  </si>
  <si>
    <t>Scandinavian Gift Ideas</t>
  </si>
  <si>
    <t>Boras</t>
  </si>
  <si>
    <t>Auto Assoc. &amp; Cie.</t>
  </si>
  <si>
    <t>Versailles</t>
  </si>
  <si>
    <t>Mini Gifts Distributors Ltd.</t>
  </si>
  <si>
    <t>San Rafael</t>
  </si>
  <si>
    <t>Online Diecast Creations Co.</t>
  </si>
  <si>
    <t>Nashua</t>
  </si>
  <si>
    <t>Collectables For Less Inc.</t>
  </si>
  <si>
    <t>Brickhaven</t>
  </si>
  <si>
    <t>Anna's Decorations, Ltd</t>
  </si>
  <si>
    <t>North Sydney</t>
  </si>
  <si>
    <t>Quebec Home Shopping Network</t>
  </si>
  <si>
    <t>Montreal</t>
  </si>
  <si>
    <t>In Process</t>
  </si>
  <si>
    <t>S10_2016</t>
  </si>
  <si>
    <t>Osaka Souveniers Co.</t>
  </si>
  <si>
    <t>Osaka</t>
  </si>
  <si>
    <t>Motor Mint Distributors Inc.</t>
  </si>
  <si>
    <t>Atelier graphique</t>
  </si>
  <si>
    <t>Mini Classics</t>
  </si>
  <si>
    <t>White Plains</t>
  </si>
  <si>
    <t>S10_4698</t>
  </si>
  <si>
    <t>S10_4757</t>
  </si>
  <si>
    <t>Danish Wholesale Imports</t>
  </si>
  <si>
    <t>Kobenhavn</t>
  </si>
  <si>
    <t>Denmark</t>
  </si>
  <si>
    <t>Stylish Desk Decors, Co.</t>
  </si>
  <si>
    <t>London</t>
  </si>
  <si>
    <t>Mini Creations Ltd.</t>
  </si>
  <si>
    <t>Cancelled</t>
  </si>
  <si>
    <t>Alpha Cognac</t>
  </si>
  <si>
    <t>Toulouse</t>
  </si>
  <si>
    <t>Double Decker Gift Stores, Ltd</t>
  </si>
  <si>
    <t>Enaco Distributors</t>
  </si>
  <si>
    <t>Barcelona</t>
  </si>
  <si>
    <t>Men 'R' US Retailers, Ltd.</t>
  </si>
  <si>
    <t>Los Angeles</t>
  </si>
  <si>
    <t>Collectable Mini Designs Co.</t>
  </si>
  <si>
    <t>San Diego</t>
  </si>
  <si>
    <t>Petit Auto</t>
  </si>
  <si>
    <t>Bruxelles</t>
  </si>
  <si>
    <t>Belgium</t>
  </si>
  <si>
    <t>Royal Canadian Collectables, Ltd.</t>
  </si>
  <si>
    <t>Tsawassen</t>
  </si>
  <si>
    <t>Gifts4AllAges.com</t>
  </si>
  <si>
    <t>Boston</t>
  </si>
  <si>
    <t>giftsbymail.co.uk</t>
  </si>
  <si>
    <t>Cowes</t>
  </si>
  <si>
    <t>Oulu Toy Supplies, Inc.</t>
  </si>
  <si>
    <t>Oulu</t>
  </si>
  <si>
    <t>The Sharp Gifts Warehouse</t>
  </si>
  <si>
    <t>San Jose</t>
  </si>
  <si>
    <t>On Hold</t>
  </si>
  <si>
    <t>S10_4962</t>
  </si>
  <si>
    <t>La Corne D'abondance, Co.</t>
  </si>
  <si>
    <t>Mini Auto Werke</t>
  </si>
  <si>
    <t>Graz</t>
  </si>
  <si>
    <t>Resolved</t>
  </si>
  <si>
    <t>Diecast Collectables</t>
  </si>
  <si>
    <t>Handji Gifts&amp; Co</t>
  </si>
  <si>
    <t>S12_1099</t>
  </si>
  <si>
    <t>Cruz &amp; Sons Co.</t>
  </si>
  <si>
    <t>Makati City</t>
  </si>
  <si>
    <t>Philippines</t>
  </si>
  <si>
    <t>Marseille Mini Autos</t>
  </si>
  <si>
    <t>Marseille</t>
  </si>
  <si>
    <t>Toms Spezialitten, Ltd</t>
  </si>
  <si>
    <t>Koln</t>
  </si>
  <si>
    <t>Germany</t>
  </si>
  <si>
    <t>Vida Sport, Ltd</t>
  </si>
  <si>
    <t>Gensve</t>
  </si>
  <si>
    <t>Switzerland</t>
  </si>
  <si>
    <t>L'ordine Souveniers</t>
  </si>
  <si>
    <t>Reggio Emilia</t>
  </si>
  <si>
    <t>Online Mini Collectables</t>
  </si>
  <si>
    <t>Blauer See Auto, Co.</t>
  </si>
  <si>
    <t>Frankfurt</t>
  </si>
  <si>
    <t>Suominen Souveniers</t>
  </si>
  <si>
    <t>Espoo</t>
  </si>
  <si>
    <t>S12_1108</t>
  </si>
  <si>
    <t>Muscle Machine Inc</t>
  </si>
  <si>
    <t>Clover Collections, Co.</t>
  </si>
  <si>
    <t>Dublin</t>
  </si>
  <si>
    <t>Ireland</t>
  </si>
  <si>
    <t>CAF Imports</t>
  </si>
  <si>
    <t>AV Stores, Co.</t>
  </si>
  <si>
    <t>Manchester</t>
  </si>
  <si>
    <t>Heintze Collectables</t>
  </si>
  <si>
    <t>Aaarhus</t>
  </si>
  <si>
    <t>S12_1666</t>
  </si>
  <si>
    <t>Trucks and Buses</t>
  </si>
  <si>
    <t>S12_2823</t>
  </si>
  <si>
    <t>Microscale Inc.</t>
  </si>
  <si>
    <t>S12_3148</t>
  </si>
  <si>
    <t>S12_3380</t>
  </si>
  <si>
    <t>Boards &amp; Toys Co.</t>
  </si>
  <si>
    <t>Glendale</t>
  </si>
  <si>
    <t>S12_3891</t>
  </si>
  <si>
    <t>S12_3990</t>
  </si>
  <si>
    <t>S12_4473</t>
  </si>
  <si>
    <t>Iberia Gift Imports, Corp.</t>
  </si>
  <si>
    <t>Sevilla</t>
  </si>
  <si>
    <t>Signal Collectibles Ltd.</t>
  </si>
  <si>
    <t>Brisbane</t>
  </si>
  <si>
    <t>S12_4675</t>
  </si>
  <si>
    <t>Mini Caravy</t>
  </si>
  <si>
    <t>Strasbourg</t>
  </si>
  <si>
    <t>S18_1097</t>
  </si>
  <si>
    <t>S18_1129</t>
  </si>
  <si>
    <t>Signal Gift Stores</t>
  </si>
  <si>
    <t>Las Vegas</t>
  </si>
  <si>
    <t>Norway Gifts By Mail, Co.</t>
  </si>
  <si>
    <t>Oslo</t>
  </si>
  <si>
    <t>S18_1342</t>
  </si>
  <si>
    <t>Vintage Cars</t>
  </si>
  <si>
    <t>Rovelli Gifts</t>
  </si>
  <si>
    <t>Bergamo</t>
  </si>
  <si>
    <t>Australian Collectables, Ltd</t>
  </si>
  <si>
    <t>Glen Waverly</t>
  </si>
  <si>
    <t>S18_1367</t>
  </si>
  <si>
    <t>S18_1589</t>
  </si>
  <si>
    <t>S18_1662</t>
  </si>
  <si>
    <t>Planes</t>
  </si>
  <si>
    <t>Gift Ideas Corp.</t>
  </si>
  <si>
    <t>Bavarian Collectables Imports, Co.</t>
  </si>
  <si>
    <t>Munich</t>
  </si>
  <si>
    <t>Royale Belge</t>
  </si>
  <si>
    <t>Charleroi</t>
  </si>
  <si>
    <t>S18_1749</t>
  </si>
  <si>
    <t>S18_1889</t>
  </si>
  <si>
    <t>S18_1984</t>
  </si>
  <si>
    <t>S18_2238</t>
  </si>
  <si>
    <t>S18_2248</t>
  </si>
  <si>
    <t>S18_2319</t>
  </si>
  <si>
    <t>S18_2325</t>
  </si>
  <si>
    <t>S18_2432</t>
  </si>
  <si>
    <t>S18_2581</t>
  </si>
  <si>
    <t>S18_2625</t>
  </si>
  <si>
    <t>S18_2795</t>
  </si>
  <si>
    <t>S18_2870</t>
  </si>
  <si>
    <t>S18_2949</t>
  </si>
  <si>
    <t>S18_2957</t>
  </si>
  <si>
    <t>S18_3029</t>
  </si>
  <si>
    <t>Ships</t>
  </si>
  <si>
    <t>Auto-Moto Classics Inc.</t>
  </si>
  <si>
    <t>S18_3136</t>
  </si>
  <si>
    <t>S18_3140</t>
  </si>
  <si>
    <t>S18_3232</t>
  </si>
  <si>
    <t>S18_3259</t>
  </si>
  <si>
    <t>Trains</t>
  </si>
  <si>
    <t>S18_3278</t>
  </si>
  <si>
    <t>S18_3320</t>
  </si>
  <si>
    <t>S18_3482</t>
  </si>
  <si>
    <t>S18_3685</t>
  </si>
  <si>
    <t>S18_3782</t>
  </si>
  <si>
    <t>S18_3856</t>
  </si>
  <si>
    <t>S18_4027</t>
  </si>
  <si>
    <t>S18_4409</t>
  </si>
  <si>
    <t>S18_4522</t>
  </si>
  <si>
    <t>S18_4600</t>
  </si>
  <si>
    <t>S18_4668</t>
  </si>
  <si>
    <t>S18_4721</t>
  </si>
  <si>
    <t>S18_4933</t>
  </si>
  <si>
    <t>S24_1046</t>
  </si>
  <si>
    <t>S24_1444</t>
  </si>
  <si>
    <t>S24_1578</t>
  </si>
  <si>
    <t>S24_1628</t>
  </si>
  <si>
    <t>S24_1785</t>
  </si>
  <si>
    <t>S24_1937</t>
  </si>
  <si>
    <t>S24_2000</t>
  </si>
  <si>
    <t>S24_2011</t>
  </si>
  <si>
    <t>S24_2022</t>
  </si>
  <si>
    <t>S24_2300</t>
  </si>
  <si>
    <t>S24_2360</t>
  </si>
  <si>
    <t>S24_2766</t>
  </si>
  <si>
    <t>S24_2840</t>
  </si>
  <si>
    <t>S24_2841</t>
  </si>
  <si>
    <t>S24_2887</t>
  </si>
  <si>
    <t>S24_2972</t>
  </si>
  <si>
    <t>S24_3151</t>
  </si>
  <si>
    <t>S24_3191</t>
  </si>
  <si>
    <t>S24_3371</t>
  </si>
  <si>
    <t>S24_3420</t>
  </si>
  <si>
    <t>S24_3432</t>
  </si>
  <si>
    <t>S24_3816</t>
  </si>
  <si>
    <t>S24_3856</t>
  </si>
  <si>
    <t>S24_3949</t>
  </si>
  <si>
    <t>S24_3969</t>
  </si>
  <si>
    <t>S24_4048</t>
  </si>
  <si>
    <t>S24_4258</t>
  </si>
  <si>
    <t>S24_4278</t>
  </si>
  <si>
    <t>S24_4620</t>
  </si>
  <si>
    <t>S32_1268</t>
  </si>
  <si>
    <t>S32_1374</t>
  </si>
  <si>
    <t>S32_2206</t>
  </si>
  <si>
    <t>S32_2509</t>
  </si>
  <si>
    <t>S32_3207</t>
  </si>
  <si>
    <t>S32_3522</t>
  </si>
  <si>
    <t>S32_4289</t>
  </si>
  <si>
    <t>S32_4485</t>
  </si>
  <si>
    <t>S50_1341</t>
  </si>
  <si>
    <t>S50_1392</t>
  </si>
  <si>
    <t>S50_1514</t>
  </si>
  <si>
    <t>S50_4713</t>
  </si>
  <si>
    <t>S700_1138</t>
  </si>
  <si>
    <t>S700_1691</t>
  </si>
  <si>
    <t>S700_1938</t>
  </si>
  <si>
    <t>S700_2047</t>
  </si>
  <si>
    <t>S700_2466</t>
  </si>
  <si>
    <t>S700_2610</t>
  </si>
  <si>
    <t>S700_2824</t>
  </si>
  <si>
    <t>S700_2834</t>
  </si>
  <si>
    <t>S700_3167</t>
  </si>
  <si>
    <t>S700_3505</t>
  </si>
  <si>
    <t>S700_3962</t>
  </si>
  <si>
    <t>S700_4002</t>
  </si>
  <si>
    <t>S72_1253</t>
  </si>
  <si>
    <t>S72_3212</t>
  </si>
  <si>
    <t>Sum of PROFIT_LOSS</t>
  </si>
  <si>
    <t>Row Labels</t>
  </si>
  <si>
    <t>Grand Total</t>
  </si>
  <si>
    <t>Sum of QUANTITYORDERED</t>
  </si>
  <si>
    <t>Count of STATUS</t>
  </si>
  <si>
    <t>Count of PRODUCTLINE</t>
  </si>
  <si>
    <t>2003</t>
  </si>
  <si>
    <t>2004</t>
  </si>
  <si>
    <t>2005</t>
  </si>
  <si>
    <t>COUNTRIES</t>
  </si>
  <si>
    <t>CITIES</t>
  </si>
  <si>
    <t>TERRITORIES</t>
  </si>
  <si>
    <t>CUSTOMERS</t>
  </si>
  <si>
    <t>QUANTITY ORDERED</t>
  </si>
  <si>
    <t>TOTAL SALES</t>
  </si>
  <si>
    <t>TOTAL PROFIT</t>
  </si>
  <si>
    <t>Sum of SALES</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</si>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</sst>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43" formatCode="_(* #,##0.00_);_(* \(#,##0.00\);_(* &quot;-&quot;??_);_(@_)"/>
    <numFmt numFmtId="164" formatCode="&quot;$&quot;#,##0.00"/>
    <numFmt numFmtId="166" formatCode="_(* #,##0_);_(* \(#,##0\);_(* &quot;-&quot;??_);_(@_)"/>
  </numFmts>
  <fonts count="2" x14ac:knownFonts="1">
    <font>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44" fontId="0" fillId="0" borderId="0" xfId="1" applyFont="1"/>
    <xf numFmtId="164" fontId="0" fillId="0" borderId="0" xfId="1" applyNumberFormat="1" applyFont="1"/>
    <xf numFmtId="166" fontId="0" fillId="0" borderId="0" xfId="2" applyNumberFormat="1" applyFont="1"/>
    <xf numFmtId="0" fontId="0" fillId="0" borderId="0" xfId="0" applyNumberFormat="1"/>
  </cellXfs>
  <cellStyles count="3">
    <cellStyle name="Comma" xfId="2" builtinId="3"/>
    <cellStyle name="Currency" xfId="1" builtinId="4"/>
    <cellStyle name="Normal" xfId="0" builtinId="0"/>
  </cellStyles>
  <dxfs count="2">
    <dxf>
      <font>
        <b/>
        <i val="0"/>
        <sz val="16"/>
        <color theme="4" tint="-0.499984740745262"/>
        <name val="Calibri"/>
        <family val="2"/>
        <scheme val="none"/>
      </font>
      <border>
        <bottom style="medium">
          <color rgb="FF4F81BD"/>
        </bottom>
        <vertical/>
        <horizontal/>
      </border>
    </dxf>
    <dxf>
      <font>
        <b/>
        <i val="0"/>
        <sz val="14"/>
        <color theme="8" tint="-0.499984740745262"/>
        <name val="Calibri"/>
        <family val="2"/>
        <scheme val="none"/>
      </font>
      <fill>
        <gradientFill degree="90">
          <stop position="0">
            <color theme="0"/>
          </stop>
          <stop position="1">
            <color theme="4"/>
          </stop>
        </gradientFill>
      </fill>
      <border diagonalUp="0" diagonalDown="0">
        <left/>
        <right/>
        <top/>
        <bottom/>
        <vertical/>
        <horizontal/>
      </border>
    </dxf>
  </dxfs>
  <tableStyles count="1" defaultTableStyle="TableStyleMedium2" defaultPivotStyle="PivotStyleLight16">
    <tableStyle name="Custom Slicer" pivot="0" table="0" count="10" xr9:uid="{19DF2AD2-4B8A-4755-869B-A0BB8D52A89E}">
      <tableStyleElement type="wholeTable" dxfId="1"/>
      <tableStyleElement type="headerRow" dxfId="0"/>
    </tableStyle>
  </tableStyles>
  <extLst>
    <ext xmlns:x14="http://schemas.microsoft.com/office/spreadsheetml/2009/9/main" uri="{46F421CA-312F-682f-3DD2-61675219B42D}">
      <x14:dxfs count="8">
        <dxf>
          <font>
            <color theme="1"/>
          </font>
          <fill>
            <patternFill patternType="solid">
              <fgColor auto="1"/>
              <bgColor theme="4" tint="0.59996337778862885"/>
            </patternFill>
          </fill>
          <border diagonalUp="0" diagonalDown="0">
            <left/>
            <right/>
            <top/>
            <bottom/>
            <vertical/>
            <horizontal/>
          </border>
        </dxf>
        <dxf>
          <font>
            <color theme="1"/>
          </font>
          <fill>
            <patternFill patternType="solid">
              <fgColor auto="1"/>
              <bgColor theme="4" tint="0.59996337778862885"/>
            </patternFill>
          </fill>
          <border diagonalUp="0" diagonalDown="0">
            <left/>
            <right/>
            <top/>
            <bottom/>
            <vertical/>
            <horizontal/>
          </border>
        </dxf>
        <dxf>
          <font>
            <color theme="1"/>
          </font>
          <fill>
            <patternFill patternType="solid">
              <fgColor auto="1"/>
              <bgColor theme="4" tint="0.59996337778862885"/>
            </patternFill>
          </fill>
          <border diagonalUp="0" diagonalDown="0">
            <left/>
            <right/>
            <top/>
            <bottom/>
            <vertical/>
            <horizontal/>
          </border>
        </dxf>
        <dxf>
          <font>
            <color theme="1"/>
          </font>
          <fill>
            <patternFill patternType="solid">
              <fgColor auto="1"/>
              <bgColor theme="4" tint="0.59996337778862885"/>
            </patternFill>
          </fill>
          <border diagonalUp="0" diagonalDown="0">
            <left/>
            <right/>
            <top/>
            <bottom/>
            <vertical/>
            <horizontal/>
          </border>
        </dxf>
        <dxf>
          <font>
            <b val="0"/>
            <i val="0"/>
            <sz val="14"/>
            <color theme="0" tint="-0.24994659260841701"/>
            <name val="Arial Rounded MT Bold"/>
            <family val="2"/>
            <scheme val="none"/>
          </font>
          <fill>
            <gradientFill degree="90">
              <stop position="0">
                <color rgb="FFD1E0F5"/>
              </stop>
              <stop position="1">
                <color rgb="FFE9F2FB"/>
              </stop>
            </gradientFill>
          </fill>
          <border diagonalUp="0" diagonalDown="0">
            <left/>
            <right/>
            <top/>
            <bottom/>
            <vertical/>
            <horizontal/>
          </border>
        </dxf>
        <dxf>
          <font>
            <b/>
            <i val="0"/>
            <sz val="16"/>
            <color theme="8" tint="-0.499984740745262"/>
            <name val="Calibri"/>
            <family val="2"/>
            <scheme val="none"/>
          </font>
          <fill>
            <patternFill patternType="solid">
              <fgColor auto="1"/>
              <bgColor theme="4"/>
            </patternFill>
          </fill>
          <border diagonalUp="0" diagonalDown="0">
            <left/>
            <right/>
            <top/>
            <bottom/>
            <vertical/>
            <horizontal/>
          </border>
        </dxf>
        <dxf>
          <font>
            <b val="0"/>
            <i val="0"/>
            <sz val="14"/>
            <color rgb="FF828282"/>
            <name val="Arial Rounded MT Bold"/>
            <family val="2"/>
            <scheme val="none"/>
          </font>
          <fill>
            <patternFill patternType="solid">
              <fgColor auto="1"/>
              <bgColor theme="4" tint="0.79998168889431442"/>
            </patternFill>
          </fill>
          <border diagonalUp="0" diagonalDown="0">
            <left/>
            <right/>
            <top/>
            <bottom/>
            <vertical/>
            <horizontal/>
          </border>
        </dxf>
        <dxf>
          <font>
            <b/>
            <i val="0"/>
            <sz val="16"/>
            <color auto="1"/>
            <name val="Calibri"/>
            <family val="2"/>
            <scheme val="none"/>
          </font>
          <fill>
            <patternFill patternType="solid">
              <fgColor auto="1"/>
              <bgColor theme="4" tint="0.7999816888943144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ustom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Stores Dash.xlsm]Sheet2!PivotTable3</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Sheet2!$B$8</c:f>
              <c:strCache>
                <c:ptCount val="1"/>
                <c:pt idx="0">
                  <c:v>Total</c:v>
                </c:pt>
              </c:strCache>
            </c:strRef>
          </c:tx>
          <c:spPr>
            <a:solidFill>
              <a:schemeClr val="accent1"/>
            </a:solidFill>
            <a:ln>
              <a:noFill/>
            </a:ln>
            <a:effectLst/>
          </c:spPr>
          <c:invertIfNegative val="0"/>
          <c:cat>
            <c:strRef>
              <c:f>Sheet2!$A$9:$A$28</c:f>
              <c:strCache>
                <c:ptCount val="19"/>
                <c:pt idx="0">
                  <c:v>UK</c:v>
                </c:pt>
                <c:pt idx="1">
                  <c:v>Austria</c:v>
                </c:pt>
                <c:pt idx="2">
                  <c:v>France</c:v>
                </c:pt>
                <c:pt idx="3">
                  <c:v>Switzerland</c:v>
                </c:pt>
                <c:pt idx="4">
                  <c:v>Singapore</c:v>
                </c:pt>
                <c:pt idx="5">
                  <c:v>Belgium</c:v>
                </c:pt>
                <c:pt idx="6">
                  <c:v>Canada</c:v>
                </c:pt>
                <c:pt idx="7">
                  <c:v>Philippines</c:v>
                </c:pt>
                <c:pt idx="8">
                  <c:v>Sweden</c:v>
                </c:pt>
                <c:pt idx="9">
                  <c:v>Finland</c:v>
                </c:pt>
                <c:pt idx="10">
                  <c:v>Japan</c:v>
                </c:pt>
                <c:pt idx="11">
                  <c:v>Denmark</c:v>
                </c:pt>
                <c:pt idx="12">
                  <c:v>Spain</c:v>
                </c:pt>
                <c:pt idx="13">
                  <c:v>Ireland</c:v>
                </c:pt>
                <c:pt idx="14">
                  <c:v>Germany</c:v>
                </c:pt>
                <c:pt idx="15">
                  <c:v>Norway</c:v>
                </c:pt>
                <c:pt idx="16">
                  <c:v>Italy</c:v>
                </c:pt>
                <c:pt idx="17">
                  <c:v>Australia</c:v>
                </c:pt>
                <c:pt idx="18">
                  <c:v>USA</c:v>
                </c:pt>
              </c:strCache>
            </c:strRef>
          </c:cat>
          <c:val>
            <c:numRef>
              <c:f>Sheet2!$B$9:$B$28</c:f>
              <c:numCache>
                <c:formatCode>General</c:formatCode>
                <c:ptCount val="19"/>
                <c:pt idx="0">
                  <c:v>-6913.54</c:v>
                </c:pt>
                <c:pt idx="1">
                  <c:v>-6832.4699999999975</c:v>
                </c:pt>
                <c:pt idx="2">
                  <c:v>-5122.4800000000068</c:v>
                </c:pt>
                <c:pt idx="3">
                  <c:v>-4168.4399999999987</c:v>
                </c:pt>
                <c:pt idx="4">
                  <c:v>-2783.5900000000006</c:v>
                </c:pt>
                <c:pt idx="5">
                  <c:v>-2378.3799999999997</c:v>
                </c:pt>
                <c:pt idx="6">
                  <c:v>-2226.44</c:v>
                </c:pt>
                <c:pt idx="7">
                  <c:v>-1764.2699999999998</c:v>
                </c:pt>
                <c:pt idx="8">
                  <c:v>1247.2099999999996</c:v>
                </c:pt>
                <c:pt idx="9">
                  <c:v>1820.9099999999999</c:v>
                </c:pt>
                <c:pt idx="10">
                  <c:v>2334.81</c:v>
                </c:pt>
                <c:pt idx="11">
                  <c:v>2472.150000000001</c:v>
                </c:pt>
                <c:pt idx="12">
                  <c:v>2916.9200000000155</c:v>
                </c:pt>
                <c:pt idx="13">
                  <c:v>3414.4300000000003</c:v>
                </c:pt>
                <c:pt idx="14">
                  <c:v>4520.0900000000011</c:v>
                </c:pt>
                <c:pt idx="15">
                  <c:v>5923.7000000000007</c:v>
                </c:pt>
                <c:pt idx="16">
                  <c:v>5975.310000000004</c:v>
                </c:pt>
                <c:pt idx="17">
                  <c:v>6796.0999999999985</c:v>
                </c:pt>
                <c:pt idx="18">
                  <c:v>30054.830000000042</c:v>
                </c:pt>
              </c:numCache>
            </c:numRef>
          </c:val>
          <c:extLst>
            <c:ext xmlns:c16="http://schemas.microsoft.com/office/drawing/2014/chart" uri="{C3380CC4-5D6E-409C-BE32-E72D297353CC}">
              <c16:uniqueId val="{00000002-7758-43F4-BC0D-29DB611286C4}"/>
            </c:ext>
          </c:extLst>
        </c:ser>
        <c:dLbls>
          <c:showLegendKey val="0"/>
          <c:showVal val="0"/>
          <c:showCatName val="0"/>
          <c:showSerName val="0"/>
          <c:showPercent val="0"/>
          <c:showBubbleSize val="0"/>
        </c:dLbls>
        <c:gapWidth val="150"/>
        <c:overlap val="100"/>
        <c:axId val="687149856"/>
        <c:axId val="687152736"/>
      </c:barChart>
      <c:catAx>
        <c:axId val="687149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152736"/>
        <c:crosses val="autoZero"/>
        <c:auto val="1"/>
        <c:lblAlgn val="ctr"/>
        <c:lblOffset val="100"/>
        <c:noMultiLvlLbl val="0"/>
      </c:catAx>
      <c:valAx>
        <c:axId val="687152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149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Stores Dash.xlsm]Sheet2!PivotTable2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Sheet2!$B$3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ED9-40AB-8A41-922AB25AC4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ED9-40AB-8A41-922AB25AC4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ED9-40AB-8A41-922AB25AC432}"/>
              </c:ext>
            </c:extLst>
          </c:dPt>
          <c:cat>
            <c:strRef>
              <c:f>Sheet2!$A$4:$A$7</c:f>
              <c:strCache>
                <c:ptCount val="3"/>
                <c:pt idx="0">
                  <c:v>APAC</c:v>
                </c:pt>
                <c:pt idx="1">
                  <c:v>EMEA</c:v>
                </c:pt>
                <c:pt idx="2">
                  <c:v>North America</c:v>
                </c:pt>
              </c:strCache>
            </c:strRef>
          </c:cat>
          <c:val>
            <c:numRef>
              <c:f>Sheet2!$B$4:$B$7</c:f>
              <c:numCache>
                <c:formatCode>General</c:formatCode>
                <c:ptCount val="3"/>
                <c:pt idx="0">
                  <c:v>11809</c:v>
                </c:pt>
                <c:pt idx="1">
                  <c:v>49306</c:v>
                </c:pt>
                <c:pt idx="2">
                  <c:v>37952</c:v>
                </c:pt>
              </c:numCache>
            </c:numRef>
          </c:val>
          <c:extLst>
            <c:ext xmlns:c16="http://schemas.microsoft.com/office/drawing/2014/chart" uri="{C3380CC4-5D6E-409C-BE32-E72D297353CC}">
              <c16:uniqueId val="{00000000-FF2F-4F25-9DE8-78F34CC5111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Stores Dash.xlsm]Sheet2!PivotTable10</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Sheet2!$B$29</c:f>
              <c:strCache>
                <c:ptCount val="1"/>
                <c:pt idx="0">
                  <c:v>Total</c:v>
                </c:pt>
              </c:strCache>
            </c:strRef>
          </c:tx>
          <c:explosion val="14"/>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E23-4337-B21A-C6659A79F52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E23-4337-B21A-C6659A79F52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E23-4337-B21A-C6659A79F527}"/>
              </c:ext>
            </c:extLst>
          </c:dPt>
          <c:cat>
            <c:strRef>
              <c:f>Sheet2!$A$30:$A$33</c:f>
              <c:strCache>
                <c:ptCount val="3"/>
                <c:pt idx="0">
                  <c:v>APAC</c:v>
                </c:pt>
                <c:pt idx="1">
                  <c:v>EMEA</c:v>
                </c:pt>
                <c:pt idx="2">
                  <c:v>North America</c:v>
                </c:pt>
              </c:strCache>
            </c:strRef>
          </c:cat>
          <c:val>
            <c:numRef>
              <c:f>Sheet2!$B$30:$B$33</c:f>
              <c:numCache>
                <c:formatCode>General</c:formatCode>
                <c:ptCount val="3"/>
                <c:pt idx="0">
                  <c:v>4583.0500000000011</c:v>
                </c:pt>
                <c:pt idx="1">
                  <c:v>2875.4100000000612</c:v>
                </c:pt>
                <c:pt idx="2">
                  <c:v>27828.390000000079</c:v>
                </c:pt>
              </c:numCache>
            </c:numRef>
          </c:val>
          <c:extLst>
            <c:ext xmlns:c16="http://schemas.microsoft.com/office/drawing/2014/chart" uri="{C3380CC4-5D6E-409C-BE32-E72D297353CC}">
              <c16:uniqueId val="{00000000-4F51-4BBA-950C-EC0ECD63278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Stores Dash.xlsm]Sheet2!PivotTable9</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Sheet2!$B$35</c:f>
              <c:strCache>
                <c:ptCount val="1"/>
                <c:pt idx="0">
                  <c:v>Total</c:v>
                </c:pt>
              </c:strCache>
            </c:strRef>
          </c:tx>
          <c:spPr>
            <a:solidFill>
              <a:schemeClr val="accent1"/>
            </a:solidFill>
            <a:ln>
              <a:noFill/>
            </a:ln>
            <a:effectLst/>
          </c:spPr>
          <c:invertIfNegative val="0"/>
          <c:cat>
            <c:strRef>
              <c:f>Sheet2!$A$36:$A$48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Sheet2!$B$36:$B$48</c:f>
              <c:numCache>
                <c:formatCode>General</c:formatCode>
                <c:ptCount val="12"/>
                <c:pt idx="0">
                  <c:v>-10828.560000000005</c:v>
                </c:pt>
                <c:pt idx="1">
                  <c:v>9545.9</c:v>
                </c:pt>
                <c:pt idx="2">
                  <c:v>9921.390000000014</c:v>
                </c:pt>
                <c:pt idx="3">
                  <c:v>-3616.0400000000036</c:v>
                </c:pt>
                <c:pt idx="4">
                  <c:v>4612.5600000000077</c:v>
                </c:pt>
                <c:pt idx="5">
                  <c:v>-4444.2200000000012</c:v>
                </c:pt>
                <c:pt idx="6">
                  <c:v>4593.9700000000012</c:v>
                </c:pt>
                <c:pt idx="7">
                  <c:v>-5887.4299999999976</c:v>
                </c:pt>
                <c:pt idx="8">
                  <c:v>9193.2700000000023</c:v>
                </c:pt>
                <c:pt idx="9">
                  <c:v>18138.220000000019</c:v>
                </c:pt>
                <c:pt idx="10">
                  <c:v>2052.6699999999942</c:v>
                </c:pt>
                <c:pt idx="11">
                  <c:v>2005.1200000000008</c:v>
                </c:pt>
              </c:numCache>
            </c:numRef>
          </c:val>
          <c:extLst>
            <c:ext xmlns:c16="http://schemas.microsoft.com/office/drawing/2014/chart" uri="{C3380CC4-5D6E-409C-BE32-E72D297353CC}">
              <c16:uniqueId val="{00000000-F5D0-44C1-9124-3B7CEFB740AD}"/>
            </c:ext>
          </c:extLst>
        </c:ser>
        <c:dLbls>
          <c:showLegendKey val="0"/>
          <c:showVal val="0"/>
          <c:showCatName val="0"/>
          <c:showSerName val="0"/>
          <c:showPercent val="0"/>
          <c:showBubbleSize val="0"/>
        </c:dLbls>
        <c:gapWidth val="219"/>
        <c:overlap val="-27"/>
        <c:axId val="608134928"/>
        <c:axId val="608136728"/>
      </c:barChart>
      <c:catAx>
        <c:axId val="60813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8136728"/>
        <c:crosses val="autoZero"/>
        <c:auto val="1"/>
        <c:lblAlgn val="ctr"/>
        <c:lblOffset val="100"/>
        <c:noMultiLvlLbl val="0"/>
      </c:catAx>
      <c:valAx>
        <c:axId val="608136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8134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Stores Dash.xlsm]Sheet2!PivotTable6</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manualLayout>
          <c:layoutTarget val="inner"/>
          <c:xMode val="edge"/>
          <c:yMode val="edge"/>
          <c:x val="0.18309426946631671"/>
          <c:y val="0.179951516477107"/>
          <c:w val="0.41147353455818025"/>
          <c:h val="0.68578922426363376"/>
        </c:manualLayout>
      </c:layout>
      <c:doughnutChart>
        <c:varyColors val="1"/>
        <c:ser>
          <c:idx val="0"/>
          <c:order val="0"/>
          <c:tx>
            <c:strRef>
              <c:f>Sheet2!$D$11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F04-4F68-96EC-8E7EDD2A971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F04-4F68-96EC-8E7EDD2A971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F04-4F68-96EC-8E7EDD2A971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F04-4F68-96EC-8E7EDD2A971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F04-4F68-96EC-8E7EDD2A971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F04-4F68-96EC-8E7EDD2A971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F04-4F68-96EC-8E7EDD2A9717}"/>
              </c:ext>
            </c:extLst>
          </c:dPt>
          <c:cat>
            <c:strRef>
              <c:f>Sheet2!$C$12:$C$19</c:f>
              <c:strCache>
                <c:ptCount val="7"/>
                <c:pt idx="0">
                  <c:v>Classic Cars</c:v>
                </c:pt>
                <c:pt idx="1">
                  <c:v>Motorcycles</c:v>
                </c:pt>
                <c:pt idx="2">
                  <c:v>Planes</c:v>
                </c:pt>
                <c:pt idx="3">
                  <c:v>Ships</c:v>
                </c:pt>
                <c:pt idx="4">
                  <c:v>Trains</c:v>
                </c:pt>
                <c:pt idx="5">
                  <c:v>Trucks and Buses</c:v>
                </c:pt>
                <c:pt idx="6">
                  <c:v>Vintage Cars</c:v>
                </c:pt>
              </c:strCache>
            </c:strRef>
          </c:cat>
          <c:val>
            <c:numRef>
              <c:f>Sheet2!$D$12:$D$19</c:f>
              <c:numCache>
                <c:formatCode>General</c:formatCode>
                <c:ptCount val="7"/>
                <c:pt idx="0">
                  <c:v>967</c:v>
                </c:pt>
                <c:pt idx="1">
                  <c:v>331</c:v>
                </c:pt>
                <c:pt idx="2">
                  <c:v>306</c:v>
                </c:pt>
                <c:pt idx="3">
                  <c:v>234</c:v>
                </c:pt>
                <c:pt idx="4">
                  <c:v>77</c:v>
                </c:pt>
                <c:pt idx="5">
                  <c:v>301</c:v>
                </c:pt>
                <c:pt idx="6">
                  <c:v>607</c:v>
                </c:pt>
              </c:numCache>
            </c:numRef>
          </c:val>
          <c:extLst>
            <c:ext xmlns:c16="http://schemas.microsoft.com/office/drawing/2014/chart" uri="{C3380CC4-5D6E-409C-BE32-E72D297353CC}">
              <c16:uniqueId val="{00000000-04A5-4044-922F-D6A13E0116F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Stores Dash.xlsm]Sheet2!PivotTable5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Sheet2!$D$3</c:f>
              <c:strCache>
                <c:ptCount val="1"/>
                <c:pt idx="0">
                  <c:v>Total</c:v>
                </c:pt>
              </c:strCache>
            </c:strRef>
          </c:tx>
          <c:spPr>
            <a:solidFill>
              <a:schemeClr val="accent1"/>
            </a:solidFill>
            <a:ln>
              <a:noFill/>
            </a:ln>
            <a:effectLst/>
          </c:spPr>
          <c:invertIfNegative val="0"/>
          <c:cat>
            <c:strRef>
              <c:f>Sheet2!$C$4:$C$10</c:f>
              <c:strCache>
                <c:ptCount val="6"/>
                <c:pt idx="0">
                  <c:v>Shipped</c:v>
                </c:pt>
                <c:pt idx="1">
                  <c:v>Cancelled</c:v>
                </c:pt>
                <c:pt idx="2">
                  <c:v>Resolved</c:v>
                </c:pt>
                <c:pt idx="3">
                  <c:v>On Hold</c:v>
                </c:pt>
                <c:pt idx="4">
                  <c:v>In Process</c:v>
                </c:pt>
                <c:pt idx="5">
                  <c:v>Disputed</c:v>
                </c:pt>
              </c:strCache>
            </c:strRef>
          </c:cat>
          <c:val>
            <c:numRef>
              <c:f>Sheet2!$D$4:$D$10</c:f>
              <c:numCache>
                <c:formatCode>General</c:formatCode>
                <c:ptCount val="6"/>
                <c:pt idx="0">
                  <c:v>2617</c:v>
                </c:pt>
                <c:pt idx="1">
                  <c:v>60</c:v>
                </c:pt>
                <c:pt idx="2">
                  <c:v>47</c:v>
                </c:pt>
                <c:pt idx="3">
                  <c:v>44</c:v>
                </c:pt>
                <c:pt idx="4">
                  <c:v>41</c:v>
                </c:pt>
                <c:pt idx="5">
                  <c:v>14</c:v>
                </c:pt>
              </c:numCache>
            </c:numRef>
          </c:val>
          <c:extLst>
            <c:ext xmlns:c16="http://schemas.microsoft.com/office/drawing/2014/chart" uri="{C3380CC4-5D6E-409C-BE32-E72D297353CC}">
              <c16:uniqueId val="{00000000-34BC-46E2-9892-6739732219B5}"/>
            </c:ext>
          </c:extLst>
        </c:ser>
        <c:dLbls>
          <c:showLegendKey val="0"/>
          <c:showVal val="0"/>
          <c:showCatName val="0"/>
          <c:showSerName val="0"/>
          <c:showPercent val="0"/>
          <c:showBubbleSize val="0"/>
        </c:dLbls>
        <c:gapWidth val="219"/>
        <c:overlap val="-27"/>
        <c:axId val="749191984"/>
        <c:axId val="749183704"/>
      </c:barChart>
      <c:catAx>
        <c:axId val="749191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9183704"/>
        <c:crosses val="autoZero"/>
        <c:auto val="1"/>
        <c:lblAlgn val="ctr"/>
        <c:lblOffset val="100"/>
        <c:noMultiLvlLbl val="0"/>
      </c:catAx>
      <c:valAx>
        <c:axId val="749183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9191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Stores Dash.xlsm]Sheet2!PivotTable11</c:name>
    <c:fmtId val="5"/>
  </c:pivotSource>
  <c:chart>
    <c:autoTitleDeleted val="1"/>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176997668980542"/>
          <c:y val="0.2572178477690289"/>
          <c:w val="0.78704327907758498"/>
          <c:h val="0.51259186351706032"/>
        </c:manualLayout>
      </c:layout>
      <c:barChart>
        <c:barDir val="col"/>
        <c:grouping val="clustered"/>
        <c:varyColors val="0"/>
        <c:ser>
          <c:idx val="0"/>
          <c:order val="0"/>
          <c:tx>
            <c:strRef>
              <c:f>Sheet2!$B$50</c:f>
              <c:strCache>
                <c:ptCount val="1"/>
                <c:pt idx="0">
                  <c:v>Total</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Sheet2!$A$51:$A$124</c:f>
              <c:strCache>
                <c:ptCount val="73"/>
                <c:pt idx="0">
                  <c:v>Reims</c:v>
                </c:pt>
                <c:pt idx="1">
                  <c:v>Las Vegas</c:v>
                </c:pt>
                <c:pt idx="2">
                  <c:v>Marseille</c:v>
                </c:pt>
                <c:pt idx="3">
                  <c:v>Manchester</c:v>
                </c:pt>
                <c:pt idx="4">
                  <c:v>Gensve</c:v>
                </c:pt>
                <c:pt idx="5">
                  <c:v>Salzburg</c:v>
                </c:pt>
                <c:pt idx="6">
                  <c:v>Brickhaven</c:v>
                </c:pt>
                <c:pt idx="7">
                  <c:v>Graz</c:v>
                </c:pt>
                <c:pt idx="8">
                  <c:v>Singapore</c:v>
                </c:pt>
                <c:pt idx="9">
                  <c:v>San Diego</c:v>
                </c:pt>
                <c:pt idx="10">
                  <c:v>Montreal</c:v>
                </c:pt>
                <c:pt idx="11">
                  <c:v>Bruxelles</c:v>
                </c:pt>
                <c:pt idx="12">
                  <c:v>Liverpool</c:v>
                </c:pt>
                <c:pt idx="13">
                  <c:v>Oulu</c:v>
                </c:pt>
                <c:pt idx="14">
                  <c:v>Burbank</c:v>
                </c:pt>
                <c:pt idx="15">
                  <c:v>Makati City</c:v>
                </c:pt>
                <c:pt idx="16">
                  <c:v>Osaka</c:v>
                </c:pt>
                <c:pt idx="17">
                  <c:v>Cowes</c:v>
                </c:pt>
                <c:pt idx="18">
                  <c:v>Strasbourg</c:v>
                </c:pt>
                <c:pt idx="19">
                  <c:v>Lyon</c:v>
                </c:pt>
                <c:pt idx="20">
                  <c:v>Bridgewater</c:v>
                </c:pt>
                <c:pt idx="21">
                  <c:v>Boras</c:v>
                </c:pt>
                <c:pt idx="22">
                  <c:v>Espoo</c:v>
                </c:pt>
                <c:pt idx="23">
                  <c:v>Vancouver</c:v>
                </c:pt>
                <c:pt idx="24">
                  <c:v>New Bedford</c:v>
                </c:pt>
                <c:pt idx="25">
                  <c:v>White Plains</c:v>
                </c:pt>
                <c:pt idx="26">
                  <c:v>South Brisbane</c:v>
                </c:pt>
                <c:pt idx="27">
                  <c:v>Versailles</c:v>
                </c:pt>
                <c:pt idx="28">
                  <c:v>Bergamo</c:v>
                </c:pt>
                <c:pt idx="29">
                  <c:v>Sevilla</c:v>
                </c:pt>
                <c:pt idx="30">
                  <c:v>Charleroi</c:v>
                </c:pt>
                <c:pt idx="31">
                  <c:v>Pasadena</c:v>
                </c:pt>
                <c:pt idx="32">
                  <c:v>Philadelphia</c:v>
                </c:pt>
                <c:pt idx="33">
                  <c:v>Newark</c:v>
                </c:pt>
                <c:pt idx="34">
                  <c:v>Glendale</c:v>
                </c:pt>
                <c:pt idx="35">
                  <c:v>Lille</c:v>
                </c:pt>
                <c:pt idx="36">
                  <c:v>Boston</c:v>
                </c:pt>
                <c:pt idx="37">
                  <c:v>Aaarhus</c:v>
                </c:pt>
                <c:pt idx="38">
                  <c:v>Tsawassen</c:v>
                </c:pt>
                <c:pt idx="39">
                  <c:v>Stavern</c:v>
                </c:pt>
                <c:pt idx="40">
                  <c:v>North Sydney</c:v>
                </c:pt>
                <c:pt idx="41">
                  <c:v>Munich</c:v>
                </c:pt>
                <c:pt idx="42">
                  <c:v>San Jose</c:v>
                </c:pt>
                <c:pt idx="43">
                  <c:v>Melbourne</c:v>
                </c:pt>
                <c:pt idx="44">
                  <c:v>Oslo</c:v>
                </c:pt>
                <c:pt idx="45">
                  <c:v>Nashua</c:v>
                </c:pt>
                <c:pt idx="46">
                  <c:v>Barcelona</c:v>
                </c:pt>
                <c:pt idx="47">
                  <c:v>Frankfurt</c:v>
                </c:pt>
                <c:pt idx="48">
                  <c:v>Kobenhavn</c:v>
                </c:pt>
                <c:pt idx="49">
                  <c:v>London</c:v>
                </c:pt>
                <c:pt idx="50">
                  <c:v>Madrid</c:v>
                </c:pt>
                <c:pt idx="51">
                  <c:v>Koln</c:v>
                </c:pt>
                <c:pt idx="52">
                  <c:v>Glen Waverly</c:v>
                </c:pt>
                <c:pt idx="53">
                  <c:v>Los Angeles</c:v>
                </c:pt>
                <c:pt idx="54">
                  <c:v>Lule</c:v>
                </c:pt>
                <c:pt idx="55">
                  <c:v>Brisbane</c:v>
                </c:pt>
                <c:pt idx="56">
                  <c:v>Nantes</c:v>
                </c:pt>
                <c:pt idx="57">
                  <c:v>Torino</c:v>
                </c:pt>
                <c:pt idx="58">
                  <c:v>Chatswood</c:v>
                </c:pt>
                <c:pt idx="59">
                  <c:v>New Haven</c:v>
                </c:pt>
                <c:pt idx="60">
                  <c:v>San Rafael</c:v>
                </c:pt>
                <c:pt idx="61">
                  <c:v>Burlingame</c:v>
                </c:pt>
                <c:pt idx="62">
                  <c:v>Toulouse</c:v>
                </c:pt>
                <c:pt idx="63">
                  <c:v>Dublin</c:v>
                </c:pt>
                <c:pt idx="64">
                  <c:v>Bergen</c:v>
                </c:pt>
                <c:pt idx="65">
                  <c:v>Reggio Emilia</c:v>
                </c:pt>
                <c:pt idx="66">
                  <c:v>Allentown</c:v>
                </c:pt>
                <c:pt idx="67">
                  <c:v>Minato-ku</c:v>
                </c:pt>
                <c:pt idx="68">
                  <c:v>San Francisco</c:v>
                </c:pt>
                <c:pt idx="69">
                  <c:v>Helsinki</c:v>
                </c:pt>
                <c:pt idx="70">
                  <c:v>Cambridge</c:v>
                </c:pt>
                <c:pt idx="71">
                  <c:v>Paris</c:v>
                </c:pt>
                <c:pt idx="72">
                  <c:v>NYC</c:v>
                </c:pt>
              </c:strCache>
            </c:strRef>
          </c:cat>
          <c:val>
            <c:numRef>
              <c:f>Sheet2!$B$51:$B$124</c:f>
              <c:numCache>
                <c:formatCode>General</c:formatCode>
                <c:ptCount val="73"/>
                <c:pt idx="0">
                  <c:v>-7902.06</c:v>
                </c:pt>
                <c:pt idx="1">
                  <c:v>-6210.92</c:v>
                </c:pt>
                <c:pt idx="2">
                  <c:v>-5592.86</c:v>
                </c:pt>
                <c:pt idx="3">
                  <c:v>-5116.1900000000005</c:v>
                </c:pt>
                <c:pt idx="4">
                  <c:v>-4168.4399999999987</c:v>
                </c:pt>
                <c:pt idx="5">
                  <c:v>-3707.37</c:v>
                </c:pt>
                <c:pt idx="6">
                  <c:v>-3137.8000000000015</c:v>
                </c:pt>
                <c:pt idx="7">
                  <c:v>-3125.1000000000004</c:v>
                </c:pt>
                <c:pt idx="8">
                  <c:v>-2783.5900000000006</c:v>
                </c:pt>
                <c:pt idx="9">
                  <c:v>-2393.7699999999995</c:v>
                </c:pt>
                <c:pt idx="10">
                  <c:v>-2228.21</c:v>
                </c:pt>
                <c:pt idx="11">
                  <c:v>-2172.4799999999991</c:v>
                </c:pt>
                <c:pt idx="12">
                  <c:v>-2089.7300000000005</c:v>
                </c:pt>
                <c:pt idx="13">
                  <c:v>-2018.6199999999994</c:v>
                </c:pt>
                <c:pt idx="14">
                  <c:v>-2008.3600000000001</c:v>
                </c:pt>
                <c:pt idx="15">
                  <c:v>-1764.2699999999998</c:v>
                </c:pt>
                <c:pt idx="16">
                  <c:v>-1542.9299999999998</c:v>
                </c:pt>
                <c:pt idx="17">
                  <c:v>-1369.1599999999999</c:v>
                </c:pt>
                <c:pt idx="18">
                  <c:v>-1364.52</c:v>
                </c:pt>
                <c:pt idx="19">
                  <c:v>-1279.75</c:v>
                </c:pt>
                <c:pt idx="20">
                  <c:v>-1181.2100000000003</c:v>
                </c:pt>
                <c:pt idx="21">
                  <c:v>-1120.6700000000012</c:v>
                </c:pt>
                <c:pt idx="22">
                  <c:v>-980.85000000000059</c:v>
                </c:pt>
                <c:pt idx="23">
                  <c:v>-935.07999999999993</c:v>
                </c:pt>
                <c:pt idx="24">
                  <c:v>-775.13999999999828</c:v>
                </c:pt>
                <c:pt idx="25">
                  <c:v>-744.00999999999976</c:v>
                </c:pt>
                <c:pt idx="26">
                  <c:v>-474.87999999999954</c:v>
                </c:pt>
                <c:pt idx="27">
                  <c:v>-394.67999999999972</c:v>
                </c:pt>
                <c:pt idx="28">
                  <c:v>-325.28000000000026</c:v>
                </c:pt>
                <c:pt idx="29">
                  <c:v>-284.37999999999977</c:v>
                </c:pt>
                <c:pt idx="30">
                  <c:v>-205.89999999999992</c:v>
                </c:pt>
                <c:pt idx="31">
                  <c:v>-197.03999999999974</c:v>
                </c:pt>
                <c:pt idx="32">
                  <c:v>-136.87</c:v>
                </c:pt>
                <c:pt idx="33">
                  <c:v>174.19000000000011</c:v>
                </c:pt>
                <c:pt idx="34">
                  <c:v>460.77000000000021</c:v>
                </c:pt>
                <c:pt idx="35">
                  <c:v>461.40999999999963</c:v>
                </c:pt>
                <c:pt idx="36">
                  <c:v>607.65999999999985</c:v>
                </c:pt>
                <c:pt idx="37">
                  <c:v>834.55000000000018</c:v>
                </c:pt>
                <c:pt idx="38">
                  <c:v>936.85</c:v>
                </c:pt>
                <c:pt idx="39">
                  <c:v>1010.1899999999987</c:v>
                </c:pt>
                <c:pt idx="40">
                  <c:v>1046.1300000000015</c:v>
                </c:pt>
                <c:pt idx="41">
                  <c:v>1137.9199999999998</c:v>
                </c:pt>
                <c:pt idx="42">
                  <c:v>1310.2700000000004</c:v>
                </c:pt>
                <c:pt idx="43">
                  <c:v>1452.4100000000008</c:v>
                </c:pt>
                <c:pt idx="44">
                  <c:v>1466.2299999999996</c:v>
                </c:pt>
                <c:pt idx="45">
                  <c:v>1471.3000000000002</c:v>
                </c:pt>
                <c:pt idx="46">
                  <c:v>1505.860000000001</c:v>
                </c:pt>
                <c:pt idx="47">
                  <c:v>1557.5899999999997</c:v>
                </c:pt>
                <c:pt idx="48">
                  <c:v>1637.6000000000004</c:v>
                </c:pt>
                <c:pt idx="49">
                  <c:v>1661.54</c:v>
                </c:pt>
                <c:pt idx="50">
                  <c:v>1695.4400000000087</c:v>
                </c:pt>
                <c:pt idx="51">
                  <c:v>1824.5799999999992</c:v>
                </c:pt>
                <c:pt idx="52">
                  <c:v>1839.4600000000007</c:v>
                </c:pt>
                <c:pt idx="53">
                  <c:v>1932.4600000000003</c:v>
                </c:pt>
                <c:pt idx="54">
                  <c:v>2367.8799999999997</c:v>
                </c:pt>
                <c:pt idx="55">
                  <c:v>2447.5100000000007</c:v>
                </c:pt>
                <c:pt idx="56">
                  <c:v>2594.8600000000015</c:v>
                </c:pt>
                <c:pt idx="57">
                  <c:v>2825.2600000000007</c:v>
                </c:pt>
                <c:pt idx="58">
                  <c:v>2932.9799999999996</c:v>
                </c:pt>
                <c:pt idx="59">
                  <c:v>3025.0700000000006</c:v>
                </c:pt>
                <c:pt idx="60">
                  <c:v>3155.0599999999945</c:v>
                </c:pt>
                <c:pt idx="61">
                  <c:v>3212.0699999999997</c:v>
                </c:pt>
                <c:pt idx="62">
                  <c:v>3339.4399999999996</c:v>
                </c:pt>
                <c:pt idx="63">
                  <c:v>3414.4300000000003</c:v>
                </c:pt>
                <c:pt idx="64">
                  <c:v>3447.28</c:v>
                </c:pt>
                <c:pt idx="65">
                  <c:v>3475.3300000000008</c:v>
                </c:pt>
                <c:pt idx="66">
                  <c:v>3717.1400000000003</c:v>
                </c:pt>
                <c:pt idx="67">
                  <c:v>3877.7400000000007</c:v>
                </c:pt>
                <c:pt idx="68">
                  <c:v>4727.6799999999994</c:v>
                </c:pt>
                <c:pt idx="69">
                  <c:v>4820.380000000001</c:v>
                </c:pt>
                <c:pt idx="70">
                  <c:v>4862</c:v>
                </c:pt>
                <c:pt idx="71">
                  <c:v>5015.6800000000039</c:v>
                </c:pt>
                <c:pt idx="72">
                  <c:v>15736.769999999999</c:v>
                </c:pt>
              </c:numCache>
            </c:numRef>
          </c:val>
          <c:extLst>
            <c:ext xmlns:c16="http://schemas.microsoft.com/office/drawing/2014/chart" uri="{C3380CC4-5D6E-409C-BE32-E72D297353CC}">
              <c16:uniqueId val="{00000000-02EE-42FF-9253-7B8B4E254046}"/>
            </c:ext>
          </c:extLst>
        </c:ser>
        <c:dLbls>
          <c:showLegendKey val="0"/>
          <c:showVal val="0"/>
          <c:showCatName val="0"/>
          <c:showSerName val="0"/>
          <c:showPercent val="0"/>
          <c:showBubbleSize val="0"/>
        </c:dLbls>
        <c:gapWidth val="164"/>
        <c:overlap val="-22"/>
        <c:axId val="529051232"/>
        <c:axId val="529050872"/>
      </c:barChart>
      <c:catAx>
        <c:axId val="529051232"/>
        <c:scaling>
          <c:orientation val="minMax"/>
        </c:scaling>
        <c:delete val="0"/>
        <c:axPos val="b"/>
        <c:numFmt formatCode="General" sourceLinked="1"/>
        <c:majorTickMark val="none"/>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050872"/>
        <c:crosses val="autoZero"/>
        <c:auto val="1"/>
        <c:lblAlgn val="ctr"/>
        <c:lblOffset val="100"/>
        <c:noMultiLvlLbl val="0"/>
      </c:catAx>
      <c:valAx>
        <c:axId val="5290508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051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[Super Stores Dash.xlsm]Sheet2!PivotTable2</c:name>
    <c:fmtId val="4"/>
  </c:pivotSource>
  <c:chart>
    <c:title>
      <c:tx>
        <c:rich>
          <a:bodyPr rot="0" spcFirstLastPara="1" vertOverflow="ellipsis" vert="horz" wrap="square" anchor="ctr" anchorCtr="1"/>
          <a:lstStyle/>
          <a:p>
            <a:pPr>
              <a:defRPr lang="en-US" sz="1600" b="1" i="0" u="none" strike="noStrike" kern="1200" spc="0" baseline="0">
                <a:solidFill>
                  <a:schemeClr val="tx1">
                    <a:lumMod val="75000"/>
                    <a:lumOff val="25000"/>
                  </a:schemeClr>
                </a:solidFill>
                <a:latin typeface="+mn-lt"/>
                <a:ea typeface="+mn-ea"/>
                <a:cs typeface="+mn-cs"/>
              </a:defRPr>
            </a:pPr>
            <a:r>
              <a:rPr lang="en-US" sz="1600" b="1">
                <a:solidFill>
                  <a:schemeClr val="tx1">
                    <a:lumMod val="75000"/>
                    <a:lumOff val="25000"/>
                  </a:schemeClr>
                </a:solidFill>
              </a:rPr>
              <a:t>Total Quantity</a:t>
            </a:r>
          </a:p>
        </c:rich>
      </c:tx>
      <c:layout>
        <c:manualLayout>
          <c:xMode val="edge"/>
          <c:yMode val="edge"/>
          <c:x val="0.34030911004111158"/>
          <c:y val="4.0296130071231451E-2"/>
        </c:manualLayout>
      </c:layout>
      <c:overlay val="0"/>
      <c:spPr>
        <a:noFill/>
        <a:ln>
          <a:noFill/>
        </a:ln>
        <a:effectLst/>
      </c:spPr>
      <c:txPr>
        <a:bodyPr rot="0" spcFirstLastPara="1" vertOverflow="ellipsis" vert="horz" wrap="square" anchor="ctr" anchorCtr="1"/>
        <a:lstStyle/>
        <a:p>
          <a:pPr>
            <a:defRPr lang="en-US" sz="1600" b="1"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5"/>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solidFill>
          <a:ln w="19050">
            <a:solidFill>
              <a:schemeClr val="lt1"/>
            </a:solidFill>
          </a:ln>
          <a:effectLst/>
        </c:spPr>
        <c:marker>
          <c:symbol val="none"/>
        </c:marker>
        <c:dLbl>
          <c:idx val="0"/>
          <c:numFmt formatCode="#,###" sourceLinked="0"/>
          <c:spPr>
            <a:noFill/>
            <a:ln>
              <a:noFill/>
            </a:ln>
            <a:effectLst/>
          </c:spPr>
          <c:txPr>
            <a:bodyPr rot="0" spcFirstLastPara="1" vertOverflow="ellipsis" vert="horz" wrap="square" anchor="ctr" anchorCtr="1"/>
            <a:lstStyle/>
            <a:p>
              <a:pPr>
                <a:defRPr lang="en-US" sz="1000" b="1" i="0" u="none" strike="noStrike" kern="1200" baseline="0">
                  <a:solidFill>
                    <a:schemeClr val="tx2">
                      <a:lumMod val="5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hade val="65000"/>
            </a:schemeClr>
          </a:solidFill>
          <a:ln w="19050">
            <a:solidFill>
              <a:schemeClr val="lt1"/>
            </a:solidFill>
          </a:ln>
          <a:effectLst/>
        </c:spPr>
        <c:dLbl>
          <c:idx val="0"/>
          <c:numFmt formatCode="#,###" sourceLinked="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
      </c:pivotFmt>
      <c:pivotFmt>
        <c:idx val="7"/>
        <c:spPr>
          <a:solidFill>
            <a:schemeClr val="accent5"/>
          </a:solidFill>
          <a:ln w="19050">
            <a:solidFill>
              <a:schemeClr val="lt1"/>
            </a:solidFill>
          </a:ln>
          <a:effectLst/>
        </c:spPr>
      </c:pivotFmt>
      <c:pivotFmt>
        <c:idx val="8"/>
        <c:spPr>
          <a:solidFill>
            <a:schemeClr val="accent5">
              <a:tint val="65000"/>
            </a:schemeClr>
          </a:solidFill>
          <a:ln w="19050">
            <a:solidFill>
              <a:schemeClr val="lt1"/>
            </a:solidFill>
          </a:ln>
          <a:effectLst/>
        </c:spPr>
      </c:pivotFmt>
    </c:pivotFmts>
    <c:plotArea>
      <c:layout>
        <c:manualLayout>
          <c:layoutTarget val="inner"/>
          <c:xMode val="edge"/>
          <c:yMode val="edge"/>
          <c:x val="2.3365673267030779E-2"/>
          <c:y val="0.21355592300043572"/>
          <c:w val="0.61204854690927313"/>
          <c:h val="0.68627792878130844"/>
        </c:manualLayout>
      </c:layout>
      <c:pieChart>
        <c:varyColors val="1"/>
        <c:ser>
          <c:idx val="0"/>
          <c:order val="0"/>
          <c:tx>
            <c:strRef>
              <c:f>Sheet2!$B$3</c:f>
              <c:strCache>
                <c:ptCount val="1"/>
                <c:pt idx="0">
                  <c:v>Total</c:v>
                </c:pt>
              </c:strCache>
            </c:strRef>
          </c:tx>
          <c:dPt>
            <c:idx val="0"/>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01-E9BE-4B04-9777-C3DEDA267865}"/>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E9BE-4B04-9777-C3DEDA267865}"/>
              </c:ext>
            </c:extLst>
          </c:dPt>
          <c:dPt>
            <c:idx val="2"/>
            <c:bubble3D val="0"/>
            <c:spPr>
              <a:solidFill>
                <a:schemeClr val="accent5">
                  <a:tint val="65000"/>
                </a:schemeClr>
              </a:solidFill>
              <a:ln w="19050">
                <a:solidFill>
                  <a:schemeClr val="lt1"/>
                </a:solidFill>
              </a:ln>
              <a:effectLst/>
            </c:spPr>
            <c:extLst>
              <c:ext xmlns:c16="http://schemas.microsoft.com/office/drawing/2014/chart" uri="{C3380CC4-5D6E-409C-BE32-E72D297353CC}">
                <c16:uniqueId val="{00000005-E9BE-4B04-9777-C3DEDA267865}"/>
              </c:ext>
            </c:extLst>
          </c:dPt>
          <c:dLbls>
            <c:numFmt formatCode="#,###" sourceLinked="0"/>
            <c:spPr>
              <a:noFill/>
              <a:ln>
                <a:noFill/>
              </a:ln>
              <a:effectLst/>
            </c:spPr>
            <c:txPr>
              <a:bodyPr rot="0" spcFirstLastPara="1" vertOverflow="ellipsis" vert="horz" wrap="square" anchor="ctr" anchorCtr="1"/>
              <a:lstStyle/>
              <a:p>
                <a:pPr>
                  <a:defRPr lang="en-US" sz="1000" b="1" i="0" u="none" strike="noStrike" kern="1200" baseline="0">
                    <a:solidFill>
                      <a:schemeClr val="tx2">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extLst>
          </c:dLbls>
          <c:cat>
            <c:strRef>
              <c:f>Sheet2!$A$4:$A$7</c:f>
              <c:strCache>
                <c:ptCount val="3"/>
                <c:pt idx="0">
                  <c:v>APAC</c:v>
                </c:pt>
                <c:pt idx="1">
                  <c:v>EMEA</c:v>
                </c:pt>
                <c:pt idx="2">
                  <c:v>North America</c:v>
                </c:pt>
              </c:strCache>
            </c:strRef>
          </c:cat>
          <c:val>
            <c:numRef>
              <c:f>Sheet2!$B$4:$B$7</c:f>
              <c:numCache>
                <c:formatCode>General</c:formatCode>
                <c:ptCount val="3"/>
                <c:pt idx="0">
                  <c:v>11809</c:v>
                </c:pt>
                <c:pt idx="1">
                  <c:v>49306</c:v>
                </c:pt>
                <c:pt idx="2">
                  <c:v>37952</c:v>
                </c:pt>
              </c:numCache>
            </c:numRef>
          </c:val>
          <c:extLst>
            <c:ext xmlns:c16="http://schemas.microsoft.com/office/drawing/2014/chart" uri="{C3380CC4-5D6E-409C-BE32-E72D297353CC}">
              <c16:uniqueId val="{00000006-E9BE-4B04-9777-C3DEDA267865}"/>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64501353396063088"/>
          <c:y val="0.24402020525723786"/>
          <c:w val="0.27581821571384602"/>
          <c:h val="0.61170678579984172"/>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40000"/>
            <a:lumOff val="60000"/>
          </a:schemeClr>
        </a:gs>
        <a:gs pos="27000">
          <a:schemeClr val="accent1">
            <a:lumMod val="20000"/>
            <a:lumOff val="80000"/>
          </a:schemeClr>
        </a:gs>
      </a:gsLst>
      <a:lin ang="5400000" scaled="1"/>
    </a:gra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[Super Stores Dash.xlsm]Sheet2!PivotTable10</c:name>
    <c:fmtId val="4"/>
  </c:pivotSource>
  <c:chart>
    <c:title>
      <c:tx>
        <c:rich>
          <a:bodyPr rot="0" spcFirstLastPara="1" vertOverflow="ellipsis" vert="horz" wrap="square" anchor="ctr" anchorCtr="1"/>
          <a:lstStyle/>
          <a:p>
            <a:pPr>
              <a:defRPr lang="en-US" sz="1600" b="1" i="0" u="none" strike="noStrike" kern="1200" spc="0" baseline="0">
                <a:solidFill>
                  <a:schemeClr val="tx2">
                    <a:lumMod val="75000"/>
                  </a:schemeClr>
                </a:solidFill>
                <a:latin typeface="+mn-lt"/>
                <a:ea typeface="+mn-ea"/>
                <a:cs typeface="+mn-cs"/>
              </a:defRPr>
            </a:pPr>
            <a:r>
              <a:rPr lang="en-US" sz="1600" b="1">
                <a:solidFill>
                  <a:schemeClr val="tx2">
                    <a:lumMod val="75000"/>
                  </a:schemeClr>
                </a:solidFill>
              </a:rPr>
              <a:t>Total Sales</a:t>
            </a:r>
          </a:p>
        </c:rich>
      </c:tx>
      <c:layout>
        <c:manualLayout>
          <c:xMode val="edge"/>
          <c:yMode val="edge"/>
          <c:x val="0.34453908610734474"/>
          <c:y val="3.9174185572678259E-2"/>
        </c:manualLayout>
      </c:layout>
      <c:overlay val="0"/>
      <c:spPr>
        <a:noFill/>
        <a:ln>
          <a:noFill/>
        </a:ln>
        <a:effectLst/>
      </c:spPr>
      <c:txPr>
        <a:bodyPr rot="0" spcFirstLastPara="1" vertOverflow="ellipsis" vert="horz" wrap="square" anchor="ctr" anchorCtr="1"/>
        <a:lstStyle/>
        <a:p>
          <a:pPr>
            <a:defRPr lang="en-US" sz="1600" b="1" i="0" u="none" strike="noStrike" kern="1200" spc="0" baseline="0">
              <a:solidFill>
                <a:schemeClr val="tx2">
                  <a:lumMod val="75000"/>
                </a:schemeClr>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solidFill>
          <a:ln w="19050">
            <a:solidFill>
              <a:schemeClr val="lt1"/>
            </a:solidFill>
          </a:ln>
          <a:effectLst/>
        </c:spPr>
        <c:marker>
          <c:symbol val="none"/>
        </c:marker>
        <c:dLbl>
          <c:idx val="0"/>
          <c:numFmt formatCode="&quot;$&quot;#,##0.0" sourceLinked="0"/>
          <c:spPr>
            <a:noFill/>
            <a:ln>
              <a:noFill/>
            </a:ln>
            <a:effectLst/>
          </c:spPr>
          <c:txPr>
            <a:bodyPr rot="0" spcFirstLastPara="1" vertOverflow="overflow" horzOverflow="overflow" vert="horz" wrap="none" anchor="ctr" anchorCtr="1">
              <a:spAutoFit/>
            </a:bodyPr>
            <a:lstStyle/>
            <a:p>
              <a:pPr>
                <a:defRPr lang="en-US" sz="10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noFill/>
          <a:ln w="19050">
            <a:solidFill>
              <a:schemeClr val="lt1"/>
            </a:solidFill>
          </a:ln>
          <a:effectLst/>
        </c:spPr>
        <c:dLbl>
          <c:idx val="0"/>
          <c:tx>
            <c:rich>
              <a:bodyPr rot="0" spcFirstLastPara="1" vertOverflow="overflow" horzOverflow="overflow" vert="horz" wrap="none" anchor="ctr" anchorCtr="1">
                <a:spAutoFit/>
              </a:bodyPr>
              <a:lstStyle/>
              <a:p>
                <a:pPr>
                  <a:defRPr lang="en-US" sz="1000" b="1" i="0" u="none" strike="noStrike" kern="1200" baseline="0">
                    <a:solidFill>
                      <a:sysClr val="windowText" lastClr="000000"/>
                    </a:solidFill>
                    <a:latin typeface="+mn-lt"/>
                    <a:ea typeface="+mn-ea"/>
                    <a:cs typeface="+mn-cs"/>
                  </a:defRPr>
                </a:pPr>
                <a:fld id="{8BEB6BE0-7CCA-41B2-B8F2-A3D4BE77CED0}" type="VALUE">
                  <a:rPr lang="en-US">
                    <a:solidFill>
                      <a:sysClr val="windowText" lastClr="000000"/>
                    </a:solidFill>
                  </a:rPr>
                  <a:pPr>
                    <a:defRPr b="1">
                      <a:solidFill>
                        <a:sysClr val="windowText" lastClr="000000"/>
                      </a:solidFill>
                    </a:defRPr>
                  </a:pPr>
                  <a:t>[VALUE]</a:t>
                </a:fld>
                <a:endParaRPr lang="en-GB"/>
              </a:p>
            </c:rich>
          </c:tx>
          <c:numFmt formatCode="&quot;$&quot;#,##0.0" sourceLinked="0"/>
          <c:spPr>
            <a:noFill/>
            <a:ln>
              <a:noFill/>
            </a:ln>
            <a:effectLst/>
          </c:spPr>
          <c:txPr>
            <a:bodyPr rot="0" spcFirstLastPara="1" vertOverflow="overflow" horzOverflow="overflow" vert="horz" wrap="none" anchor="ctr" anchorCtr="1">
              <a:spAutoFit/>
            </a:bodyPr>
            <a:lstStyle/>
            <a:p>
              <a:pPr>
                <a:defRPr lang="en-US" sz="10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showDataLabelsRange val="0"/>
            </c:ext>
          </c:extLst>
        </c:dLbl>
      </c:pivotFmt>
      <c:pivotFmt>
        <c:idx val="7"/>
        <c:spPr>
          <a:solidFill>
            <a:schemeClr val="accent5"/>
          </a:solidFill>
          <a:ln w="19050">
            <a:solidFill>
              <a:schemeClr val="lt1"/>
            </a:solidFill>
          </a:ln>
          <a:effectLst/>
        </c:spPr>
      </c:pivotFmt>
      <c:pivotFmt>
        <c:idx val="8"/>
        <c:spPr>
          <a:solidFill>
            <a:schemeClr val="accent5">
              <a:tint val="65000"/>
            </a:schemeClr>
          </a:solidFill>
          <a:ln w="19050">
            <a:solidFill>
              <a:schemeClr val="lt1"/>
            </a:solidFill>
          </a:ln>
          <a:effectLst/>
        </c:spPr>
        <c:dLbl>
          <c:idx val="0"/>
          <c:numFmt formatCode="&quot;$&quot;#,##0.0" sourceLinked="0"/>
          <c:spPr>
            <a:noFill/>
            <a:ln>
              <a:noFill/>
            </a:ln>
            <a:effectLst/>
          </c:spPr>
          <c:txPr>
            <a:bodyPr rot="0" spcFirstLastPara="1" vertOverflow="overflow" horzOverflow="overflow" vert="horz" wrap="none" anchor="ctr" anchorCtr="1">
              <a:spAutoFit/>
            </a:bodyPr>
            <a:lstStyle/>
            <a:p>
              <a:pPr>
                <a:defRPr lang="en-US" sz="1000" b="1" i="0" u="none" strike="noStrike" kern="1200" baseline="0">
                  <a:solidFill>
                    <a:sysClr val="windowText" lastClr="000000"/>
                  </a:solidFill>
                  <a:latin typeface="+mn-lt"/>
                  <a:ea typeface="+mn-ea"/>
                  <a:cs typeface="+mn-cs"/>
                </a:defRPr>
              </a:pPr>
              <a:endParaRPr lang="en-US"/>
            </a:p>
          </c:txPr>
        </c:dLbl>
      </c:pivotFmt>
    </c:pivotFmts>
    <c:plotArea>
      <c:layout>
        <c:manualLayout>
          <c:layoutTarget val="inner"/>
          <c:xMode val="edge"/>
          <c:yMode val="edge"/>
          <c:x val="3.0027873718845199E-2"/>
          <c:y val="0.20032859899084593"/>
          <c:w val="0.65122306814223996"/>
          <c:h val="0.72763039172711241"/>
        </c:manualLayout>
      </c:layout>
      <c:pieChart>
        <c:varyColors val="1"/>
        <c:ser>
          <c:idx val="0"/>
          <c:order val="0"/>
          <c:tx>
            <c:strRef>
              <c:f>Sheet2!$B$29</c:f>
              <c:strCache>
                <c:ptCount val="1"/>
                <c:pt idx="0">
                  <c:v>Total</c:v>
                </c:pt>
              </c:strCache>
            </c:strRef>
          </c:tx>
          <c:dPt>
            <c:idx val="0"/>
            <c:bubble3D val="0"/>
            <c:spPr>
              <a:noFill/>
              <a:ln w="19050">
                <a:solidFill>
                  <a:schemeClr val="lt1"/>
                </a:solidFill>
              </a:ln>
              <a:effectLst/>
            </c:spPr>
            <c:extLst>
              <c:ext xmlns:c16="http://schemas.microsoft.com/office/drawing/2014/chart" uri="{C3380CC4-5D6E-409C-BE32-E72D297353CC}">
                <c16:uniqueId val="{00000001-BB2C-4AA7-9458-343A5AC2EBA6}"/>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BB2C-4AA7-9458-343A5AC2EBA6}"/>
              </c:ext>
            </c:extLst>
          </c:dPt>
          <c:dPt>
            <c:idx val="2"/>
            <c:bubble3D val="0"/>
            <c:spPr>
              <a:solidFill>
                <a:schemeClr val="accent5">
                  <a:tint val="65000"/>
                </a:schemeClr>
              </a:solidFill>
              <a:ln w="19050">
                <a:solidFill>
                  <a:schemeClr val="lt1"/>
                </a:solidFill>
              </a:ln>
              <a:effectLst/>
            </c:spPr>
            <c:extLst>
              <c:ext xmlns:c16="http://schemas.microsoft.com/office/drawing/2014/chart" uri="{C3380CC4-5D6E-409C-BE32-E72D297353CC}">
                <c16:uniqueId val="{00000005-BB2C-4AA7-9458-343A5AC2EBA6}"/>
              </c:ext>
            </c:extLst>
          </c:dPt>
          <c:dLbls>
            <c:dLbl>
              <c:idx val="0"/>
              <c:tx>
                <c:rich>
                  <a:bodyPr/>
                  <a:lstStyle/>
                  <a:p>
                    <a:fld id="{8BEB6BE0-7CCA-41B2-B8F2-A3D4BE77CED0}" type="VALUE">
                      <a:rPr lang="en-US">
                        <a:solidFill>
                          <a:sysClr val="windowText" lastClr="000000"/>
                        </a:solidFill>
                      </a:rPr>
                      <a:pPr/>
                      <a:t>[VALUE]</a:t>
                    </a:fld>
                    <a:endParaRPr lang="en-GB"/>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B2C-4AA7-9458-343A5AC2EBA6}"/>
                </c:ext>
              </c:extLst>
            </c:dLbl>
            <c:numFmt formatCode="&quot;$&quot;#,##0.0" sourceLinked="0"/>
            <c:spPr>
              <a:noFill/>
              <a:ln>
                <a:noFill/>
              </a:ln>
              <a:effectLst/>
            </c:spPr>
            <c:txPr>
              <a:bodyPr rot="0" spcFirstLastPara="1" vertOverflow="overflow" horzOverflow="overflow" vert="horz" wrap="none" anchor="ctr" anchorCtr="1">
                <a:spAutoFit/>
              </a:bodyPr>
              <a:lstStyle/>
              <a:p>
                <a:pPr>
                  <a:defRPr lang="en-US" sz="10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strRef>
              <c:f>Sheet2!$A$30:$A$33</c:f>
              <c:strCache>
                <c:ptCount val="3"/>
                <c:pt idx="0">
                  <c:v>APAC</c:v>
                </c:pt>
                <c:pt idx="1">
                  <c:v>EMEA</c:v>
                </c:pt>
                <c:pt idx="2">
                  <c:v>North America</c:v>
                </c:pt>
              </c:strCache>
            </c:strRef>
          </c:cat>
          <c:val>
            <c:numRef>
              <c:f>Sheet2!$B$30:$B$33</c:f>
              <c:numCache>
                <c:formatCode>General</c:formatCode>
                <c:ptCount val="3"/>
                <c:pt idx="0">
                  <c:v>4583.0500000000011</c:v>
                </c:pt>
                <c:pt idx="1">
                  <c:v>2875.4100000000612</c:v>
                </c:pt>
                <c:pt idx="2">
                  <c:v>27828.390000000079</c:v>
                </c:pt>
              </c:numCache>
            </c:numRef>
          </c:val>
          <c:extLst>
            <c:ext xmlns:c16="http://schemas.microsoft.com/office/drawing/2014/chart" uri="{C3380CC4-5D6E-409C-BE32-E72D297353CC}">
              <c16:uniqueId val="{00000006-BB2C-4AA7-9458-343A5AC2EBA6}"/>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63446483139925924"/>
          <c:y val="0.36859759901964234"/>
          <c:w val="0.31317140831311163"/>
          <c:h val="0.44341790609507142"/>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40000"/>
            <a:lumOff val="60000"/>
          </a:schemeClr>
        </a:gs>
        <a:gs pos="27000">
          <a:schemeClr val="accent1">
            <a:lumMod val="20000"/>
            <a:lumOff val="80000"/>
          </a:schemeClr>
        </a:gs>
      </a:gsLst>
      <a:lin ang="5400000" scaled="1"/>
    </a:gra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Stores Dash.xlsm]Sheet2!PivotTable9</c:name>
    <c:fmtId val="6"/>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Total Profit per Month</a:t>
            </a:r>
          </a:p>
        </c:rich>
      </c:tx>
      <c:layout>
        <c:manualLayout>
          <c:xMode val="edge"/>
          <c:yMode val="edge"/>
          <c:x val="0.32720380837078084"/>
          <c:y val="1.990151102614228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quot;$&quot;#,##0.00;[Red]&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2.2169434529295774E-3"/>
              <c:y val="1.492613326960671E-2"/>
            </c:manualLayout>
          </c:layout>
          <c:numFmt formatCode="&quot;$&quot;#,##0.00;[Red]&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Sheet2!$B$35</c:f>
              <c:strCache>
                <c:ptCount val="1"/>
                <c:pt idx="0">
                  <c:v>Total</c:v>
                </c:pt>
              </c:strCache>
            </c:strRef>
          </c:tx>
          <c:spPr>
            <a:solidFill>
              <a:schemeClr val="accent1"/>
            </a:solidFill>
            <a:ln>
              <a:noFill/>
            </a:ln>
            <a:effectLst/>
          </c:spPr>
          <c:invertIfNegative val="0"/>
          <c:dPt>
            <c:idx val="11"/>
            <c:invertIfNegative val="0"/>
            <c:bubble3D val="0"/>
            <c:spPr>
              <a:solidFill>
                <a:schemeClr val="accent1"/>
              </a:solidFill>
              <a:ln>
                <a:noFill/>
              </a:ln>
              <a:effectLst/>
            </c:spPr>
            <c:extLst>
              <c:ext xmlns:c16="http://schemas.microsoft.com/office/drawing/2014/chart" uri="{C3380CC4-5D6E-409C-BE32-E72D297353CC}">
                <c16:uniqueId val="{00000001-E702-40CE-860A-C6603AA91470}"/>
              </c:ext>
            </c:extLst>
          </c:dPt>
          <c:dLbls>
            <c:dLbl>
              <c:idx val="11"/>
              <c:layout>
                <c:manualLayout>
                  <c:x val="2.2169434529295774E-3"/>
                  <c:y val="1.49261332696067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702-40CE-860A-C6603AA91470}"/>
                </c:ext>
              </c:extLst>
            </c:dLbl>
            <c:numFmt formatCode="&quot;$&quot;#,##0.00;[Red]&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Sheet2!$A$36:$A$48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Sheet2!$B$36:$B$48</c:f>
              <c:numCache>
                <c:formatCode>General</c:formatCode>
                <c:ptCount val="12"/>
                <c:pt idx="0">
                  <c:v>-10828.560000000005</c:v>
                </c:pt>
                <c:pt idx="1">
                  <c:v>9545.9</c:v>
                </c:pt>
                <c:pt idx="2">
                  <c:v>9921.390000000014</c:v>
                </c:pt>
                <c:pt idx="3">
                  <c:v>-3616.0400000000036</c:v>
                </c:pt>
                <c:pt idx="4">
                  <c:v>4612.5600000000077</c:v>
                </c:pt>
                <c:pt idx="5">
                  <c:v>-4444.2200000000012</c:v>
                </c:pt>
                <c:pt idx="6">
                  <c:v>4593.9700000000012</c:v>
                </c:pt>
                <c:pt idx="7">
                  <c:v>-5887.4299999999976</c:v>
                </c:pt>
                <c:pt idx="8">
                  <c:v>9193.2700000000023</c:v>
                </c:pt>
                <c:pt idx="9">
                  <c:v>18138.220000000019</c:v>
                </c:pt>
                <c:pt idx="10">
                  <c:v>2052.6699999999942</c:v>
                </c:pt>
                <c:pt idx="11">
                  <c:v>2005.1200000000008</c:v>
                </c:pt>
              </c:numCache>
            </c:numRef>
          </c:val>
          <c:extLst>
            <c:ext xmlns:c16="http://schemas.microsoft.com/office/drawing/2014/chart" uri="{C3380CC4-5D6E-409C-BE32-E72D297353CC}">
              <c16:uniqueId val="{00000000-E702-40CE-860A-C6603AA91470}"/>
            </c:ext>
          </c:extLst>
        </c:ser>
        <c:dLbls>
          <c:showLegendKey val="0"/>
          <c:showVal val="0"/>
          <c:showCatName val="0"/>
          <c:showSerName val="0"/>
          <c:showPercent val="0"/>
          <c:showBubbleSize val="0"/>
        </c:dLbls>
        <c:gapWidth val="20"/>
        <c:overlap val="100"/>
        <c:axId val="608134928"/>
        <c:axId val="608136728"/>
      </c:barChart>
      <c:catAx>
        <c:axId val="608134928"/>
        <c:scaling>
          <c:orientation val="minMax"/>
        </c:scaling>
        <c:delete val="0"/>
        <c:axPos val="b"/>
        <c:numFmt formatCode="General" sourceLinked="1"/>
        <c:majorTickMark val="none"/>
        <c:minorTickMark val="none"/>
        <c:tickLblPos val="low"/>
        <c:spPr>
          <a:noFill/>
          <a:ln w="15875" cap="flat" cmpd="sng" algn="ctr">
            <a:solidFill>
              <a:schemeClr val="accent5">
                <a:lumMod val="50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608136728"/>
        <c:crosses val="autoZero"/>
        <c:auto val="1"/>
        <c:lblAlgn val="ctr"/>
        <c:lblOffset val="100"/>
        <c:noMultiLvlLbl val="0"/>
      </c:catAx>
      <c:valAx>
        <c:axId val="608136728"/>
        <c:scaling>
          <c:orientation val="minMax"/>
        </c:scaling>
        <c:delete val="1"/>
        <c:axPos val="l"/>
        <c:numFmt formatCode="General" sourceLinked="1"/>
        <c:majorTickMark val="none"/>
        <c:minorTickMark val="none"/>
        <c:tickLblPos val="nextTo"/>
        <c:crossAx val="608134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40000"/>
            <a:lumOff val="60000"/>
          </a:schemeClr>
        </a:gs>
        <a:gs pos="27000">
          <a:schemeClr val="accent1">
            <a:lumMod val="20000"/>
            <a:lumOff val="80000"/>
            <a:alpha val="94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[Super Stores Dash.xlsm]Sheet2!PivotTable6</c:name>
    <c:fmtId val="8"/>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t>Productline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lt1"/>
            </a:solidFill>
          </a:ln>
          <a:effectLst/>
        </c:spPr>
      </c:pivotFmt>
      <c:pivotFmt>
        <c:idx val="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10"/>
        <c:spPr>
          <a:solidFill>
            <a:schemeClr val="accent5">
              <a:tint val="48000"/>
            </a:schemeClr>
          </a:solidFill>
          <a:ln w="19050">
            <a:solidFill>
              <a:schemeClr val="lt1"/>
            </a:solidFill>
          </a:ln>
          <a:effectLst/>
        </c:spPr>
      </c:pivotFmt>
      <c:pivotFmt>
        <c:idx val="11"/>
        <c:spPr>
          <a:solidFill>
            <a:schemeClr val="accent5">
              <a:tint val="65000"/>
            </a:schemeClr>
          </a:solidFill>
          <a:ln w="19050">
            <a:solidFill>
              <a:schemeClr val="lt1"/>
            </a:solidFill>
          </a:ln>
          <a:effectLst/>
        </c:spPr>
      </c:pivotFmt>
      <c:pivotFmt>
        <c:idx val="12"/>
        <c:spPr>
          <a:solidFill>
            <a:schemeClr val="accent5">
              <a:tint val="83000"/>
            </a:schemeClr>
          </a:solidFill>
          <a:ln w="19050">
            <a:solidFill>
              <a:schemeClr val="lt1"/>
            </a:solidFill>
          </a:ln>
          <a:effectLst/>
        </c:spPr>
      </c:pivotFmt>
      <c:pivotFmt>
        <c:idx val="13"/>
        <c:spPr>
          <a:solidFill>
            <a:schemeClr val="accent5"/>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
      </c:pivotFmt>
      <c:pivotFmt>
        <c:idx val="14"/>
        <c:spPr>
          <a:solidFill>
            <a:schemeClr val="accent5">
              <a:shade val="82000"/>
            </a:schemeClr>
          </a:solidFill>
          <a:ln w="19050">
            <a:solidFill>
              <a:schemeClr val="lt1"/>
            </a:solidFill>
          </a:ln>
          <a:effectLst/>
        </c:spPr>
        <c:dLbl>
          <c:idx val="0"/>
          <c:layout>
            <c:manualLayout>
              <c:x val="5.2091242294212761E-3"/>
              <c:y val="-4.8640926552202691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15"/>
        <c:spPr>
          <a:solidFill>
            <a:schemeClr val="accent5">
              <a:shade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
      </c:pivotFmt>
      <c:pivotFmt>
        <c:idx val="16"/>
        <c:spPr>
          <a:solidFill>
            <a:schemeClr val="accent5">
              <a:shade val="47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
      </c:pivotFmt>
    </c:pivotFmts>
    <c:plotArea>
      <c:layout>
        <c:manualLayout>
          <c:layoutTarget val="inner"/>
          <c:xMode val="edge"/>
          <c:yMode val="edge"/>
          <c:x val="5.2665896017491921E-2"/>
          <c:y val="0.21735791678954564"/>
          <c:w val="0.57799677627861268"/>
          <c:h val="0.62640627812652017"/>
        </c:manualLayout>
      </c:layout>
      <c:doughnutChart>
        <c:varyColors val="1"/>
        <c:ser>
          <c:idx val="0"/>
          <c:order val="0"/>
          <c:tx>
            <c:strRef>
              <c:f>Sheet2!$D$11</c:f>
              <c:strCache>
                <c:ptCount val="1"/>
                <c:pt idx="0">
                  <c:v>Total</c:v>
                </c:pt>
              </c:strCache>
            </c:strRef>
          </c:tx>
          <c:explosion val="1"/>
          <c:dPt>
            <c:idx val="0"/>
            <c:bubble3D val="0"/>
            <c:spPr>
              <a:solidFill>
                <a:schemeClr val="accent5">
                  <a:tint val="48000"/>
                </a:schemeClr>
              </a:solidFill>
              <a:ln w="19050">
                <a:solidFill>
                  <a:schemeClr val="lt1"/>
                </a:solidFill>
              </a:ln>
              <a:effectLst/>
            </c:spPr>
            <c:extLst>
              <c:ext xmlns:c16="http://schemas.microsoft.com/office/drawing/2014/chart" uri="{C3380CC4-5D6E-409C-BE32-E72D297353CC}">
                <c16:uniqueId val="{00000001-4BFD-4E35-A0F6-CC279BA2A592}"/>
              </c:ext>
            </c:extLst>
          </c:dPt>
          <c:dPt>
            <c:idx val="1"/>
            <c:bubble3D val="0"/>
            <c:spPr>
              <a:solidFill>
                <a:schemeClr val="accent5">
                  <a:tint val="65000"/>
                </a:schemeClr>
              </a:solidFill>
              <a:ln w="19050">
                <a:solidFill>
                  <a:schemeClr val="lt1"/>
                </a:solidFill>
              </a:ln>
              <a:effectLst/>
            </c:spPr>
            <c:extLst>
              <c:ext xmlns:c16="http://schemas.microsoft.com/office/drawing/2014/chart" uri="{C3380CC4-5D6E-409C-BE32-E72D297353CC}">
                <c16:uniqueId val="{00000003-4BFD-4E35-A0F6-CC279BA2A592}"/>
              </c:ext>
            </c:extLst>
          </c:dPt>
          <c:dPt>
            <c:idx val="2"/>
            <c:bubble3D val="0"/>
            <c:spPr>
              <a:solidFill>
                <a:schemeClr val="accent5">
                  <a:tint val="83000"/>
                </a:schemeClr>
              </a:solidFill>
              <a:ln w="19050">
                <a:solidFill>
                  <a:schemeClr val="lt1"/>
                </a:solidFill>
              </a:ln>
              <a:effectLst/>
            </c:spPr>
            <c:extLst>
              <c:ext xmlns:c16="http://schemas.microsoft.com/office/drawing/2014/chart" uri="{C3380CC4-5D6E-409C-BE32-E72D297353CC}">
                <c16:uniqueId val="{00000005-4BFD-4E35-A0F6-CC279BA2A592}"/>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7-4BFD-4E35-A0F6-CC279BA2A592}"/>
              </c:ext>
            </c:extLst>
          </c:dPt>
          <c:dPt>
            <c:idx val="4"/>
            <c:bubble3D val="0"/>
            <c:spPr>
              <a:solidFill>
                <a:schemeClr val="accent5">
                  <a:shade val="82000"/>
                </a:schemeClr>
              </a:solidFill>
              <a:ln w="19050">
                <a:solidFill>
                  <a:schemeClr val="lt1"/>
                </a:solidFill>
              </a:ln>
              <a:effectLst/>
            </c:spPr>
            <c:extLst>
              <c:ext xmlns:c16="http://schemas.microsoft.com/office/drawing/2014/chart" uri="{C3380CC4-5D6E-409C-BE32-E72D297353CC}">
                <c16:uniqueId val="{00000009-4BFD-4E35-A0F6-CC279BA2A592}"/>
              </c:ext>
            </c:extLst>
          </c:dPt>
          <c:dPt>
            <c:idx val="5"/>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0B-4BFD-4E35-A0F6-CC279BA2A592}"/>
              </c:ext>
            </c:extLst>
          </c:dPt>
          <c:dPt>
            <c:idx val="6"/>
            <c:bubble3D val="0"/>
            <c:spPr>
              <a:solidFill>
                <a:schemeClr val="accent5">
                  <a:shade val="47000"/>
                </a:schemeClr>
              </a:solidFill>
              <a:ln w="19050">
                <a:solidFill>
                  <a:schemeClr val="lt1"/>
                </a:solidFill>
              </a:ln>
              <a:effectLst/>
            </c:spPr>
            <c:extLst>
              <c:ext xmlns:c16="http://schemas.microsoft.com/office/drawing/2014/chart" uri="{C3380CC4-5D6E-409C-BE32-E72D297353CC}">
                <c16:uniqueId val="{0000000D-4BFD-4E35-A0F6-CC279BA2A592}"/>
              </c:ext>
            </c:extLst>
          </c:dPt>
          <c:dLbls>
            <c:dLbl>
              <c:idx val="4"/>
              <c:layout>
                <c:manualLayout>
                  <c:x val="5.2091242294212761E-3"/>
                  <c:y val="-4.8640926552202691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4BFD-4E35-A0F6-CC279BA2A59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extLst>
          </c:dLbls>
          <c:cat>
            <c:strRef>
              <c:f>Sheet2!$C$12:$C$19</c:f>
              <c:strCache>
                <c:ptCount val="7"/>
                <c:pt idx="0">
                  <c:v>Classic Cars</c:v>
                </c:pt>
                <c:pt idx="1">
                  <c:v>Motorcycles</c:v>
                </c:pt>
                <c:pt idx="2">
                  <c:v>Planes</c:v>
                </c:pt>
                <c:pt idx="3">
                  <c:v>Ships</c:v>
                </c:pt>
                <c:pt idx="4">
                  <c:v>Trains</c:v>
                </c:pt>
                <c:pt idx="5">
                  <c:v>Trucks and Buses</c:v>
                </c:pt>
                <c:pt idx="6">
                  <c:v>Vintage Cars</c:v>
                </c:pt>
              </c:strCache>
            </c:strRef>
          </c:cat>
          <c:val>
            <c:numRef>
              <c:f>Sheet2!$D$12:$D$19</c:f>
              <c:numCache>
                <c:formatCode>General</c:formatCode>
                <c:ptCount val="7"/>
                <c:pt idx="0">
                  <c:v>967</c:v>
                </c:pt>
                <c:pt idx="1">
                  <c:v>331</c:v>
                </c:pt>
                <c:pt idx="2">
                  <c:v>306</c:v>
                </c:pt>
                <c:pt idx="3">
                  <c:v>234</c:v>
                </c:pt>
                <c:pt idx="4">
                  <c:v>77</c:v>
                </c:pt>
                <c:pt idx="5">
                  <c:v>301</c:v>
                </c:pt>
                <c:pt idx="6">
                  <c:v>607</c:v>
                </c:pt>
              </c:numCache>
            </c:numRef>
          </c:val>
          <c:extLst>
            <c:ext xmlns:c16="http://schemas.microsoft.com/office/drawing/2014/chart" uri="{C3380CC4-5D6E-409C-BE32-E72D297353CC}">
              <c16:uniqueId val="{0000000E-4BFD-4E35-A0F6-CC279BA2A592}"/>
            </c:ext>
          </c:extLst>
        </c:ser>
        <c:dLbls>
          <c:showLegendKey val="0"/>
          <c:showVal val="1"/>
          <c:showCatName val="0"/>
          <c:showSerName val="0"/>
          <c:showPercent val="0"/>
          <c:showBubbleSize val="0"/>
          <c:showLeaderLines val="0"/>
        </c:dLbls>
        <c:firstSliceAng val="0"/>
        <c:holeSize val="40"/>
      </c:doughnutChart>
      <c:spPr>
        <a:noFill/>
        <a:ln>
          <a:noFill/>
        </a:ln>
        <a:effectLst/>
      </c:spPr>
    </c:plotArea>
    <c:legend>
      <c:legendPos val="r"/>
      <c:layout>
        <c:manualLayout>
          <c:xMode val="edge"/>
          <c:yMode val="edge"/>
          <c:x val="0.63529232918038914"/>
          <c:y val="0.19833893150821341"/>
          <c:w val="0.33940067852158373"/>
          <c:h val="0.6995151227321646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40000"/>
            <a:lumOff val="60000"/>
          </a:schemeClr>
        </a:gs>
        <a:gs pos="27000">
          <a:schemeClr val="accent1">
            <a:lumMod val="20000"/>
            <a:lumOff val="8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Stores Dash.xlsm]Sheet2!PivotTable5</c:name>
    <c:fmtId val="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Status</a:t>
            </a:r>
          </a:p>
        </c:rich>
      </c:tx>
      <c:layout>
        <c:manualLayout>
          <c:xMode val="edge"/>
          <c:yMode val="edge"/>
          <c:x val="0.40617637794826705"/>
          <c:y val="3.4061302681992339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Sheet2!$D$3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Sheet2!$C$4:$C$10</c:f>
              <c:strCache>
                <c:ptCount val="6"/>
                <c:pt idx="0">
                  <c:v>Shipped</c:v>
                </c:pt>
                <c:pt idx="1">
                  <c:v>Cancelled</c:v>
                </c:pt>
                <c:pt idx="2">
                  <c:v>Resolved</c:v>
                </c:pt>
                <c:pt idx="3">
                  <c:v>On Hold</c:v>
                </c:pt>
                <c:pt idx="4">
                  <c:v>In Process</c:v>
                </c:pt>
                <c:pt idx="5">
                  <c:v>Disputed</c:v>
                </c:pt>
              </c:strCache>
            </c:strRef>
          </c:cat>
          <c:val>
            <c:numRef>
              <c:f>Sheet2!$D$4:$D$10</c:f>
              <c:numCache>
                <c:formatCode>General</c:formatCode>
                <c:ptCount val="6"/>
                <c:pt idx="0">
                  <c:v>2617</c:v>
                </c:pt>
                <c:pt idx="1">
                  <c:v>60</c:v>
                </c:pt>
                <c:pt idx="2">
                  <c:v>47</c:v>
                </c:pt>
                <c:pt idx="3">
                  <c:v>44</c:v>
                </c:pt>
                <c:pt idx="4">
                  <c:v>41</c:v>
                </c:pt>
                <c:pt idx="5">
                  <c:v>14</c:v>
                </c:pt>
              </c:numCache>
            </c:numRef>
          </c:val>
          <c:extLst>
            <c:ext xmlns:c16="http://schemas.microsoft.com/office/drawing/2014/chart" uri="{C3380CC4-5D6E-409C-BE32-E72D297353CC}">
              <c16:uniqueId val="{00000000-2A4F-4B1C-BF90-FBCD6B85D284}"/>
            </c:ext>
          </c:extLst>
        </c:ser>
        <c:dLbls>
          <c:dLblPos val="outEnd"/>
          <c:showLegendKey val="0"/>
          <c:showVal val="1"/>
          <c:showCatName val="0"/>
          <c:showSerName val="0"/>
          <c:showPercent val="0"/>
          <c:showBubbleSize val="0"/>
        </c:dLbls>
        <c:gapWidth val="219"/>
        <c:overlap val="-27"/>
        <c:axId val="749191984"/>
        <c:axId val="749183704"/>
      </c:barChart>
      <c:catAx>
        <c:axId val="749191984"/>
        <c:scaling>
          <c:orientation val="minMax"/>
        </c:scaling>
        <c:delete val="0"/>
        <c:axPos val="b"/>
        <c:numFmt formatCode="General" sourceLinked="1"/>
        <c:majorTickMark val="none"/>
        <c:minorTickMark val="none"/>
        <c:tickLblPos val="nextTo"/>
        <c:spPr>
          <a:noFill/>
          <a:ln w="15875" cap="flat" cmpd="sng" algn="ctr">
            <a:solidFill>
              <a:schemeClr val="accent1">
                <a:lumMod val="50000"/>
              </a:schemeClr>
            </a:solidFill>
            <a:round/>
          </a:ln>
          <a:effectLst/>
        </c:spPr>
        <c:txPr>
          <a:bodyPr rot="-5400000" spcFirstLastPara="1" vertOverflow="ellipsis"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9183704"/>
        <c:crosses val="autoZero"/>
        <c:auto val="1"/>
        <c:lblAlgn val="ctr"/>
        <c:lblOffset val="100"/>
        <c:noMultiLvlLbl val="0"/>
      </c:catAx>
      <c:valAx>
        <c:axId val="749183704"/>
        <c:scaling>
          <c:orientation val="minMax"/>
        </c:scaling>
        <c:delete val="1"/>
        <c:axPos val="l"/>
        <c:numFmt formatCode="General" sourceLinked="1"/>
        <c:majorTickMark val="none"/>
        <c:minorTickMark val="none"/>
        <c:tickLblPos val="nextTo"/>
        <c:crossAx val="74919198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40000"/>
            <a:lumOff val="60000"/>
          </a:schemeClr>
        </a:gs>
        <a:gs pos="27000">
          <a:schemeClr val="accent1">
            <a:lumMod val="20000"/>
            <a:lumOff val="8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Stores Dash.xlsm]Sheet2!PivotTable11</c:name>
    <c:fmtId val="12"/>
  </c:pivotSource>
  <c:chart>
    <c:title>
      <c:tx>
        <c:rich>
          <a:bodyPr rot="0" spcFirstLastPara="1" vertOverflow="ellipsis" vert="horz" wrap="square" anchor="ctr" anchorCtr="1"/>
          <a:lstStyle/>
          <a:p>
            <a:pPr>
              <a:defRPr sz="1600" b="1" i="0" u="none" strike="noStrike" kern="1200" cap="all" spc="150" baseline="0">
                <a:solidFill>
                  <a:schemeClr val="bg2">
                    <a:lumMod val="25000"/>
                  </a:schemeClr>
                </a:solidFill>
                <a:latin typeface="+mn-lt"/>
                <a:ea typeface="+mn-ea"/>
                <a:cs typeface="+mn-cs"/>
              </a:defRPr>
            </a:pPr>
            <a:r>
              <a:rPr lang="en-GB" sz="1600" b="1" baseline="0">
                <a:solidFill>
                  <a:schemeClr val="bg2">
                    <a:lumMod val="25000"/>
                  </a:schemeClr>
                </a:solidFill>
                <a:latin typeface="+mj-lt"/>
              </a:rPr>
              <a:t>Profit and loss in cities</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bg2">
                  <a:lumMod val="25000"/>
                </a:schemeClr>
              </a:solidFill>
              <a:latin typeface="+mn-lt"/>
              <a:ea typeface="+mn-ea"/>
              <a:cs typeface="+mn-cs"/>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75000"/>
            </a:schemeClr>
          </a:solid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Sheet2!$B$50</c:f>
              <c:strCache>
                <c:ptCount val="1"/>
                <c:pt idx="0">
                  <c:v>Total</c:v>
                </c:pt>
              </c:strCache>
            </c:strRef>
          </c:tx>
          <c:spPr>
            <a:solidFill>
              <a:schemeClr val="tx2">
                <a:lumMod val="75000"/>
              </a:schemeClr>
            </a:solidFill>
            <a:ln>
              <a:noFill/>
            </a:ln>
            <a:effectLst>
              <a:innerShdw blurRad="114300">
                <a:schemeClr val="accent1"/>
              </a:innerShdw>
            </a:effectLst>
          </c:spPr>
          <c:invertIfNegative val="0"/>
          <c:cat>
            <c:strRef>
              <c:f>Sheet2!$A$51:$A$124</c:f>
              <c:strCache>
                <c:ptCount val="73"/>
                <c:pt idx="0">
                  <c:v>Reims</c:v>
                </c:pt>
                <c:pt idx="1">
                  <c:v>Las Vegas</c:v>
                </c:pt>
                <c:pt idx="2">
                  <c:v>Marseille</c:v>
                </c:pt>
                <c:pt idx="3">
                  <c:v>Manchester</c:v>
                </c:pt>
                <c:pt idx="4">
                  <c:v>Gensve</c:v>
                </c:pt>
                <c:pt idx="5">
                  <c:v>Salzburg</c:v>
                </c:pt>
                <c:pt idx="6">
                  <c:v>Brickhaven</c:v>
                </c:pt>
                <c:pt idx="7">
                  <c:v>Graz</c:v>
                </c:pt>
                <c:pt idx="8">
                  <c:v>Singapore</c:v>
                </c:pt>
                <c:pt idx="9">
                  <c:v>San Diego</c:v>
                </c:pt>
                <c:pt idx="10">
                  <c:v>Montreal</c:v>
                </c:pt>
                <c:pt idx="11">
                  <c:v>Bruxelles</c:v>
                </c:pt>
                <c:pt idx="12">
                  <c:v>Liverpool</c:v>
                </c:pt>
                <c:pt idx="13">
                  <c:v>Oulu</c:v>
                </c:pt>
                <c:pt idx="14">
                  <c:v>Burbank</c:v>
                </c:pt>
                <c:pt idx="15">
                  <c:v>Makati City</c:v>
                </c:pt>
                <c:pt idx="16">
                  <c:v>Osaka</c:v>
                </c:pt>
                <c:pt idx="17">
                  <c:v>Cowes</c:v>
                </c:pt>
                <c:pt idx="18">
                  <c:v>Strasbourg</c:v>
                </c:pt>
                <c:pt idx="19">
                  <c:v>Lyon</c:v>
                </c:pt>
                <c:pt idx="20">
                  <c:v>Bridgewater</c:v>
                </c:pt>
                <c:pt idx="21">
                  <c:v>Boras</c:v>
                </c:pt>
                <c:pt idx="22">
                  <c:v>Espoo</c:v>
                </c:pt>
                <c:pt idx="23">
                  <c:v>Vancouver</c:v>
                </c:pt>
                <c:pt idx="24">
                  <c:v>New Bedford</c:v>
                </c:pt>
                <c:pt idx="25">
                  <c:v>White Plains</c:v>
                </c:pt>
                <c:pt idx="26">
                  <c:v>South Brisbane</c:v>
                </c:pt>
                <c:pt idx="27">
                  <c:v>Versailles</c:v>
                </c:pt>
                <c:pt idx="28">
                  <c:v>Bergamo</c:v>
                </c:pt>
                <c:pt idx="29">
                  <c:v>Sevilla</c:v>
                </c:pt>
                <c:pt idx="30">
                  <c:v>Charleroi</c:v>
                </c:pt>
                <c:pt idx="31">
                  <c:v>Pasadena</c:v>
                </c:pt>
                <c:pt idx="32">
                  <c:v>Philadelphia</c:v>
                </c:pt>
                <c:pt idx="33">
                  <c:v>Newark</c:v>
                </c:pt>
                <c:pt idx="34">
                  <c:v>Glendale</c:v>
                </c:pt>
                <c:pt idx="35">
                  <c:v>Lille</c:v>
                </c:pt>
                <c:pt idx="36">
                  <c:v>Boston</c:v>
                </c:pt>
                <c:pt idx="37">
                  <c:v>Aaarhus</c:v>
                </c:pt>
                <c:pt idx="38">
                  <c:v>Tsawassen</c:v>
                </c:pt>
                <c:pt idx="39">
                  <c:v>Stavern</c:v>
                </c:pt>
                <c:pt idx="40">
                  <c:v>North Sydney</c:v>
                </c:pt>
                <c:pt idx="41">
                  <c:v>Munich</c:v>
                </c:pt>
                <c:pt idx="42">
                  <c:v>San Jose</c:v>
                </c:pt>
                <c:pt idx="43">
                  <c:v>Melbourne</c:v>
                </c:pt>
                <c:pt idx="44">
                  <c:v>Oslo</c:v>
                </c:pt>
                <c:pt idx="45">
                  <c:v>Nashua</c:v>
                </c:pt>
                <c:pt idx="46">
                  <c:v>Barcelona</c:v>
                </c:pt>
                <c:pt idx="47">
                  <c:v>Frankfurt</c:v>
                </c:pt>
                <c:pt idx="48">
                  <c:v>Kobenhavn</c:v>
                </c:pt>
                <c:pt idx="49">
                  <c:v>London</c:v>
                </c:pt>
                <c:pt idx="50">
                  <c:v>Madrid</c:v>
                </c:pt>
                <c:pt idx="51">
                  <c:v>Koln</c:v>
                </c:pt>
                <c:pt idx="52">
                  <c:v>Glen Waverly</c:v>
                </c:pt>
                <c:pt idx="53">
                  <c:v>Los Angeles</c:v>
                </c:pt>
                <c:pt idx="54">
                  <c:v>Lule</c:v>
                </c:pt>
                <c:pt idx="55">
                  <c:v>Brisbane</c:v>
                </c:pt>
                <c:pt idx="56">
                  <c:v>Nantes</c:v>
                </c:pt>
                <c:pt idx="57">
                  <c:v>Torino</c:v>
                </c:pt>
                <c:pt idx="58">
                  <c:v>Chatswood</c:v>
                </c:pt>
                <c:pt idx="59">
                  <c:v>New Haven</c:v>
                </c:pt>
                <c:pt idx="60">
                  <c:v>San Rafael</c:v>
                </c:pt>
                <c:pt idx="61">
                  <c:v>Burlingame</c:v>
                </c:pt>
                <c:pt idx="62">
                  <c:v>Toulouse</c:v>
                </c:pt>
                <c:pt idx="63">
                  <c:v>Dublin</c:v>
                </c:pt>
                <c:pt idx="64">
                  <c:v>Bergen</c:v>
                </c:pt>
                <c:pt idx="65">
                  <c:v>Reggio Emilia</c:v>
                </c:pt>
                <c:pt idx="66">
                  <c:v>Allentown</c:v>
                </c:pt>
                <c:pt idx="67">
                  <c:v>Minato-ku</c:v>
                </c:pt>
                <c:pt idx="68">
                  <c:v>San Francisco</c:v>
                </c:pt>
                <c:pt idx="69">
                  <c:v>Helsinki</c:v>
                </c:pt>
                <c:pt idx="70">
                  <c:v>Cambridge</c:v>
                </c:pt>
                <c:pt idx="71">
                  <c:v>Paris</c:v>
                </c:pt>
                <c:pt idx="72">
                  <c:v>NYC</c:v>
                </c:pt>
              </c:strCache>
            </c:strRef>
          </c:cat>
          <c:val>
            <c:numRef>
              <c:f>Sheet2!$B$51:$B$124</c:f>
              <c:numCache>
                <c:formatCode>General</c:formatCode>
                <c:ptCount val="73"/>
                <c:pt idx="0">
                  <c:v>-7902.06</c:v>
                </c:pt>
                <c:pt idx="1">
                  <c:v>-6210.92</c:v>
                </c:pt>
                <c:pt idx="2">
                  <c:v>-5592.86</c:v>
                </c:pt>
                <c:pt idx="3">
                  <c:v>-5116.1900000000005</c:v>
                </c:pt>
                <c:pt idx="4">
                  <c:v>-4168.4399999999987</c:v>
                </c:pt>
                <c:pt idx="5">
                  <c:v>-3707.37</c:v>
                </c:pt>
                <c:pt idx="6">
                  <c:v>-3137.8000000000015</c:v>
                </c:pt>
                <c:pt idx="7">
                  <c:v>-3125.1000000000004</c:v>
                </c:pt>
                <c:pt idx="8">
                  <c:v>-2783.5900000000006</c:v>
                </c:pt>
                <c:pt idx="9">
                  <c:v>-2393.7699999999995</c:v>
                </c:pt>
                <c:pt idx="10">
                  <c:v>-2228.21</c:v>
                </c:pt>
                <c:pt idx="11">
                  <c:v>-2172.4799999999991</c:v>
                </c:pt>
                <c:pt idx="12">
                  <c:v>-2089.7300000000005</c:v>
                </c:pt>
                <c:pt idx="13">
                  <c:v>-2018.6199999999994</c:v>
                </c:pt>
                <c:pt idx="14">
                  <c:v>-2008.3600000000001</c:v>
                </c:pt>
                <c:pt idx="15">
                  <c:v>-1764.2699999999998</c:v>
                </c:pt>
                <c:pt idx="16">
                  <c:v>-1542.9299999999998</c:v>
                </c:pt>
                <c:pt idx="17">
                  <c:v>-1369.1599999999999</c:v>
                </c:pt>
                <c:pt idx="18">
                  <c:v>-1364.52</c:v>
                </c:pt>
                <c:pt idx="19">
                  <c:v>-1279.75</c:v>
                </c:pt>
                <c:pt idx="20">
                  <c:v>-1181.2100000000003</c:v>
                </c:pt>
                <c:pt idx="21">
                  <c:v>-1120.6700000000012</c:v>
                </c:pt>
                <c:pt idx="22">
                  <c:v>-980.85000000000059</c:v>
                </c:pt>
                <c:pt idx="23">
                  <c:v>-935.07999999999993</c:v>
                </c:pt>
                <c:pt idx="24">
                  <c:v>-775.13999999999828</c:v>
                </c:pt>
                <c:pt idx="25">
                  <c:v>-744.00999999999976</c:v>
                </c:pt>
                <c:pt idx="26">
                  <c:v>-474.87999999999954</c:v>
                </c:pt>
                <c:pt idx="27">
                  <c:v>-394.67999999999972</c:v>
                </c:pt>
                <c:pt idx="28">
                  <c:v>-325.28000000000026</c:v>
                </c:pt>
                <c:pt idx="29">
                  <c:v>-284.37999999999977</c:v>
                </c:pt>
                <c:pt idx="30">
                  <c:v>-205.89999999999992</c:v>
                </c:pt>
                <c:pt idx="31">
                  <c:v>-197.03999999999974</c:v>
                </c:pt>
                <c:pt idx="32">
                  <c:v>-136.87</c:v>
                </c:pt>
                <c:pt idx="33">
                  <c:v>174.19000000000011</c:v>
                </c:pt>
                <c:pt idx="34">
                  <c:v>460.77000000000021</c:v>
                </c:pt>
                <c:pt idx="35">
                  <c:v>461.40999999999963</c:v>
                </c:pt>
                <c:pt idx="36">
                  <c:v>607.65999999999985</c:v>
                </c:pt>
                <c:pt idx="37">
                  <c:v>834.55000000000018</c:v>
                </c:pt>
                <c:pt idx="38">
                  <c:v>936.85</c:v>
                </c:pt>
                <c:pt idx="39">
                  <c:v>1010.1899999999987</c:v>
                </c:pt>
                <c:pt idx="40">
                  <c:v>1046.1300000000015</c:v>
                </c:pt>
                <c:pt idx="41">
                  <c:v>1137.9199999999998</c:v>
                </c:pt>
                <c:pt idx="42">
                  <c:v>1310.2700000000004</c:v>
                </c:pt>
                <c:pt idx="43">
                  <c:v>1452.4100000000008</c:v>
                </c:pt>
                <c:pt idx="44">
                  <c:v>1466.2299999999996</c:v>
                </c:pt>
                <c:pt idx="45">
                  <c:v>1471.3000000000002</c:v>
                </c:pt>
                <c:pt idx="46">
                  <c:v>1505.860000000001</c:v>
                </c:pt>
                <c:pt idx="47">
                  <c:v>1557.5899999999997</c:v>
                </c:pt>
                <c:pt idx="48">
                  <c:v>1637.6000000000004</c:v>
                </c:pt>
                <c:pt idx="49">
                  <c:v>1661.54</c:v>
                </c:pt>
                <c:pt idx="50">
                  <c:v>1695.4400000000087</c:v>
                </c:pt>
                <c:pt idx="51">
                  <c:v>1824.5799999999992</c:v>
                </c:pt>
                <c:pt idx="52">
                  <c:v>1839.4600000000007</c:v>
                </c:pt>
                <c:pt idx="53">
                  <c:v>1932.4600000000003</c:v>
                </c:pt>
                <c:pt idx="54">
                  <c:v>2367.8799999999997</c:v>
                </c:pt>
                <c:pt idx="55">
                  <c:v>2447.5100000000007</c:v>
                </c:pt>
                <c:pt idx="56">
                  <c:v>2594.8600000000015</c:v>
                </c:pt>
                <c:pt idx="57">
                  <c:v>2825.2600000000007</c:v>
                </c:pt>
                <c:pt idx="58">
                  <c:v>2932.9799999999996</c:v>
                </c:pt>
                <c:pt idx="59">
                  <c:v>3025.0700000000006</c:v>
                </c:pt>
                <c:pt idx="60">
                  <c:v>3155.0599999999945</c:v>
                </c:pt>
                <c:pt idx="61">
                  <c:v>3212.0699999999997</c:v>
                </c:pt>
                <c:pt idx="62">
                  <c:v>3339.4399999999996</c:v>
                </c:pt>
                <c:pt idx="63">
                  <c:v>3414.4300000000003</c:v>
                </c:pt>
                <c:pt idx="64">
                  <c:v>3447.28</c:v>
                </c:pt>
                <c:pt idx="65">
                  <c:v>3475.3300000000008</c:v>
                </c:pt>
                <c:pt idx="66">
                  <c:v>3717.1400000000003</c:v>
                </c:pt>
                <c:pt idx="67">
                  <c:v>3877.7400000000007</c:v>
                </c:pt>
                <c:pt idx="68">
                  <c:v>4727.6799999999994</c:v>
                </c:pt>
                <c:pt idx="69">
                  <c:v>4820.380000000001</c:v>
                </c:pt>
                <c:pt idx="70">
                  <c:v>4862</c:v>
                </c:pt>
                <c:pt idx="71">
                  <c:v>5015.6800000000039</c:v>
                </c:pt>
                <c:pt idx="72">
                  <c:v>15736.769999999999</c:v>
                </c:pt>
              </c:numCache>
            </c:numRef>
          </c:val>
          <c:extLst>
            <c:ext xmlns:c16="http://schemas.microsoft.com/office/drawing/2014/chart" uri="{C3380CC4-5D6E-409C-BE32-E72D297353CC}">
              <c16:uniqueId val="{00000000-F85A-4393-9A9D-78FDCAAF423E}"/>
            </c:ext>
          </c:extLst>
        </c:ser>
        <c:dLbls>
          <c:showLegendKey val="0"/>
          <c:showVal val="0"/>
          <c:showCatName val="0"/>
          <c:showSerName val="0"/>
          <c:showPercent val="0"/>
          <c:showBubbleSize val="0"/>
        </c:dLbls>
        <c:gapWidth val="15"/>
        <c:overlap val="-22"/>
        <c:axId val="529051232"/>
        <c:axId val="529050872"/>
      </c:barChart>
      <c:catAx>
        <c:axId val="529051232"/>
        <c:scaling>
          <c:orientation val="minMax"/>
        </c:scaling>
        <c:delete val="0"/>
        <c:axPos val="b"/>
        <c:numFmt formatCode="General" sourceLinked="1"/>
        <c:majorTickMark val="none"/>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050872"/>
        <c:crosses val="autoZero"/>
        <c:auto val="1"/>
        <c:lblAlgn val="ctr"/>
        <c:lblOffset val="100"/>
        <c:noMultiLvlLbl val="0"/>
      </c:catAx>
      <c:valAx>
        <c:axId val="5290508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05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40000"/>
            <a:lumOff val="60000"/>
          </a:schemeClr>
        </a:gs>
        <a:gs pos="27000">
          <a:schemeClr val="accent1">
            <a:lumMod val="20000"/>
            <a:lumOff val="80000"/>
            <a:alpha val="94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Stores Dash.xlsm]Sheet2!PivotTable3</c:name>
    <c:fmtId val="21"/>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Total Profit</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quot;$&quot;#,##0.00;[Red]&quot;$&quot;#,##0.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s>
    <c:plotArea>
      <c:layout>
        <c:manualLayout>
          <c:layoutTarget val="inner"/>
          <c:xMode val="edge"/>
          <c:yMode val="edge"/>
          <c:x val="2.1431654695079891E-2"/>
          <c:y val="7.3260726310051316E-2"/>
          <c:w val="0.94394143827667698"/>
          <c:h val="0.7485258057723958"/>
        </c:manualLayout>
      </c:layout>
      <c:barChart>
        <c:barDir val="col"/>
        <c:grouping val="stacked"/>
        <c:varyColors val="0"/>
        <c:ser>
          <c:idx val="0"/>
          <c:order val="0"/>
          <c:tx>
            <c:strRef>
              <c:f>Sheet2!$B$8</c:f>
              <c:strCache>
                <c:ptCount val="1"/>
                <c:pt idx="0">
                  <c:v>Total</c:v>
                </c:pt>
              </c:strCache>
            </c:strRef>
          </c:tx>
          <c:spPr>
            <a:solidFill>
              <a:schemeClr val="accent1"/>
            </a:solidFill>
            <a:ln>
              <a:noFill/>
            </a:ln>
            <a:effectLst/>
          </c:spPr>
          <c:invertIfNegative val="0"/>
          <c:dPt>
            <c:idx val="18"/>
            <c:invertIfNegative val="0"/>
            <c:bubble3D val="0"/>
            <c:spPr>
              <a:solidFill>
                <a:schemeClr val="accent1"/>
              </a:solidFill>
              <a:ln>
                <a:noFill/>
              </a:ln>
              <a:effectLst/>
            </c:spPr>
            <c:extLst>
              <c:ext xmlns:c16="http://schemas.microsoft.com/office/drawing/2014/chart" uri="{C3380CC4-5D6E-409C-BE32-E72D297353CC}">
                <c16:uniqueId val="{00000004-0E54-485A-AB18-3C002F0B87EB}"/>
              </c:ext>
            </c:extLst>
          </c:dPt>
          <c:dLbls>
            <c:numFmt formatCode="&quot;$&quot;#,##0.00;[Red]&quot;$&quot;#,##0.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Sheet2!$A$9:$A$28</c:f>
              <c:strCache>
                <c:ptCount val="19"/>
                <c:pt idx="0">
                  <c:v>UK</c:v>
                </c:pt>
                <c:pt idx="1">
                  <c:v>Austria</c:v>
                </c:pt>
                <c:pt idx="2">
                  <c:v>France</c:v>
                </c:pt>
                <c:pt idx="3">
                  <c:v>Switzerland</c:v>
                </c:pt>
                <c:pt idx="4">
                  <c:v>Singapore</c:v>
                </c:pt>
                <c:pt idx="5">
                  <c:v>Belgium</c:v>
                </c:pt>
                <c:pt idx="6">
                  <c:v>Canada</c:v>
                </c:pt>
                <c:pt idx="7">
                  <c:v>Philippines</c:v>
                </c:pt>
                <c:pt idx="8">
                  <c:v>Sweden</c:v>
                </c:pt>
                <c:pt idx="9">
                  <c:v>Finland</c:v>
                </c:pt>
                <c:pt idx="10">
                  <c:v>Japan</c:v>
                </c:pt>
                <c:pt idx="11">
                  <c:v>Denmark</c:v>
                </c:pt>
                <c:pt idx="12">
                  <c:v>Spain</c:v>
                </c:pt>
                <c:pt idx="13">
                  <c:v>Ireland</c:v>
                </c:pt>
                <c:pt idx="14">
                  <c:v>Germany</c:v>
                </c:pt>
                <c:pt idx="15">
                  <c:v>Norway</c:v>
                </c:pt>
                <c:pt idx="16">
                  <c:v>Italy</c:v>
                </c:pt>
                <c:pt idx="17">
                  <c:v>Australia</c:v>
                </c:pt>
                <c:pt idx="18">
                  <c:v>USA</c:v>
                </c:pt>
              </c:strCache>
            </c:strRef>
          </c:cat>
          <c:val>
            <c:numRef>
              <c:f>Sheet2!$B$9:$B$28</c:f>
              <c:numCache>
                <c:formatCode>General</c:formatCode>
                <c:ptCount val="19"/>
                <c:pt idx="0">
                  <c:v>-6913.54</c:v>
                </c:pt>
                <c:pt idx="1">
                  <c:v>-6832.4699999999975</c:v>
                </c:pt>
                <c:pt idx="2">
                  <c:v>-5122.4800000000068</c:v>
                </c:pt>
                <c:pt idx="3">
                  <c:v>-4168.4399999999987</c:v>
                </c:pt>
                <c:pt idx="4">
                  <c:v>-2783.5900000000006</c:v>
                </c:pt>
                <c:pt idx="5">
                  <c:v>-2378.3799999999997</c:v>
                </c:pt>
                <c:pt idx="6">
                  <c:v>-2226.44</c:v>
                </c:pt>
                <c:pt idx="7">
                  <c:v>-1764.2699999999998</c:v>
                </c:pt>
                <c:pt idx="8">
                  <c:v>1247.2099999999996</c:v>
                </c:pt>
                <c:pt idx="9">
                  <c:v>1820.9099999999999</c:v>
                </c:pt>
                <c:pt idx="10">
                  <c:v>2334.81</c:v>
                </c:pt>
                <c:pt idx="11">
                  <c:v>2472.150000000001</c:v>
                </c:pt>
                <c:pt idx="12">
                  <c:v>2916.9200000000155</c:v>
                </c:pt>
                <c:pt idx="13">
                  <c:v>3414.4300000000003</c:v>
                </c:pt>
                <c:pt idx="14">
                  <c:v>4520.0900000000011</c:v>
                </c:pt>
                <c:pt idx="15">
                  <c:v>5923.7000000000007</c:v>
                </c:pt>
                <c:pt idx="16">
                  <c:v>5975.310000000004</c:v>
                </c:pt>
                <c:pt idx="17">
                  <c:v>6796.0999999999985</c:v>
                </c:pt>
                <c:pt idx="18">
                  <c:v>30054.830000000042</c:v>
                </c:pt>
              </c:numCache>
            </c:numRef>
          </c:val>
          <c:extLst>
            <c:ext xmlns:c16="http://schemas.microsoft.com/office/drawing/2014/chart" uri="{C3380CC4-5D6E-409C-BE32-E72D297353CC}">
              <c16:uniqueId val="{00000000-0E54-485A-AB18-3C002F0B87EB}"/>
            </c:ext>
          </c:extLst>
        </c:ser>
        <c:dLbls>
          <c:dLblPos val="inBase"/>
          <c:showLegendKey val="0"/>
          <c:showVal val="1"/>
          <c:showCatName val="0"/>
          <c:showSerName val="0"/>
          <c:showPercent val="0"/>
          <c:showBubbleSize val="0"/>
        </c:dLbls>
        <c:gapWidth val="20"/>
        <c:overlap val="100"/>
        <c:axId val="687149856"/>
        <c:axId val="687152736"/>
      </c:barChart>
      <c:catAx>
        <c:axId val="687149856"/>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b="1"/>
                  <a:t>Country</a:t>
                </a:r>
              </a:p>
            </c:rich>
          </c:tx>
          <c:layout>
            <c:manualLayout>
              <c:xMode val="edge"/>
              <c:yMode val="edge"/>
              <c:x val="0.52475175914793615"/>
              <c:y val="0.9071660223170934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19050" cap="flat" cmpd="sng" algn="ctr">
            <a:solidFill>
              <a:schemeClr val="accent1">
                <a:lumMod val="50000"/>
              </a:schemeClr>
            </a:solidFill>
            <a:round/>
          </a:ln>
          <a:effectLst/>
        </c:spPr>
        <c:txPr>
          <a:bodyPr rot="-21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687152736"/>
        <c:crosses val="autoZero"/>
        <c:auto val="1"/>
        <c:lblAlgn val="ctr"/>
        <c:lblOffset val="100"/>
        <c:noMultiLvlLbl val="0"/>
      </c:catAx>
      <c:valAx>
        <c:axId val="687152736"/>
        <c:scaling>
          <c:orientation val="minMax"/>
        </c:scaling>
        <c:delete val="1"/>
        <c:axPos val="l"/>
        <c:numFmt formatCode="General" sourceLinked="1"/>
        <c:majorTickMark val="out"/>
        <c:minorTickMark val="none"/>
        <c:tickLblPos val="nextTo"/>
        <c:crossAx val="6871498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40000"/>
            <a:lumOff val="60000"/>
          </a:schemeClr>
        </a:gs>
        <a:gs pos="27000">
          <a:schemeClr val="accent1">
            <a:lumMod val="20000"/>
            <a:lumOff val="80000"/>
            <a:alpha val="94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Reversed" id="25">
  <a:schemeClr val="accent5"/>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18</xdr:col>
      <xdr:colOff>9524</xdr:colOff>
      <xdr:row>0</xdr:row>
      <xdr:rowOff>0</xdr:rowOff>
    </xdr:from>
    <xdr:to>
      <xdr:col>25</xdr:col>
      <xdr:colOff>352424</xdr:colOff>
      <xdr:row>14</xdr:row>
      <xdr:rowOff>76200</xdr:rowOff>
    </xdr:to>
    <xdr:graphicFrame macro="">
      <xdr:nvGraphicFramePr>
        <xdr:cNvPr id="3" name="Chart 2">
          <a:extLst>
            <a:ext uri="{FF2B5EF4-FFF2-40B4-BE49-F238E27FC236}">
              <a16:creationId xmlns:a16="http://schemas.microsoft.com/office/drawing/2014/main" id="{0687F1B1-6CBA-7F60-FB83-5EC117199B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561974</xdr:colOff>
      <xdr:row>0</xdr:row>
      <xdr:rowOff>1</xdr:rowOff>
    </xdr:from>
    <xdr:to>
      <xdr:col>40</xdr:col>
      <xdr:colOff>257174</xdr:colOff>
      <xdr:row>14</xdr:row>
      <xdr:rowOff>76201</xdr:rowOff>
    </xdr:to>
    <xdr:graphicFrame macro="">
      <xdr:nvGraphicFramePr>
        <xdr:cNvPr id="2" name="Chart 1">
          <a:extLst>
            <a:ext uri="{FF2B5EF4-FFF2-40B4-BE49-F238E27FC236}">
              <a16:creationId xmlns:a16="http://schemas.microsoft.com/office/drawing/2014/main" id="{97E0B0EF-EC69-B2A3-B148-225ABC521B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609600</xdr:colOff>
      <xdr:row>14</xdr:row>
      <xdr:rowOff>66675</xdr:rowOff>
    </xdr:from>
    <xdr:to>
      <xdr:col>40</xdr:col>
      <xdr:colOff>295275</xdr:colOff>
      <xdr:row>28</xdr:row>
      <xdr:rowOff>142875</xdr:rowOff>
    </xdr:to>
    <xdr:graphicFrame macro="">
      <xdr:nvGraphicFramePr>
        <xdr:cNvPr id="4" name="Chart 3">
          <a:extLst>
            <a:ext uri="{FF2B5EF4-FFF2-40B4-BE49-F238E27FC236}">
              <a16:creationId xmlns:a16="http://schemas.microsoft.com/office/drawing/2014/main" id="{46D95E15-540D-2018-AC82-334A0DCAB2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295274</xdr:colOff>
      <xdr:row>14</xdr:row>
      <xdr:rowOff>100012</xdr:rowOff>
    </xdr:from>
    <xdr:to>
      <xdr:col>32</xdr:col>
      <xdr:colOff>600074</xdr:colOff>
      <xdr:row>28</xdr:row>
      <xdr:rowOff>176212</xdr:rowOff>
    </xdr:to>
    <xdr:graphicFrame macro="">
      <xdr:nvGraphicFramePr>
        <xdr:cNvPr id="5" name="Chart 4">
          <a:extLst>
            <a:ext uri="{FF2B5EF4-FFF2-40B4-BE49-F238E27FC236}">
              <a16:creationId xmlns:a16="http://schemas.microsoft.com/office/drawing/2014/main" id="{4B8035DA-60CE-B3F5-2542-2F9E90CEB9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257175</xdr:colOff>
      <xdr:row>0</xdr:row>
      <xdr:rowOff>0</xdr:rowOff>
    </xdr:from>
    <xdr:to>
      <xdr:col>32</xdr:col>
      <xdr:colOff>561975</xdr:colOff>
      <xdr:row>14</xdr:row>
      <xdr:rowOff>76200</xdr:rowOff>
    </xdr:to>
    <xdr:graphicFrame macro="">
      <xdr:nvGraphicFramePr>
        <xdr:cNvPr id="6" name="Chart 5">
          <a:extLst>
            <a:ext uri="{FF2B5EF4-FFF2-40B4-BE49-F238E27FC236}">
              <a16:creationId xmlns:a16="http://schemas.microsoft.com/office/drawing/2014/main" id="{B56C329B-5589-0DB6-7CA8-3BDA13844C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590550</xdr:colOff>
      <xdr:row>14</xdr:row>
      <xdr:rowOff>104774</xdr:rowOff>
    </xdr:from>
    <xdr:to>
      <xdr:col>25</xdr:col>
      <xdr:colOff>285750</xdr:colOff>
      <xdr:row>28</xdr:row>
      <xdr:rowOff>180974</xdr:rowOff>
    </xdr:to>
    <xdr:graphicFrame macro="">
      <xdr:nvGraphicFramePr>
        <xdr:cNvPr id="7" name="Chart 6">
          <a:extLst>
            <a:ext uri="{FF2B5EF4-FFF2-40B4-BE49-F238E27FC236}">
              <a16:creationId xmlns:a16="http://schemas.microsoft.com/office/drawing/2014/main" id="{0E771B45-5211-9584-BAB0-9D90BFC318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568863</xdr:colOff>
      <xdr:row>29</xdr:row>
      <xdr:rowOff>3727</xdr:rowOff>
    </xdr:from>
    <xdr:to>
      <xdr:col>26</xdr:col>
      <xdr:colOff>557606</xdr:colOff>
      <xdr:row>43</xdr:row>
      <xdr:rowOff>79927</xdr:rowOff>
    </xdr:to>
    <xdr:graphicFrame macro="">
      <xdr:nvGraphicFramePr>
        <xdr:cNvPr id="9" name="Chart 8">
          <a:extLst>
            <a:ext uri="{FF2B5EF4-FFF2-40B4-BE49-F238E27FC236}">
              <a16:creationId xmlns:a16="http://schemas.microsoft.com/office/drawing/2014/main" id="{E84C6033-435D-B28A-A49E-1284D8545A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0</xdr:colOff>
      <xdr:row>60</xdr:row>
      <xdr:rowOff>17318</xdr:rowOff>
    </xdr:to>
    <xdr:grpSp>
      <xdr:nvGrpSpPr>
        <xdr:cNvPr id="29" name="Group 28">
          <a:extLst>
            <a:ext uri="{FF2B5EF4-FFF2-40B4-BE49-F238E27FC236}">
              <a16:creationId xmlns:a16="http://schemas.microsoft.com/office/drawing/2014/main" id="{4E5ED730-B33E-C82F-94D4-90D26C4D5BD9}"/>
            </a:ext>
          </a:extLst>
        </xdr:cNvPr>
        <xdr:cNvGrpSpPr/>
      </xdr:nvGrpSpPr>
      <xdr:grpSpPr>
        <a:xfrm>
          <a:off x="0" y="0"/>
          <a:ext cx="16365682" cy="11447318"/>
          <a:chOff x="0" y="0"/>
          <a:chExt cx="16365682" cy="11447318"/>
        </a:xfrm>
      </xdr:grpSpPr>
      <xdr:sp macro="" textlink="">
        <xdr:nvSpPr>
          <xdr:cNvPr id="2" name="Rectangle 1">
            <a:extLst>
              <a:ext uri="{FF2B5EF4-FFF2-40B4-BE49-F238E27FC236}">
                <a16:creationId xmlns:a16="http://schemas.microsoft.com/office/drawing/2014/main" id="{1B5C88A4-7B42-F995-6219-A4A91C556B11}"/>
              </a:ext>
            </a:extLst>
          </xdr:cNvPr>
          <xdr:cNvSpPr/>
        </xdr:nvSpPr>
        <xdr:spPr>
          <a:xfrm>
            <a:off x="0" y="0"/>
            <a:ext cx="16365682" cy="11447318"/>
          </a:xfrm>
          <a:prstGeom prst="rect">
            <a:avLst/>
          </a:prstGeom>
          <a:gradFill>
            <a:gsLst>
              <a:gs pos="0">
                <a:schemeClr val="bg1"/>
              </a:gs>
              <a:gs pos="57000">
                <a:schemeClr val="accent1">
                  <a:lumMod val="40000"/>
                  <a:lumOff val="60000"/>
                </a:schemeClr>
              </a:gs>
              <a:gs pos="100000">
                <a:schemeClr val="accent1">
                  <a:lumMod val="20000"/>
                  <a:lumOff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grpSp>
        <xdr:nvGrpSpPr>
          <xdr:cNvPr id="18" name="Group 17">
            <a:extLst>
              <a:ext uri="{FF2B5EF4-FFF2-40B4-BE49-F238E27FC236}">
                <a16:creationId xmlns:a16="http://schemas.microsoft.com/office/drawing/2014/main" id="{8F901DE3-9CC1-AE41-FF04-CAF416D588DE}"/>
              </a:ext>
            </a:extLst>
          </xdr:cNvPr>
          <xdr:cNvGrpSpPr/>
        </xdr:nvGrpSpPr>
        <xdr:grpSpPr>
          <a:xfrm>
            <a:off x="235403" y="140154"/>
            <a:ext cx="15902421" cy="10895239"/>
            <a:chOff x="238124" y="190501"/>
            <a:chExt cx="16063233" cy="8718776"/>
          </a:xfrm>
        </xdr:grpSpPr>
        <xdr:sp macro="" textlink="">
          <xdr:nvSpPr>
            <xdr:cNvPr id="7" name="Rectangle: Rounded Corners 6">
              <a:extLst>
                <a:ext uri="{FF2B5EF4-FFF2-40B4-BE49-F238E27FC236}">
                  <a16:creationId xmlns:a16="http://schemas.microsoft.com/office/drawing/2014/main" id="{0BBE3546-2EE4-5A6E-FCF9-749E5D1DC27F}"/>
                </a:ext>
              </a:extLst>
            </xdr:cNvPr>
            <xdr:cNvSpPr/>
          </xdr:nvSpPr>
          <xdr:spPr>
            <a:xfrm>
              <a:off x="238125" y="190501"/>
              <a:ext cx="16063232" cy="833437"/>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kern="1200"/>
            </a:p>
          </xdr:txBody>
        </xdr:sp>
        <xdr:sp macro="" textlink="">
          <xdr:nvSpPr>
            <xdr:cNvPr id="5" name="Rectangle 4">
              <a:extLst>
                <a:ext uri="{FF2B5EF4-FFF2-40B4-BE49-F238E27FC236}">
                  <a16:creationId xmlns:a16="http://schemas.microsoft.com/office/drawing/2014/main" id="{801E1D40-0048-982F-B1CE-52FD17D04CBC}"/>
                </a:ext>
              </a:extLst>
            </xdr:cNvPr>
            <xdr:cNvSpPr/>
          </xdr:nvSpPr>
          <xdr:spPr>
            <a:xfrm>
              <a:off x="238124" y="765404"/>
              <a:ext cx="16063232" cy="8143873"/>
            </a:xfrm>
            <a:prstGeom prst="rect">
              <a:avLst/>
            </a:prstGeom>
            <a:gradFill>
              <a:gsLst>
                <a:gs pos="0">
                  <a:schemeClr val="accent1">
                    <a:lumMod val="40000"/>
                    <a:lumOff val="60000"/>
                  </a:schemeClr>
                </a:gs>
                <a:gs pos="52000">
                  <a:schemeClr val="accent1">
                    <a:lumMod val="40000"/>
                    <a:lumOff val="60000"/>
                  </a:schemeClr>
                </a:gs>
                <a:gs pos="100000">
                  <a:schemeClr val="accent1">
                    <a:lumMod val="20000"/>
                    <a:lumOff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kern="1200"/>
            </a:p>
          </xdr:txBody>
        </xdr:sp>
      </xdr:grpSp>
      <xdr:sp macro="" textlink="">
        <xdr:nvSpPr>
          <xdr:cNvPr id="8" name="Rectangle 7">
            <a:extLst>
              <a:ext uri="{FF2B5EF4-FFF2-40B4-BE49-F238E27FC236}">
                <a16:creationId xmlns:a16="http://schemas.microsoft.com/office/drawing/2014/main" id="{791CECA0-FE94-7063-5E26-7A8384093325}"/>
              </a:ext>
            </a:extLst>
          </xdr:cNvPr>
          <xdr:cNvSpPr/>
        </xdr:nvSpPr>
        <xdr:spPr>
          <a:xfrm>
            <a:off x="6926" y="280552"/>
            <a:ext cx="5669973" cy="468013"/>
          </a:xfrm>
          <a:prstGeom prst="rect">
            <a:avLst/>
          </a:prstGeom>
          <a:noFill/>
        </xdr:spPr>
        <xdr:txBody>
          <a:bodyPr wrap="square" lIns="91440" tIns="45720" rIns="91440" bIns="45720">
            <a:spAutoFit/>
            <a:scene3d>
              <a:camera prst="orthographicFront"/>
              <a:lightRig rig="threePt" dir="t"/>
            </a:scene3d>
            <a:sp3d extrusionH="57150">
              <a:bevelT w="38100" h="38100" prst="angle"/>
            </a:sp3d>
          </a:bodyPr>
          <a:lstStyle/>
          <a:p>
            <a:pPr algn="ctr"/>
            <a:r>
              <a:rPr lang="en-US" sz="2400" b="1" cap="none" spc="50">
                <a:ln w="0"/>
                <a:solidFill>
                  <a:schemeClr val="accent5">
                    <a:lumMod val="75000"/>
                  </a:schemeClr>
                </a:solidFill>
                <a:effectLst>
                  <a:innerShdw blurRad="63500" dist="50800" dir="13500000">
                    <a:srgbClr val="000000">
                      <a:alpha val="50000"/>
                    </a:srgbClr>
                  </a:innerShdw>
                </a:effectLst>
              </a:rPr>
              <a:t>SALES</a:t>
            </a:r>
            <a:r>
              <a:rPr lang="en-US" sz="2400" b="1" cap="none" spc="50" baseline="0">
                <a:ln w="0"/>
                <a:solidFill>
                  <a:schemeClr val="accent5">
                    <a:lumMod val="75000"/>
                  </a:schemeClr>
                </a:solidFill>
                <a:effectLst>
                  <a:innerShdw blurRad="63500" dist="50800" dir="13500000">
                    <a:srgbClr val="000000">
                      <a:alpha val="50000"/>
                    </a:srgbClr>
                  </a:innerShdw>
                </a:effectLst>
              </a:rPr>
              <a:t> ANALYTICS </a:t>
            </a:r>
            <a:r>
              <a:rPr lang="en-US" sz="2400" b="1" cap="none" spc="50" baseline="0">
                <a:ln w="0">
                  <a:noFill/>
                </a:ln>
                <a:solidFill>
                  <a:schemeClr val="accent1">
                    <a:lumMod val="50000"/>
                  </a:schemeClr>
                </a:solidFill>
                <a:effectLst>
                  <a:innerShdw blurRad="63500" dist="50800" dir="13500000">
                    <a:srgbClr val="000000">
                      <a:alpha val="50000"/>
                    </a:srgbClr>
                  </a:innerShdw>
                </a:effectLst>
              </a:rPr>
              <a:t>DASHBOARD</a:t>
            </a:r>
            <a:endParaRPr lang="en-US" sz="2400" b="1" cap="none" spc="50">
              <a:ln w="0">
                <a:noFill/>
              </a:ln>
              <a:solidFill>
                <a:schemeClr val="accent1">
                  <a:lumMod val="50000"/>
                </a:schemeClr>
              </a:solidFill>
              <a:effectLst>
                <a:innerShdw blurRad="63500" dist="50800" dir="13500000">
                  <a:srgbClr val="000000">
                    <a:alpha val="50000"/>
                  </a:srgbClr>
                </a:innerShdw>
              </a:effectLst>
            </a:endParaRPr>
          </a:p>
        </xdr:txBody>
      </xdr:sp>
      <xdr:cxnSp macro="">
        <xdr:nvCxnSpPr>
          <xdr:cNvPr id="10" name="Straight Connector 9">
            <a:extLst>
              <a:ext uri="{FF2B5EF4-FFF2-40B4-BE49-F238E27FC236}">
                <a16:creationId xmlns:a16="http://schemas.microsoft.com/office/drawing/2014/main" id="{689C31CB-FE9C-E9D6-0E09-40E97573503F}"/>
              </a:ext>
            </a:extLst>
          </xdr:cNvPr>
          <xdr:cNvCxnSpPr/>
        </xdr:nvCxnSpPr>
        <xdr:spPr>
          <a:xfrm>
            <a:off x="3151909" y="969818"/>
            <a:ext cx="0" cy="10165773"/>
          </a:xfrm>
          <a:prstGeom prst="line">
            <a:avLst/>
          </a:prstGeom>
          <a:ln w="34925">
            <a:solidFill>
              <a:schemeClr val="accent5">
                <a:lumMod val="75000"/>
                <a:alpha val="95000"/>
              </a:schemeClr>
            </a:solidFill>
          </a:ln>
        </xdr:spPr>
        <xdr:style>
          <a:lnRef idx="1">
            <a:schemeClr val="accent1"/>
          </a:lnRef>
          <a:fillRef idx="0">
            <a:schemeClr val="accent1"/>
          </a:fillRef>
          <a:effectRef idx="0">
            <a:schemeClr val="accent1"/>
          </a:effectRef>
          <a:fontRef idx="minor">
            <a:schemeClr val="tx1"/>
          </a:fontRef>
        </xdr:style>
      </xdr:cxnSp>
      <xdr:grpSp>
        <xdr:nvGrpSpPr>
          <xdr:cNvPr id="14" name="Group 13">
            <a:extLst>
              <a:ext uri="{FF2B5EF4-FFF2-40B4-BE49-F238E27FC236}">
                <a16:creationId xmlns:a16="http://schemas.microsoft.com/office/drawing/2014/main" id="{91E39C1C-9601-C8F7-E859-77BF54F15E54}"/>
              </a:ext>
            </a:extLst>
          </xdr:cNvPr>
          <xdr:cNvGrpSpPr/>
        </xdr:nvGrpSpPr>
        <xdr:grpSpPr>
          <a:xfrm>
            <a:off x="3364193" y="998645"/>
            <a:ext cx="1612575" cy="955215"/>
            <a:chOff x="4054928" y="1088571"/>
            <a:chExt cx="1990881" cy="1115785"/>
          </a:xfrm>
        </xdr:grpSpPr>
        <xdr:sp macro="" textlink="Sheet2!J1">
          <xdr:nvSpPr>
            <xdr:cNvPr id="12" name="Rectangle: Rounded Corners 11">
              <a:extLst>
                <a:ext uri="{FF2B5EF4-FFF2-40B4-BE49-F238E27FC236}">
                  <a16:creationId xmlns:a16="http://schemas.microsoft.com/office/drawing/2014/main" id="{6EE41EF1-66D3-ED35-8337-23E2BA8B95F4}"/>
                </a:ext>
              </a:extLst>
            </xdr:cNvPr>
            <xdr:cNvSpPr/>
          </xdr:nvSpPr>
          <xdr:spPr>
            <a:xfrm>
              <a:off x="4054928" y="1088571"/>
              <a:ext cx="1986643" cy="1115785"/>
            </a:xfrm>
            <a:prstGeom prst="roundRect">
              <a:avLst/>
            </a:prstGeom>
            <a:solidFill>
              <a:schemeClr val="accent1"/>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15762A6-83C2-4A54-AA79-EC9FC0783EFA}" type="TxLink">
                <a:rPr lang="en-US" sz="1600" b="0" i="0" u="none" strike="noStrike" kern="1200">
                  <a:solidFill>
                    <a:srgbClr val="000000"/>
                  </a:solidFill>
                  <a:latin typeface="Calibri"/>
                  <a:cs typeface="Calibri"/>
                </a:rPr>
                <a:pPr algn="ctr"/>
                <a:t>19</a:t>
              </a:fld>
              <a:endParaRPr lang="en-GB" sz="1600" kern="1200"/>
            </a:p>
          </xdr:txBody>
        </xdr:sp>
        <xdr:sp macro="" textlink="">
          <xdr:nvSpPr>
            <xdr:cNvPr id="13" name="Rectangle 12">
              <a:extLst>
                <a:ext uri="{FF2B5EF4-FFF2-40B4-BE49-F238E27FC236}">
                  <a16:creationId xmlns:a16="http://schemas.microsoft.com/office/drawing/2014/main" id="{B4605762-BCD1-06E2-26DD-34F30EFD7095}"/>
                </a:ext>
              </a:extLst>
            </xdr:cNvPr>
            <xdr:cNvSpPr/>
          </xdr:nvSpPr>
          <xdr:spPr>
            <a:xfrm>
              <a:off x="4059165" y="1279073"/>
              <a:ext cx="1986644" cy="421822"/>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a:solidFill>
                    <a:schemeClr val="accent1">
                      <a:lumMod val="20000"/>
                      <a:lumOff val="80000"/>
                    </a:schemeClr>
                  </a:solidFill>
                  <a:effectLst/>
                  <a:latin typeface="+mn-lt"/>
                  <a:ea typeface="+mn-ea"/>
                  <a:cs typeface="+mn-cs"/>
                </a:rPr>
                <a:t>COUNTRIES</a:t>
              </a:r>
              <a:endParaRPr lang="en-GB" sz="1600" kern="1200">
                <a:solidFill>
                  <a:schemeClr val="accent1">
                    <a:lumMod val="20000"/>
                    <a:lumOff val="80000"/>
                  </a:schemeClr>
                </a:solidFill>
              </a:endParaRPr>
            </a:p>
          </xdr:txBody>
        </xdr:sp>
      </xdr:grpSp>
      <xdr:grpSp>
        <xdr:nvGrpSpPr>
          <xdr:cNvPr id="15" name="Group 14">
            <a:extLst>
              <a:ext uri="{FF2B5EF4-FFF2-40B4-BE49-F238E27FC236}">
                <a16:creationId xmlns:a16="http://schemas.microsoft.com/office/drawing/2014/main" id="{16EDAFC8-48B3-4BBD-8EC3-373728E586F2}"/>
              </a:ext>
            </a:extLst>
          </xdr:cNvPr>
          <xdr:cNvGrpSpPr/>
        </xdr:nvGrpSpPr>
        <xdr:grpSpPr>
          <a:xfrm>
            <a:off x="5038917" y="996045"/>
            <a:ext cx="1562312" cy="955215"/>
            <a:chOff x="4054928" y="1115787"/>
            <a:chExt cx="2000252" cy="1115785"/>
          </a:xfrm>
        </xdr:grpSpPr>
        <xdr:sp macro="" textlink="Sheet2!J2">
          <xdr:nvSpPr>
            <xdr:cNvPr id="16" name="Rectangle: Rounded Corners 15">
              <a:extLst>
                <a:ext uri="{FF2B5EF4-FFF2-40B4-BE49-F238E27FC236}">
                  <a16:creationId xmlns:a16="http://schemas.microsoft.com/office/drawing/2014/main" id="{70E332F1-F16D-4233-49CE-0DA8DDE256B6}"/>
                </a:ext>
              </a:extLst>
            </xdr:cNvPr>
            <xdr:cNvSpPr/>
          </xdr:nvSpPr>
          <xdr:spPr>
            <a:xfrm>
              <a:off x="4068537" y="1115787"/>
              <a:ext cx="1986643" cy="1115785"/>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75227CB1-BC38-441A-B232-5FC04822D715}" type="TxLink">
                <a:rPr lang="en-US" sz="1600" b="0" i="0" u="none" strike="noStrike" kern="1200">
                  <a:solidFill>
                    <a:srgbClr val="000000"/>
                  </a:solidFill>
                  <a:latin typeface="Calibri"/>
                  <a:cs typeface="Calibri"/>
                </a:rPr>
                <a:pPr algn="ctr"/>
                <a:t>73</a:t>
              </a:fld>
              <a:endParaRPr lang="en-GB" sz="1600" kern="1200"/>
            </a:p>
          </xdr:txBody>
        </xdr:sp>
        <xdr:sp macro="" textlink="">
          <xdr:nvSpPr>
            <xdr:cNvPr id="17" name="Rectangle 16">
              <a:extLst>
                <a:ext uri="{FF2B5EF4-FFF2-40B4-BE49-F238E27FC236}">
                  <a16:creationId xmlns:a16="http://schemas.microsoft.com/office/drawing/2014/main" id="{FD8C7942-385C-A1EA-5968-0FA8103613CA}"/>
                </a:ext>
              </a:extLst>
            </xdr:cNvPr>
            <xdr:cNvSpPr/>
          </xdr:nvSpPr>
          <xdr:spPr>
            <a:xfrm>
              <a:off x="4054928" y="1306285"/>
              <a:ext cx="1986643" cy="421822"/>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a:solidFill>
                    <a:schemeClr val="accent1">
                      <a:lumMod val="20000"/>
                      <a:lumOff val="80000"/>
                    </a:schemeClr>
                  </a:solidFill>
                  <a:effectLst/>
                  <a:latin typeface="+mn-lt"/>
                  <a:ea typeface="+mn-ea"/>
                  <a:cs typeface="+mn-cs"/>
                </a:rPr>
                <a:t>CITIES</a:t>
              </a:r>
              <a:endParaRPr lang="en-GB" sz="1600" kern="1200">
                <a:solidFill>
                  <a:schemeClr val="accent1">
                    <a:lumMod val="20000"/>
                    <a:lumOff val="80000"/>
                  </a:schemeClr>
                </a:solidFill>
              </a:endParaRPr>
            </a:p>
          </xdr:txBody>
        </xdr:sp>
      </xdr:grpSp>
      <xdr:grpSp>
        <xdr:nvGrpSpPr>
          <xdr:cNvPr id="20" name="Group 19">
            <a:extLst>
              <a:ext uri="{FF2B5EF4-FFF2-40B4-BE49-F238E27FC236}">
                <a16:creationId xmlns:a16="http://schemas.microsoft.com/office/drawing/2014/main" id="{0FFC370F-4A9A-4DE0-8BB0-805D0C8BD41E}"/>
              </a:ext>
            </a:extLst>
          </xdr:cNvPr>
          <xdr:cNvGrpSpPr/>
        </xdr:nvGrpSpPr>
        <xdr:grpSpPr>
          <a:xfrm>
            <a:off x="6695725" y="998766"/>
            <a:ext cx="1562312" cy="955215"/>
            <a:chOff x="4054928" y="1115787"/>
            <a:chExt cx="2000252" cy="1115785"/>
          </a:xfrm>
        </xdr:grpSpPr>
        <xdr:sp macro="" textlink="Sheet2!J3">
          <xdr:nvSpPr>
            <xdr:cNvPr id="21" name="Rectangle: Rounded Corners 20">
              <a:extLst>
                <a:ext uri="{FF2B5EF4-FFF2-40B4-BE49-F238E27FC236}">
                  <a16:creationId xmlns:a16="http://schemas.microsoft.com/office/drawing/2014/main" id="{C81EA67F-D9AE-3C41-914E-6C74BDDCC4DE}"/>
                </a:ext>
              </a:extLst>
            </xdr:cNvPr>
            <xdr:cNvSpPr/>
          </xdr:nvSpPr>
          <xdr:spPr>
            <a:xfrm>
              <a:off x="4068537" y="1115787"/>
              <a:ext cx="1986643" cy="1115785"/>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A3E093B-4171-41FA-BD7B-4FD97E439053}" type="TxLink">
                <a:rPr lang="en-US" sz="1600" b="0" i="0" u="none" strike="noStrike" kern="1200">
                  <a:solidFill>
                    <a:srgbClr val="000000"/>
                  </a:solidFill>
                  <a:latin typeface="Calibri"/>
                  <a:cs typeface="Calibri"/>
                </a:rPr>
                <a:pPr algn="ctr"/>
                <a:t>3</a:t>
              </a:fld>
              <a:endParaRPr lang="en-GB" sz="1600" kern="1200"/>
            </a:p>
          </xdr:txBody>
        </xdr:sp>
        <xdr:sp macro="" textlink="">
          <xdr:nvSpPr>
            <xdr:cNvPr id="22" name="Rectangle 21">
              <a:extLst>
                <a:ext uri="{FF2B5EF4-FFF2-40B4-BE49-F238E27FC236}">
                  <a16:creationId xmlns:a16="http://schemas.microsoft.com/office/drawing/2014/main" id="{CD103014-2A38-B984-58BE-F39C540A18EE}"/>
                </a:ext>
              </a:extLst>
            </xdr:cNvPr>
            <xdr:cNvSpPr/>
          </xdr:nvSpPr>
          <xdr:spPr>
            <a:xfrm>
              <a:off x="4054928" y="1306285"/>
              <a:ext cx="1986643" cy="421822"/>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a:solidFill>
                    <a:schemeClr val="accent1">
                      <a:lumMod val="20000"/>
                      <a:lumOff val="80000"/>
                    </a:schemeClr>
                  </a:solidFill>
                  <a:effectLst/>
                  <a:latin typeface="+mn-lt"/>
                  <a:ea typeface="+mn-ea"/>
                  <a:cs typeface="+mn-cs"/>
                </a:rPr>
                <a:t>TERRITORIES</a:t>
              </a:r>
              <a:endParaRPr lang="en-GB" sz="1600" kern="1200">
                <a:solidFill>
                  <a:schemeClr val="accent1">
                    <a:lumMod val="20000"/>
                    <a:lumOff val="80000"/>
                  </a:schemeClr>
                </a:solidFill>
              </a:endParaRPr>
            </a:p>
          </xdr:txBody>
        </xdr:sp>
      </xdr:grpSp>
      <xdr:grpSp>
        <xdr:nvGrpSpPr>
          <xdr:cNvPr id="23" name="Group 22">
            <a:extLst>
              <a:ext uri="{FF2B5EF4-FFF2-40B4-BE49-F238E27FC236}">
                <a16:creationId xmlns:a16="http://schemas.microsoft.com/office/drawing/2014/main" id="{E83BB8C5-5A4A-41FF-B483-EBDD42214841}"/>
              </a:ext>
            </a:extLst>
          </xdr:cNvPr>
          <xdr:cNvGrpSpPr/>
        </xdr:nvGrpSpPr>
        <xdr:grpSpPr>
          <a:xfrm>
            <a:off x="8332545" y="1001489"/>
            <a:ext cx="1556127" cy="955215"/>
            <a:chOff x="4054928" y="1115787"/>
            <a:chExt cx="2000252" cy="1115785"/>
          </a:xfrm>
        </xdr:grpSpPr>
        <xdr:sp macro="" textlink="Sheet2!J4">
          <xdr:nvSpPr>
            <xdr:cNvPr id="24" name="Rectangle: Rounded Corners 23">
              <a:extLst>
                <a:ext uri="{FF2B5EF4-FFF2-40B4-BE49-F238E27FC236}">
                  <a16:creationId xmlns:a16="http://schemas.microsoft.com/office/drawing/2014/main" id="{DBB0AF7D-7A36-5039-3258-D908016B8F0B}"/>
                </a:ext>
              </a:extLst>
            </xdr:cNvPr>
            <xdr:cNvSpPr/>
          </xdr:nvSpPr>
          <xdr:spPr>
            <a:xfrm>
              <a:off x="4068537" y="1115787"/>
              <a:ext cx="1986643" cy="1115785"/>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0979305-EE8A-48B3-874D-5738200BD176}" type="TxLink">
                <a:rPr lang="en-US" sz="1600" b="0" i="0" u="none" strike="noStrike" kern="1200">
                  <a:solidFill>
                    <a:srgbClr val="000000"/>
                  </a:solidFill>
                  <a:latin typeface="Calibri"/>
                  <a:cs typeface="Calibri"/>
                </a:rPr>
                <a:pPr algn="ctr"/>
                <a:t>92</a:t>
              </a:fld>
              <a:endParaRPr lang="en-GB" sz="1600" kern="1200"/>
            </a:p>
          </xdr:txBody>
        </xdr:sp>
        <xdr:sp macro="" textlink="">
          <xdr:nvSpPr>
            <xdr:cNvPr id="25" name="Rectangle 24">
              <a:extLst>
                <a:ext uri="{FF2B5EF4-FFF2-40B4-BE49-F238E27FC236}">
                  <a16:creationId xmlns:a16="http://schemas.microsoft.com/office/drawing/2014/main" id="{8B8C7E2D-1CC8-A854-0436-72EB775A1724}"/>
                </a:ext>
              </a:extLst>
            </xdr:cNvPr>
            <xdr:cNvSpPr/>
          </xdr:nvSpPr>
          <xdr:spPr>
            <a:xfrm>
              <a:off x="4054928" y="1306285"/>
              <a:ext cx="1986643" cy="421822"/>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a:solidFill>
                    <a:schemeClr val="accent1">
                      <a:lumMod val="20000"/>
                      <a:lumOff val="80000"/>
                    </a:schemeClr>
                  </a:solidFill>
                  <a:effectLst/>
                  <a:latin typeface="+mn-lt"/>
                  <a:ea typeface="+mn-ea"/>
                  <a:cs typeface="+mn-cs"/>
                </a:rPr>
                <a:t>CUSTOMERS</a:t>
              </a:r>
              <a:endParaRPr lang="en-GB" sz="1600" kern="1200">
                <a:solidFill>
                  <a:schemeClr val="accent1">
                    <a:lumMod val="20000"/>
                    <a:lumOff val="80000"/>
                  </a:schemeClr>
                </a:solidFill>
              </a:endParaRPr>
            </a:p>
          </xdr:txBody>
        </xdr:sp>
      </xdr:grpSp>
      <xdr:grpSp>
        <xdr:nvGrpSpPr>
          <xdr:cNvPr id="26" name="Group 25">
            <a:extLst>
              <a:ext uri="{FF2B5EF4-FFF2-40B4-BE49-F238E27FC236}">
                <a16:creationId xmlns:a16="http://schemas.microsoft.com/office/drawing/2014/main" id="{32D15ECA-44C7-4CC7-811C-ED7BC4450923}"/>
              </a:ext>
            </a:extLst>
          </xdr:cNvPr>
          <xdr:cNvGrpSpPr/>
        </xdr:nvGrpSpPr>
        <xdr:grpSpPr>
          <a:xfrm>
            <a:off x="9971456" y="1004210"/>
            <a:ext cx="2355486" cy="955215"/>
            <a:chOff x="4054928" y="1115787"/>
            <a:chExt cx="3023501" cy="1115785"/>
          </a:xfrm>
        </xdr:grpSpPr>
        <xdr:sp macro="" textlink="Sheet2!J5">
          <xdr:nvSpPr>
            <xdr:cNvPr id="27" name="Rectangle: Rounded Corners 26">
              <a:extLst>
                <a:ext uri="{FF2B5EF4-FFF2-40B4-BE49-F238E27FC236}">
                  <a16:creationId xmlns:a16="http://schemas.microsoft.com/office/drawing/2014/main" id="{67217EA5-A918-43EA-4C76-5877C6048E86}"/>
                </a:ext>
              </a:extLst>
            </xdr:cNvPr>
            <xdr:cNvSpPr/>
          </xdr:nvSpPr>
          <xdr:spPr>
            <a:xfrm>
              <a:off x="4068537" y="1115787"/>
              <a:ext cx="3009892" cy="1115785"/>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59EEE3B2-8FF1-4D7C-8F2F-8A73AA1F5867}" type="TxLink">
                <a:rPr lang="en-US" sz="1600" b="0" i="0" u="none" strike="noStrike" kern="1200">
                  <a:solidFill>
                    <a:srgbClr val="000000"/>
                  </a:solidFill>
                  <a:latin typeface="Calibri"/>
                  <a:cs typeface="Calibri"/>
                </a:rPr>
                <a:pPr algn="ctr"/>
                <a:t> 99,067 </a:t>
              </a:fld>
              <a:endParaRPr lang="en-GB" sz="1600" kern="1200"/>
            </a:p>
          </xdr:txBody>
        </xdr:sp>
        <xdr:sp macro="" textlink="">
          <xdr:nvSpPr>
            <xdr:cNvPr id="28" name="Rectangle 27">
              <a:extLst>
                <a:ext uri="{FF2B5EF4-FFF2-40B4-BE49-F238E27FC236}">
                  <a16:creationId xmlns:a16="http://schemas.microsoft.com/office/drawing/2014/main" id="{BF86608C-29AA-C3F8-34ED-4C89932759CD}"/>
                </a:ext>
              </a:extLst>
            </xdr:cNvPr>
            <xdr:cNvSpPr/>
          </xdr:nvSpPr>
          <xdr:spPr>
            <a:xfrm>
              <a:off x="4054928" y="1306285"/>
              <a:ext cx="3023501" cy="421822"/>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a:solidFill>
                    <a:schemeClr val="accent1">
                      <a:lumMod val="20000"/>
                      <a:lumOff val="80000"/>
                    </a:schemeClr>
                  </a:solidFill>
                  <a:effectLst/>
                  <a:latin typeface="+mn-lt"/>
                  <a:ea typeface="+mn-ea"/>
                  <a:cs typeface="+mn-cs"/>
                </a:rPr>
                <a:t>QUANTITY ORDERED</a:t>
              </a:r>
              <a:endParaRPr lang="en-GB" sz="1600" kern="1200">
                <a:solidFill>
                  <a:schemeClr val="accent1">
                    <a:lumMod val="20000"/>
                    <a:lumOff val="80000"/>
                  </a:schemeClr>
                </a:solidFill>
              </a:endParaRPr>
            </a:p>
          </xdr:txBody>
        </xdr:sp>
      </xdr:grpSp>
      <xdr:grpSp>
        <xdr:nvGrpSpPr>
          <xdr:cNvPr id="35" name="Group 34">
            <a:extLst>
              <a:ext uri="{FF2B5EF4-FFF2-40B4-BE49-F238E27FC236}">
                <a16:creationId xmlns:a16="http://schemas.microsoft.com/office/drawing/2014/main" id="{C748F530-B5A8-4364-87C8-3E8E06ADCE29}"/>
              </a:ext>
            </a:extLst>
          </xdr:cNvPr>
          <xdr:cNvGrpSpPr/>
        </xdr:nvGrpSpPr>
        <xdr:grpSpPr>
          <a:xfrm>
            <a:off x="12415945" y="1004213"/>
            <a:ext cx="1556127" cy="955215"/>
            <a:chOff x="4054928" y="1115787"/>
            <a:chExt cx="2000252" cy="1115785"/>
          </a:xfrm>
        </xdr:grpSpPr>
        <xdr:sp macro="" textlink="Sheet2!J6">
          <xdr:nvSpPr>
            <xdr:cNvPr id="36" name="Rectangle: Rounded Corners 35">
              <a:extLst>
                <a:ext uri="{FF2B5EF4-FFF2-40B4-BE49-F238E27FC236}">
                  <a16:creationId xmlns:a16="http://schemas.microsoft.com/office/drawing/2014/main" id="{91099637-B6D7-CBC6-3646-79B977C33C83}"/>
                </a:ext>
              </a:extLst>
            </xdr:cNvPr>
            <xdr:cNvSpPr/>
          </xdr:nvSpPr>
          <xdr:spPr>
            <a:xfrm>
              <a:off x="4068537" y="1115787"/>
              <a:ext cx="1986643" cy="1115785"/>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A9B3F38-049C-4795-8AA5-CC5E58A41827}" type="TxLink">
                <a:rPr lang="en-US" sz="1600" b="0" i="0" u="none" strike="noStrike" kern="1200">
                  <a:solidFill>
                    <a:srgbClr val="000000"/>
                  </a:solidFill>
                  <a:latin typeface="Calibri"/>
                  <a:cs typeface="Calibri"/>
                </a:rPr>
                <a:pPr algn="ctr"/>
                <a:t>$35,286.85</a:t>
              </a:fld>
              <a:endParaRPr lang="en-GB" sz="1600" kern="1200"/>
            </a:p>
          </xdr:txBody>
        </xdr:sp>
        <xdr:sp macro="" textlink="">
          <xdr:nvSpPr>
            <xdr:cNvPr id="37" name="Rectangle 36">
              <a:extLst>
                <a:ext uri="{FF2B5EF4-FFF2-40B4-BE49-F238E27FC236}">
                  <a16:creationId xmlns:a16="http://schemas.microsoft.com/office/drawing/2014/main" id="{AF1EBC76-3405-8A08-C53F-E9AA013E8B6F}"/>
                </a:ext>
              </a:extLst>
            </xdr:cNvPr>
            <xdr:cNvSpPr/>
          </xdr:nvSpPr>
          <xdr:spPr>
            <a:xfrm>
              <a:off x="4054928" y="1306285"/>
              <a:ext cx="1986643" cy="421822"/>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a:solidFill>
                    <a:schemeClr val="accent1">
                      <a:lumMod val="20000"/>
                      <a:lumOff val="80000"/>
                    </a:schemeClr>
                  </a:solidFill>
                  <a:effectLst/>
                  <a:latin typeface="+mn-lt"/>
                  <a:ea typeface="+mn-ea"/>
                  <a:cs typeface="+mn-cs"/>
                </a:rPr>
                <a:t>TOTAL PROFIT</a:t>
              </a:r>
              <a:endParaRPr lang="en-GB" sz="1600" kern="1200">
                <a:solidFill>
                  <a:schemeClr val="accent1">
                    <a:lumMod val="20000"/>
                    <a:lumOff val="80000"/>
                  </a:schemeClr>
                </a:solidFill>
              </a:endParaRPr>
            </a:p>
          </xdr:txBody>
        </xdr:sp>
      </xdr:grpSp>
      <xdr:grpSp>
        <xdr:nvGrpSpPr>
          <xdr:cNvPr id="38" name="Group 37">
            <a:extLst>
              <a:ext uri="{FF2B5EF4-FFF2-40B4-BE49-F238E27FC236}">
                <a16:creationId xmlns:a16="http://schemas.microsoft.com/office/drawing/2014/main" id="{D4AE7EFE-73B1-452C-98B5-544741679393}"/>
              </a:ext>
            </a:extLst>
          </xdr:cNvPr>
          <xdr:cNvGrpSpPr/>
        </xdr:nvGrpSpPr>
        <xdr:grpSpPr>
          <a:xfrm>
            <a:off x="14026258" y="1004214"/>
            <a:ext cx="1793924" cy="955215"/>
            <a:chOff x="4054928" y="1115787"/>
            <a:chExt cx="2000252" cy="1115785"/>
          </a:xfrm>
        </xdr:grpSpPr>
        <xdr:sp macro="" textlink="Sheet2!J7">
          <xdr:nvSpPr>
            <xdr:cNvPr id="39" name="Rectangle: Rounded Corners 38">
              <a:extLst>
                <a:ext uri="{FF2B5EF4-FFF2-40B4-BE49-F238E27FC236}">
                  <a16:creationId xmlns:a16="http://schemas.microsoft.com/office/drawing/2014/main" id="{774BA703-C98B-8F1C-159B-F53973B384F1}"/>
                </a:ext>
              </a:extLst>
            </xdr:cNvPr>
            <xdr:cNvSpPr/>
          </xdr:nvSpPr>
          <xdr:spPr>
            <a:xfrm>
              <a:off x="4068537" y="1115787"/>
              <a:ext cx="1986643" cy="1115785"/>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71ACE1A7-0CBE-4A87-8FB6-C62E687BD827}" type="TxLink">
                <a:rPr lang="en-US" sz="1600" b="0" i="0" u="none" strike="noStrike" kern="1200">
                  <a:solidFill>
                    <a:srgbClr val="000000"/>
                  </a:solidFill>
                  <a:latin typeface="Calibri"/>
                  <a:cs typeface="Calibri"/>
                </a:rPr>
                <a:pPr algn="ctr"/>
                <a:t> $10,032,628.85 </a:t>
              </a:fld>
              <a:endParaRPr lang="en-GB" sz="1600" kern="1200"/>
            </a:p>
          </xdr:txBody>
        </xdr:sp>
        <xdr:sp macro="" textlink="">
          <xdr:nvSpPr>
            <xdr:cNvPr id="40" name="Rectangle 39">
              <a:extLst>
                <a:ext uri="{FF2B5EF4-FFF2-40B4-BE49-F238E27FC236}">
                  <a16:creationId xmlns:a16="http://schemas.microsoft.com/office/drawing/2014/main" id="{F298804C-3B5D-57AE-146C-DAA9C34018B9}"/>
                </a:ext>
              </a:extLst>
            </xdr:cNvPr>
            <xdr:cNvSpPr/>
          </xdr:nvSpPr>
          <xdr:spPr>
            <a:xfrm>
              <a:off x="4054928" y="1306285"/>
              <a:ext cx="1986643" cy="421822"/>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a:solidFill>
                    <a:schemeClr val="accent1">
                      <a:lumMod val="20000"/>
                      <a:lumOff val="80000"/>
                    </a:schemeClr>
                  </a:solidFill>
                  <a:effectLst/>
                  <a:latin typeface="+mn-lt"/>
                  <a:ea typeface="+mn-ea"/>
                  <a:cs typeface="+mn-cs"/>
                </a:rPr>
                <a:t>TOTAL SALES</a:t>
              </a:r>
              <a:endParaRPr lang="en-GB" sz="1600" kern="1200">
                <a:solidFill>
                  <a:schemeClr val="accent1">
                    <a:lumMod val="20000"/>
                    <a:lumOff val="80000"/>
                  </a:schemeClr>
                </a:solidFill>
              </a:endParaRPr>
            </a:p>
          </xdr:txBody>
        </xdr:sp>
      </xdr:grpSp>
      <xdr:sp macro="" textlink="">
        <xdr:nvSpPr>
          <xdr:cNvPr id="42" name="Rectangle: Rounded Corners 41">
            <a:extLst>
              <a:ext uri="{FF2B5EF4-FFF2-40B4-BE49-F238E27FC236}">
                <a16:creationId xmlns:a16="http://schemas.microsoft.com/office/drawing/2014/main" id="{023C0284-EC4E-A17E-1E87-95756EEC8A9C}"/>
              </a:ext>
            </a:extLst>
          </xdr:cNvPr>
          <xdr:cNvSpPr/>
        </xdr:nvSpPr>
        <xdr:spPr>
          <a:xfrm>
            <a:off x="3357254" y="2105905"/>
            <a:ext cx="5893275" cy="2663598"/>
          </a:xfrm>
          <a:prstGeom prst="roundRect">
            <a:avLst>
              <a:gd name="adj" fmla="val 5435"/>
            </a:avLst>
          </a:prstGeom>
          <a:solidFill>
            <a:schemeClr val="accent1"/>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GB" sz="1600" b="0" i="0" u="none" strike="noStrike" kern="1200">
              <a:solidFill>
                <a:srgbClr val="000000"/>
              </a:solidFill>
              <a:latin typeface="Calibri"/>
              <a:cs typeface="Calibri"/>
            </a:endParaRPr>
          </a:p>
        </xdr:txBody>
      </xdr:sp>
      <xdr:sp macro="" textlink="">
        <xdr:nvSpPr>
          <xdr:cNvPr id="4" name="Rectangle: Rounded Corners 3">
            <a:extLst>
              <a:ext uri="{FF2B5EF4-FFF2-40B4-BE49-F238E27FC236}">
                <a16:creationId xmlns:a16="http://schemas.microsoft.com/office/drawing/2014/main" id="{A7609908-C8F8-E17E-43E1-32FA85C124E8}"/>
              </a:ext>
            </a:extLst>
          </xdr:cNvPr>
          <xdr:cNvSpPr/>
        </xdr:nvSpPr>
        <xdr:spPr>
          <a:xfrm>
            <a:off x="9536523" y="2105905"/>
            <a:ext cx="3000832" cy="2678523"/>
          </a:xfrm>
          <a:prstGeom prst="roundRect">
            <a:avLst>
              <a:gd name="adj" fmla="val 5371"/>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600" b="0" i="0" u="none" strike="noStrike" kern="1200">
              <a:solidFill>
                <a:srgbClr val="000000"/>
              </a:solidFill>
              <a:latin typeface="Calibri"/>
              <a:cs typeface="Calibri"/>
            </a:endParaRPr>
          </a:p>
        </xdr:txBody>
      </xdr:sp>
      <xdr:graphicFrame macro="">
        <xdr:nvGraphicFramePr>
          <xdr:cNvPr id="9" name="Chart 8">
            <a:extLst>
              <a:ext uri="{FF2B5EF4-FFF2-40B4-BE49-F238E27FC236}">
                <a16:creationId xmlns:a16="http://schemas.microsoft.com/office/drawing/2014/main" id="{3C0DAA00-26B3-4D1A-93D9-18457232F292}"/>
              </a:ext>
            </a:extLst>
          </xdr:cNvPr>
          <xdr:cNvGraphicFramePr>
            <a:graphicFrameLocks/>
          </xdr:cNvGraphicFramePr>
        </xdr:nvGraphicFramePr>
        <xdr:xfrm>
          <a:off x="9627803" y="2202625"/>
          <a:ext cx="2814879" cy="2506196"/>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19" name="Rectangle: Rounded Corners 18">
            <a:extLst>
              <a:ext uri="{FF2B5EF4-FFF2-40B4-BE49-F238E27FC236}">
                <a16:creationId xmlns:a16="http://schemas.microsoft.com/office/drawing/2014/main" id="{30702F5F-8966-4C65-B3CA-830D95EA44A0}"/>
              </a:ext>
            </a:extLst>
          </xdr:cNvPr>
          <xdr:cNvSpPr/>
        </xdr:nvSpPr>
        <xdr:spPr>
          <a:xfrm>
            <a:off x="12851617" y="2105905"/>
            <a:ext cx="2999175" cy="2678523"/>
          </a:xfrm>
          <a:prstGeom prst="roundRect">
            <a:avLst>
              <a:gd name="adj" fmla="val 5371"/>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600" b="0" i="0" u="none" strike="noStrike" kern="1200">
              <a:solidFill>
                <a:srgbClr val="000000"/>
              </a:solidFill>
              <a:latin typeface="Calibri"/>
              <a:cs typeface="Calibri"/>
            </a:endParaRPr>
          </a:p>
        </xdr:txBody>
      </xdr:sp>
      <xdr:graphicFrame macro="">
        <xdr:nvGraphicFramePr>
          <xdr:cNvPr id="11" name="Chart 10">
            <a:extLst>
              <a:ext uri="{FF2B5EF4-FFF2-40B4-BE49-F238E27FC236}">
                <a16:creationId xmlns:a16="http://schemas.microsoft.com/office/drawing/2014/main" id="{91438456-A6A0-43E1-ADDF-904CAC3B9540}"/>
              </a:ext>
            </a:extLst>
          </xdr:cNvPr>
          <xdr:cNvGraphicFramePr>
            <a:graphicFrameLocks/>
          </xdr:cNvGraphicFramePr>
        </xdr:nvGraphicFramePr>
        <xdr:xfrm>
          <a:off x="12957193" y="2202625"/>
          <a:ext cx="2798374" cy="2500312"/>
        </xdr:xfrm>
        <a:graphic>
          <a:graphicData uri="http://schemas.openxmlformats.org/drawingml/2006/chart">
            <c:chart xmlns:c="http://schemas.openxmlformats.org/drawingml/2006/chart" xmlns:r="http://schemas.openxmlformats.org/officeDocument/2006/relationships" r:id="rId2"/>
          </a:graphicData>
        </a:graphic>
      </xdr:graphicFrame>
      <xdr:sp macro="" textlink="Sheet2!AK31">
        <xdr:nvSpPr>
          <xdr:cNvPr id="32" name="Rectangle: Rounded Corners 31">
            <a:extLst>
              <a:ext uri="{FF2B5EF4-FFF2-40B4-BE49-F238E27FC236}">
                <a16:creationId xmlns:a16="http://schemas.microsoft.com/office/drawing/2014/main" id="{F18F75E1-769A-8310-C491-D4705B5962B2}"/>
              </a:ext>
            </a:extLst>
          </xdr:cNvPr>
          <xdr:cNvSpPr/>
        </xdr:nvSpPr>
        <xdr:spPr>
          <a:xfrm>
            <a:off x="3357254" y="5013001"/>
            <a:ext cx="5904180" cy="2762863"/>
          </a:xfrm>
          <a:prstGeom prst="roundRect">
            <a:avLst>
              <a:gd name="adj" fmla="val 6011"/>
            </a:avLst>
          </a:prstGeom>
          <a:solidFill>
            <a:schemeClr val="accent1"/>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600" b="1" i="0" u="none" strike="noStrike" kern="1200">
              <a:solidFill>
                <a:srgbClr val="000000"/>
              </a:solidFill>
              <a:latin typeface="Calibri"/>
              <a:cs typeface="Calibri"/>
            </a:endParaRPr>
          </a:p>
        </xdr:txBody>
      </xdr:sp>
      <xdr:graphicFrame macro="">
        <xdr:nvGraphicFramePr>
          <xdr:cNvPr id="41" name="Chart 40">
            <a:extLst>
              <a:ext uri="{FF2B5EF4-FFF2-40B4-BE49-F238E27FC236}">
                <a16:creationId xmlns:a16="http://schemas.microsoft.com/office/drawing/2014/main" id="{90C92612-54B3-4745-BAEB-960AE052CE0F}"/>
              </a:ext>
            </a:extLst>
          </xdr:cNvPr>
          <xdr:cNvGraphicFramePr>
            <a:graphicFrameLocks/>
          </xdr:cNvGraphicFramePr>
        </xdr:nvGraphicFramePr>
        <xdr:xfrm>
          <a:off x="3469661" y="5154606"/>
          <a:ext cx="5663207" cy="255257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3" name="Rectangle: Rounded Corners 2">
            <a:extLst>
              <a:ext uri="{FF2B5EF4-FFF2-40B4-BE49-F238E27FC236}">
                <a16:creationId xmlns:a16="http://schemas.microsoft.com/office/drawing/2014/main" id="{7776FC6D-6877-4F46-937A-580656B2FF75}"/>
              </a:ext>
            </a:extLst>
          </xdr:cNvPr>
          <xdr:cNvSpPr/>
        </xdr:nvSpPr>
        <xdr:spPr>
          <a:xfrm>
            <a:off x="9536523" y="5014781"/>
            <a:ext cx="3000832" cy="2795719"/>
          </a:xfrm>
          <a:prstGeom prst="roundRect">
            <a:avLst>
              <a:gd name="adj" fmla="val 5371"/>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600" b="0" i="0" u="none" strike="noStrike" kern="1200">
              <a:solidFill>
                <a:srgbClr val="000000"/>
              </a:solidFill>
              <a:latin typeface="Calibri"/>
              <a:cs typeface="Calibri"/>
            </a:endParaRPr>
          </a:p>
        </xdr:txBody>
      </xdr:sp>
      <xdr:graphicFrame macro="">
        <xdr:nvGraphicFramePr>
          <xdr:cNvPr id="6" name="Chart 5">
            <a:extLst>
              <a:ext uri="{FF2B5EF4-FFF2-40B4-BE49-F238E27FC236}">
                <a16:creationId xmlns:a16="http://schemas.microsoft.com/office/drawing/2014/main" id="{879B59CF-5EB1-4CB7-9548-F13B08DDBD31}"/>
              </a:ext>
            </a:extLst>
          </xdr:cNvPr>
          <xdr:cNvGraphicFramePr>
            <a:graphicFrameLocks/>
          </xdr:cNvGraphicFramePr>
        </xdr:nvGraphicFramePr>
        <xdr:xfrm>
          <a:off x="9631561" y="5125406"/>
          <a:ext cx="2807363" cy="261097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31" name="Rectangle: Rounded Corners 30">
            <a:extLst>
              <a:ext uri="{FF2B5EF4-FFF2-40B4-BE49-F238E27FC236}">
                <a16:creationId xmlns:a16="http://schemas.microsoft.com/office/drawing/2014/main" id="{72E2232B-C482-4CF3-BCA7-852410DA0A19}"/>
              </a:ext>
            </a:extLst>
          </xdr:cNvPr>
          <xdr:cNvSpPr/>
        </xdr:nvSpPr>
        <xdr:spPr>
          <a:xfrm>
            <a:off x="12867116" y="5032711"/>
            <a:ext cx="3000831" cy="2795719"/>
          </a:xfrm>
          <a:prstGeom prst="roundRect">
            <a:avLst>
              <a:gd name="adj" fmla="val 5371"/>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600" b="0" i="0" u="none" strike="noStrike" kern="1200">
              <a:solidFill>
                <a:srgbClr val="000000"/>
              </a:solidFill>
              <a:latin typeface="Calibri"/>
              <a:cs typeface="Calibri"/>
            </a:endParaRPr>
          </a:p>
        </xdr:txBody>
      </xdr:sp>
      <xdr:graphicFrame macro="">
        <xdr:nvGraphicFramePr>
          <xdr:cNvPr id="33" name="Chart 32">
            <a:extLst>
              <a:ext uri="{FF2B5EF4-FFF2-40B4-BE49-F238E27FC236}">
                <a16:creationId xmlns:a16="http://schemas.microsoft.com/office/drawing/2014/main" id="{A6B8472F-F1F7-43A2-B378-3474A0B94C52}"/>
              </a:ext>
            </a:extLst>
          </xdr:cNvPr>
          <xdr:cNvGraphicFramePr>
            <a:graphicFrameLocks/>
          </xdr:cNvGraphicFramePr>
        </xdr:nvGraphicFramePr>
        <xdr:xfrm>
          <a:off x="12953098" y="5125891"/>
          <a:ext cx="2806564" cy="2610000"/>
        </xdr:xfrm>
        <a:graphic>
          <a:graphicData uri="http://schemas.openxmlformats.org/drawingml/2006/chart">
            <c:chart xmlns:c="http://schemas.openxmlformats.org/drawingml/2006/chart" xmlns:r="http://schemas.openxmlformats.org/officeDocument/2006/relationships" r:id="rId5"/>
          </a:graphicData>
        </a:graphic>
      </xdr:graphicFrame>
      <xdr:sp macro="" textlink="Sheet2!AK31">
        <xdr:nvSpPr>
          <xdr:cNvPr id="43" name="Rectangle: Rounded Corners 42">
            <a:extLst>
              <a:ext uri="{FF2B5EF4-FFF2-40B4-BE49-F238E27FC236}">
                <a16:creationId xmlns:a16="http://schemas.microsoft.com/office/drawing/2014/main" id="{1AC36EDD-0403-43CC-BA23-9F8431543580}"/>
              </a:ext>
            </a:extLst>
          </xdr:cNvPr>
          <xdr:cNvSpPr/>
        </xdr:nvSpPr>
        <xdr:spPr>
          <a:xfrm>
            <a:off x="3357254" y="8078561"/>
            <a:ext cx="12516591" cy="2762863"/>
          </a:xfrm>
          <a:prstGeom prst="roundRect">
            <a:avLst>
              <a:gd name="adj" fmla="val 6011"/>
            </a:avLst>
          </a:prstGeom>
          <a:solidFill>
            <a:schemeClr val="accent1"/>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600" b="1" i="0" u="none" strike="noStrike" kern="1200">
              <a:solidFill>
                <a:srgbClr val="000000"/>
              </a:solidFill>
              <a:latin typeface="Calibri"/>
              <a:cs typeface="Calibri"/>
            </a:endParaRPr>
          </a:p>
        </xdr:txBody>
      </xdr:sp>
      <xdr:graphicFrame macro="">
        <xdr:nvGraphicFramePr>
          <xdr:cNvPr id="44" name="Chart 43">
            <a:extLst>
              <a:ext uri="{FF2B5EF4-FFF2-40B4-BE49-F238E27FC236}">
                <a16:creationId xmlns:a16="http://schemas.microsoft.com/office/drawing/2014/main" id="{943E40FB-0F11-47C1-BAE5-594F2C4CA76B}"/>
              </a:ext>
            </a:extLst>
          </xdr:cNvPr>
          <xdr:cNvGraphicFramePr>
            <a:graphicFrameLocks/>
          </xdr:cNvGraphicFramePr>
        </xdr:nvGraphicFramePr>
        <xdr:xfrm>
          <a:off x="3469660" y="8191500"/>
          <a:ext cx="12272407" cy="2535011"/>
        </xdr:xfrm>
        <a:graphic>
          <a:graphicData uri="http://schemas.openxmlformats.org/drawingml/2006/chart">
            <c:chart xmlns:c="http://schemas.openxmlformats.org/drawingml/2006/chart" xmlns:r="http://schemas.openxmlformats.org/officeDocument/2006/relationships" r:id="rId6"/>
          </a:graphicData>
        </a:graphic>
      </xdr:graphicFrame>
      <mc:AlternateContent xmlns:mc="http://schemas.openxmlformats.org/markup-compatibility/2006">
        <mc:Choice xmlns:a14="http://schemas.microsoft.com/office/drawing/2010/main" Requires="a14">
          <xdr:graphicFrame macro="">
            <xdr:nvGraphicFramePr>
              <xdr:cNvPr id="48" name="COUNTRY">
                <a:extLst>
                  <a:ext uri="{FF2B5EF4-FFF2-40B4-BE49-F238E27FC236}">
                    <a16:creationId xmlns:a16="http://schemas.microsoft.com/office/drawing/2014/main" id="{D75D086D-CD91-3D26-4949-86AA2A3DC70B}"/>
                  </a:ext>
                </a:extLst>
              </xdr:cNvPr>
              <xdr:cNvGraphicFramePr/>
            </xdr:nvGraphicFramePr>
            <xdr:xfrm>
              <a:off x="337209" y="2982440"/>
              <a:ext cx="2668731" cy="3292854"/>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337209" y="2982440"/>
                <a:ext cx="2668731" cy="329285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9" name="PRODUCT LINE">
                <a:extLst>
                  <a:ext uri="{FF2B5EF4-FFF2-40B4-BE49-F238E27FC236}">
                    <a16:creationId xmlns:a16="http://schemas.microsoft.com/office/drawing/2014/main" id="{8096F2CA-92ED-CB62-049E-3EF64BCCD6B0}"/>
                  </a:ext>
                </a:extLst>
              </xdr:cNvPr>
              <xdr:cNvGraphicFramePr/>
            </xdr:nvGraphicFramePr>
            <xdr:xfrm>
              <a:off x="321346" y="6355285"/>
              <a:ext cx="2694708" cy="3920509"/>
            </xdr:xfrm>
            <a:graphic>
              <a:graphicData uri="http://schemas.microsoft.com/office/drawing/2010/slicer">
                <sle:slicer xmlns:sle="http://schemas.microsoft.com/office/drawing/2010/slicer" name="PRODUCT LINE"/>
              </a:graphicData>
            </a:graphic>
          </xdr:graphicFrame>
        </mc:Choice>
        <mc:Fallback>
          <xdr:sp macro="" textlink="">
            <xdr:nvSpPr>
              <xdr:cNvPr id="0" name=""/>
              <xdr:cNvSpPr>
                <a:spLocks noTextEdit="1"/>
              </xdr:cNvSpPr>
            </xdr:nvSpPr>
            <xdr:spPr>
              <a:xfrm>
                <a:off x="321346" y="6355285"/>
                <a:ext cx="2694708" cy="392050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50" name="Years">
                <a:extLst>
                  <a:ext uri="{FF2B5EF4-FFF2-40B4-BE49-F238E27FC236}">
                    <a16:creationId xmlns:a16="http://schemas.microsoft.com/office/drawing/2014/main" id="{C5A6B072-C09D-57FD-131A-562691AC6E53}"/>
                  </a:ext>
                </a:extLst>
              </xdr:cNvPr>
              <xdr:cNvGraphicFramePr/>
            </xdr:nvGraphicFramePr>
            <xdr:xfrm>
              <a:off x="350817" y="960914"/>
              <a:ext cx="2668734" cy="1936171"/>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350817" y="960914"/>
                <a:ext cx="2668734" cy="193617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Rectangle50_Click" textlink="">
        <xdr:nvSpPr>
          <xdr:cNvPr id="51" name="Rectangle 50">
            <a:extLst>
              <a:ext uri="{FF2B5EF4-FFF2-40B4-BE49-F238E27FC236}">
                <a16:creationId xmlns:a16="http://schemas.microsoft.com/office/drawing/2014/main" id="{011A7D49-E898-E74F-8704-8517CBAB8016}"/>
              </a:ext>
            </a:extLst>
          </xdr:cNvPr>
          <xdr:cNvSpPr/>
        </xdr:nvSpPr>
        <xdr:spPr>
          <a:xfrm>
            <a:off x="299357" y="10405753"/>
            <a:ext cx="2710295" cy="625929"/>
          </a:xfrm>
          <a:prstGeom prst="rect">
            <a:avLst/>
          </a:prstGeom>
          <a:gradFill>
            <a:gsLst>
              <a:gs pos="0">
                <a:schemeClr val="accent1">
                  <a:lumMod val="40000"/>
                  <a:lumOff val="60000"/>
                </a:schemeClr>
              </a:gs>
              <a:gs pos="73000">
                <a:schemeClr val="accent1">
                  <a:lumMod val="60000"/>
                  <a:lumOff val="40000"/>
                </a:schemeClr>
              </a:gs>
              <a:gs pos="29000">
                <a:schemeClr val="accent1">
                  <a:lumMod val="20000"/>
                  <a:lumOff val="80000"/>
                  <a:alpha val="94000"/>
                </a:schemeClr>
              </a:gs>
            </a:gsLst>
            <a:lin ang="5400000" scaled="1"/>
          </a:gra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n-GB" sz="2400" b="1" kern="1200">
                <a:solidFill>
                  <a:schemeClr val="accent1">
                    <a:lumMod val="50000"/>
                  </a:schemeClr>
                </a:solidFill>
                <a:effectLst/>
              </a:rPr>
              <a:t>CLEAR</a:t>
            </a:r>
            <a:r>
              <a:rPr lang="en-GB" sz="2400" b="1" kern="1200" baseline="0">
                <a:solidFill>
                  <a:schemeClr val="accent1">
                    <a:lumMod val="50000"/>
                  </a:schemeClr>
                </a:solidFill>
                <a:effectLst/>
              </a:rPr>
              <a:t> ALL FILTERS</a:t>
            </a:r>
            <a:endParaRPr lang="en-GB" sz="2400" b="1" kern="1200">
              <a:solidFill>
                <a:schemeClr val="accent1">
                  <a:lumMod val="50000"/>
                </a:schemeClr>
              </a:solidFill>
              <a:effectLst/>
            </a:endParaRPr>
          </a:p>
        </xdr:txBody>
      </xdr:sp>
      <xdr:sp macro="" textlink="">
        <xdr:nvSpPr>
          <xdr:cNvPr id="54" name="Rectangle 53">
            <a:extLst>
              <a:ext uri="{FF2B5EF4-FFF2-40B4-BE49-F238E27FC236}">
                <a16:creationId xmlns:a16="http://schemas.microsoft.com/office/drawing/2014/main" id="{0AF8F91F-8828-59E5-1918-B37367198305}"/>
              </a:ext>
            </a:extLst>
          </xdr:cNvPr>
          <xdr:cNvSpPr/>
        </xdr:nvSpPr>
        <xdr:spPr>
          <a:xfrm>
            <a:off x="14166271" y="10927771"/>
            <a:ext cx="2147455" cy="43295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solidFill>
                  <a:sysClr val="windowText" lastClr="000000"/>
                </a:solidFill>
              </a:rPr>
              <a:t>CHIKAMSO CHIDI-AKOMA</a:t>
            </a:r>
            <a:r>
              <a:rPr lang="en-GB" sz="1100" kern="1200" baseline="0">
                <a:solidFill>
                  <a:sysClr val="windowText" lastClr="000000"/>
                </a:solidFill>
              </a:rPr>
              <a:t> </a:t>
            </a:r>
          </a:p>
          <a:p>
            <a:pPr algn="l"/>
            <a:r>
              <a:rPr lang="en-GB" sz="1100" kern="1200" baseline="0">
                <a:solidFill>
                  <a:sysClr val="windowText" lastClr="000000"/>
                </a:solidFill>
              </a:rPr>
              <a:t>chikamsochidiakoma@gmail.com </a:t>
            </a:r>
            <a:endParaRPr lang="en-GB" sz="1100" kern="1200">
              <a:solidFill>
                <a:sysClr val="windowText" lastClr="000000"/>
              </a:solidFill>
            </a:endParaRPr>
          </a:p>
        </xdr:txBody>
      </xdr:sp>
      <xdr:graphicFrame macro="">
        <xdr:nvGraphicFramePr>
          <xdr:cNvPr id="45" name="Chart 44">
            <a:extLst>
              <a:ext uri="{FF2B5EF4-FFF2-40B4-BE49-F238E27FC236}">
                <a16:creationId xmlns:a16="http://schemas.microsoft.com/office/drawing/2014/main" id="{98673BAC-3647-4397-B38F-01279FD7C388}"/>
              </a:ext>
            </a:extLst>
          </xdr:cNvPr>
          <xdr:cNvGraphicFramePr>
            <a:graphicFrameLocks/>
          </xdr:cNvGraphicFramePr>
        </xdr:nvGraphicFramePr>
        <xdr:xfrm>
          <a:off x="3423754" y="2173432"/>
          <a:ext cx="5733715" cy="2529691"/>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WNER" refreshedDate="45598.470289120371" createdVersion="8" refreshedVersion="8" minRefreshableVersion="3" recordCount="2823" xr:uid="{614BAE0B-9FF7-4077-A38B-424B5BA46EAC}">
  <cacheSource type="worksheet">
    <worksheetSource ref="A1:S2824" sheet="Data"/>
  </cacheSource>
  <cacheFields count="22">
    <cacheField name="ORDERNUMBER" numFmtId="0">
      <sharedItems containsSemiMixedTypes="0" containsString="0" containsNumber="1" containsInteger="1" minValue="10100" maxValue="10425"/>
    </cacheField>
    <cacheField name="PRODUCTCODE" numFmtId="0">
      <sharedItems/>
    </cacheField>
    <cacheField name="CUSTOMERNAME" numFmtId="0">
      <sharedItems count="92">
        <s v="Technics Stores Inc."/>
        <s v="Herkku Gifts"/>
        <s v="Australian Collectors, Co."/>
        <s v="La Rochelle Gifts"/>
        <s v="Diecast Classics Inc."/>
        <s v="Land of Toys Inc."/>
        <s v="Volvo Model Replicas, Co"/>
        <s v="Classic Legends Inc."/>
        <s v="Online Diecast Creations Co."/>
        <s v="Motor Mint Distributors Inc."/>
        <s v="Atelier graphique"/>
        <s v="Auto Canal Petit"/>
        <s v="Osaka Souveniers Co."/>
        <s v="Mini Classics"/>
        <s v="Australian Gift Network, Co"/>
        <s v="Quebec Home Shopping Network"/>
        <s v="Gifts4AllAges.com"/>
        <s v="Dragon Souveniers, Ltd."/>
        <s v="Classic Gift Ideas, Inc"/>
        <s v="Lyon Souveniers"/>
        <s v="Auto Assoc. &amp; Cie."/>
        <s v="Corporate Gift Ideas Co."/>
        <s v="Toys4GrownUps.com"/>
        <s v="Mini Wheels Co."/>
        <s v="Tekni Collectables Inc."/>
        <s v="Gift Depot Inc."/>
        <s v="Euro Shopping Channel"/>
        <s v="Blauer See Auto, Co."/>
        <s v="Vitachrome Inc."/>
        <s v="Toms Spezialitten, Ltd"/>
        <s v="Danish Wholesale Imports"/>
        <s v="Online Mini Collectables"/>
        <s v="Salzburg Collectables"/>
        <s v="Boards &amp; Toys Co."/>
        <s v="Muscle Machine Inc"/>
        <s v="L'ordine Souveniers"/>
        <s v="Clover Collections, Co."/>
        <s v="CAF Imports"/>
        <s v="Suominen Souveniers"/>
        <s v="Baane Mini Imports"/>
        <s v="La Corne D'abondance, Co."/>
        <s v="Tokyo Collectables, Ltd"/>
        <s v="Stylish Desk Decors, Co."/>
        <s v="Mini Gifts Distributors Ltd."/>
        <s v="Toys of Finland, Co."/>
        <s v="Cambridge Collectables Co."/>
        <s v="Amica Models &amp; Co."/>
        <s v="Anna's Decorations, Ltd"/>
        <s v="Vida Sport, Ltd"/>
        <s v="Mini Creations Ltd."/>
        <s v="UK Collectables, Ltd."/>
        <s v="Scandinavian Gift Ideas"/>
        <s v="Double Decker Gift Stores, Ltd"/>
        <s v="Collectables For Less Inc."/>
        <s v="Royale Belge"/>
        <s v="The Sharp Gifts Warehouse"/>
        <s v="Marseille Mini Autos"/>
        <s v="Alpha Cognac"/>
        <s v="Signal Collectibles Ltd."/>
        <s v="Mini Caravy"/>
        <s v="Norway Gifts By Mail, Co."/>
        <s v="Gift Ideas Corp."/>
        <s v="AV Stores, Co."/>
        <s v="Corrida Auto Replicas, Ltd"/>
        <s v="Souveniers And Things Co."/>
        <s v="Australian Collectables, Ltd"/>
        <s v="Petit Auto"/>
        <s v="Rovelli Gifts"/>
        <s v="Super Scale Inc."/>
        <s v="Heintze Collectables"/>
        <s v="Men 'R' US Retailers, Ltd."/>
        <s v="Oulu Toy Supplies, Inc."/>
        <s v="Microscale Inc."/>
        <s v="Saveley &amp; Henriot, Co."/>
        <s v="Mini Auto Werke"/>
        <s v="Daedalus Designs Imports"/>
        <s v="Auto-Moto Classics Inc."/>
        <s v="Diecast Collectables"/>
        <s v="FunGiftIdeas.com"/>
        <s v="West Coast Collectables Co."/>
        <s v="Collectable Mini Designs Co."/>
        <s v="Handji Gifts&amp; Co"/>
        <s v="Reims Collectables"/>
        <s v="Signal Gift Stores"/>
        <s v="giftsbymail.co.uk"/>
        <s v="Cruz &amp; Sons Co."/>
        <s v="Iberia Gift Imports, Corp."/>
        <s v="Marta's Replicas Co."/>
        <s v="Enaco Distributors"/>
        <s v="Royal Canadian Collectables, Ltd."/>
        <s v="Canadian Gift Exchange Network"/>
        <s v="Bavarian Collectables Imports, Co."/>
      </sharedItems>
    </cacheField>
    <cacheField name="CITY" numFmtId="0">
      <sharedItems count="73">
        <s v="Burlingame"/>
        <s v="Bergen"/>
        <s v="Melbourne"/>
        <s v="Nantes"/>
        <s v="Allentown"/>
        <s v="NYC"/>
        <s v="Lule"/>
        <s v="Nashua"/>
        <s v="Philadelphia"/>
        <s v="Paris"/>
        <s v="Osaka"/>
        <s v="White Plains"/>
        <s v="South Brisbane"/>
        <s v="Montreal"/>
        <s v="Boston"/>
        <s v="Singapore"/>
        <s v="Versailles"/>
        <s v="San Francisco"/>
        <s v="Pasadena"/>
        <s v="Newark"/>
        <s v="Bridgewater"/>
        <s v="Madrid"/>
        <s v="Frankfurt"/>
        <s v="Koln"/>
        <s v="Kobenhavn"/>
        <s v="Brickhaven"/>
        <s v="Salzburg"/>
        <s v="Glendale"/>
        <s v="Reggio Emilia"/>
        <s v="Dublin"/>
        <s v="Espoo"/>
        <s v="Stavern"/>
        <s v="Minato-ku"/>
        <s v="London"/>
        <s v="San Rafael"/>
        <s v="Helsinki"/>
        <s v="Cambridge"/>
        <s v="Torino"/>
        <s v="North Sydney"/>
        <s v="Gensve"/>
        <s v="New Bedford"/>
        <s v="Liverpool"/>
        <s v="Boras"/>
        <s v="Charleroi"/>
        <s v="San Jose"/>
        <s v="Marseille"/>
        <s v="Toulouse"/>
        <s v="Brisbane"/>
        <s v="Strasbourg"/>
        <s v="Oslo"/>
        <s v="Manchester"/>
        <s v="Chatswood"/>
        <s v="Glen Waverly"/>
        <s v="Bruxelles"/>
        <s v="Bergamo"/>
        <s v="New Haven"/>
        <s v="Aaarhus"/>
        <s v="Los Angeles"/>
        <s v="Oulu"/>
        <s v="Lyon"/>
        <s v="Graz"/>
        <s v="Lille"/>
        <s v="Burbank"/>
        <s v="San Diego"/>
        <s v="Reims"/>
        <s v="Las Vegas"/>
        <s v="Cowes"/>
        <s v="Makati City"/>
        <s v="Sevilla"/>
        <s v="Barcelona"/>
        <s v="Tsawassen"/>
        <s v="Vancouver"/>
        <s v="Munich"/>
      </sharedItems>
    </cacheField>
    <cacheField name="COUNTRY" numFmtId="0">
      <sharedItems count="19">
        <s v="USA"/>
        <s v="Norway"/>
        <s v="Australia"/>
        <s v="France"/>
        <s v="Sweden"/>
        <s v="Japan"/>
        <s v="Canada"/>
        <s v="Singapore"/>
        <s v="Spain"/>
        <s v="Germany"/>
        <s v="Denmark"/>
        <s v="Austria"/>
        <s v="Italy"/>
        <s v="Ireland"/>
        <s v="Finland"/>
        <s v="UK"/>
        <s v="Switzerland"/>
        <s v="Belgium"/>
        <s v="Philippines"/>
      </sharedItems>
    </cacheField>
    <cacheField name="TERRITORY" numFmtId="0">
      <sharedItems count="3">
        <s v="North America"/>
        <s v="EMEA"/>
        <s v="APAC"/>
      </sharedItems>
    </cacheField>
    <cacheField name="DEALSIZE" numFmtId="0">
      <sharedItems/>
    </cacheField>
    <cacheField name="ORDERLINENUMBER" numFmtId="0">
      <sharedItems containsSemiMixedTypes="0" containsString="0" containsNumber="1" containsInteger="1" minValue="1" maxValue="18"/>
    </cacheField>
    <cacheField name="QUANTITYORDERED" numFmtId="0">
      <sharedItems containsSemiMixedTypes="0" containsString="0" containsNumber="1" containsInteger="1" minValue="6" maxValue="97"/>
    </cacheField>
    <cacheField name="PRICEEACH" numFmtId="0">
      <sharedItems containsSemiMixedTypes="0" containsString="0" containsNumber="1" minValue="26.88" maxValue="100"/>
    </cacheField>
    <cacheField name="MSRP" numFmtId="0">
      <sharedItems containsSemiMixedTypes="0" containsString="0" containsNumber="1" containsInteger="1" minValue="33" maxValue="214"/>
    </cacheField>
    <cacheField name="SALES" numFmtId="0">
      <sharedItems containsSemiMixedTypes="0" containsString="0" containsNumber="1" minValue="482.13" maxValue="14082.8"/>
    </cacheField>
    <cacheField name="PROFIT_LOSS" numFmtId="0">
      <sharedItems containsSemiMixedTypes="0" containsString="0" containsNumber="1" minValue="-7422.72" maxValue="8136"/>
    </cacheField>
    <cacheField name="ORDERDATE" numFmtId="14">
      <sharedItems containsSemiMixedTypes="0" containsNonDate="0" containsDate="1" containsString="0" minDate="2003-01-06T00:00:00" maxDate="2005-06-01T00:00:00" count="252">
        <d v="2003-10-28T00:00:00"/>
        <d v="2003-11-18T00:00:00"/>
        <d v="2004-02-20T00:00:00"/>
        <d v="2004-07-23T00:00:00"/>
        <d v="2004-11-02T00:00:00"/>
        <d v="2004-11-15T00:00:00"/>
        <d v="2003-03-24T00:00:00"/>
        <d v="2003-10-20T00:00:00"/>
        <d v="2004-11-04T00:00:00"/>
        <d v="2004-11-29T00:00:00"/>
        <d v="2004-04-03T00:00:00"/>
        <d v="2004-09-27T00:00:00"/>
        <d v="2005-04-07T00:00:00"/>
        <d v="2004-01-12T00:00:00"/>
        <d v="2004-10-15T00:00:00"/>
        <d v="2005-02-02T00:00:00"/>
        <d v="2004-06-17T00:00:00"/>
        <d v="2004-09-10T00:00:00"/>
        <d v="2003-09-19T00:00:00"/>
        <d v="2003-11-13T00:00:00"/>
        <d v="2005-03-17T00:00:00"/>
        <d v="2003-11-06T00:00:00"/>
        <d v="2004-02-02T00:00:00"/>
        <d v="2005-02-17T00:00:00"/>
        <d v="2003-02-24T00:00:00"/>
        <d v="2003-07-01T00:00:00"/>
        <d v="2003-12-01T00:00:00"/>
        <d v="2004-05-18T00:00:00"/>
        <d v="2004-06-28T00:00:00"/>
        <d v="2005-01-05T00:00:00"/>
        <d v="2005-05-13T00:00:00"/>
        <d v="2003-01-31T00:00:00"/>
        <d v="2004-03-15T00:00:00"/>
        <d v="2004-11-05T00:00:00"/>
        <d v="2003-11-20T00:00:00"/>
        <d v="2004-04-09T00:00:00"/>
        <d v="2004-08-02T00:00:00"/>
        <d v="2004-11-03T00:00:00"/>
        <d v="2004-11-24T00:00:00"/>
        <d v="2005-02-08T00:00:00"/>
        <d v="2003-06-03T00:00:00"/>
        <d v="2004-02-12T00:00:00"/>
        <d v="2004-03-19T00:00:00"/>
        <d v="2004-05-05T00:00:00"/>
        <d v="2004-07-20T00:00:00"/>
        <d v="2004-11-20T00:00:00"/>
        <d v="2005-01-26T00:00:00"/>
        <d v="2005-05-05T00:00:00"/>
        <d v="2004-03-11T00:00:00"/>
        <d v="2004-08-19T00:00:00"/>
        <d v="2004-08-04T00:00:00"/>
        <d v="2005-02-09T00:00:00"/>
        <d v="2004-03-10T00:00:00"/>
        <d v="2004-08-17T00:00:00"/>
        <d v="2004-12-10T00:00:00"/>
        <d v="2005-01-20T00:00:00"/>
        <d v="2004-02-22T00:00:00"/>
        <d v="2005-01-07T00:00:00"/>
        <d v="2003-05-21T00:00:00"/>
        <d v="2003-01-10T00:00:00"/>
        <d v="2003-10-18T00:00:00"/>
        <d v="2003-12-03T00:00:00"/>
        <d v="2004-06-08T00:00:00"/>
        <d v="2004-09-03T00:00:00"/>
        <d v="2005-05-30T00:00:00"/>
        <d v="2004-06-01T00:00:00"/>
        <d v="2005-01-12T00:00:00"/>
        <d v="2005-05-17T00:00:00"/>
        <d v="2003-10-23T00:00:00"/>
        <d v="2003-11-14T00:00:00"/>
        <d v="2004-07-21T00:00:00"/>
        <d v="2004-10-14T00:00:00"/>
        <d v="2004-11-22T00:00:00"/>
        <d v="2004-12-03T00:00:00"/>
        <d v="2005-04-01T00:00:00"/>
        <d v="2003-10-06T00:00:00"/>
        <d v="2004-11-25T00:00:00"/>
        <d v="2003-10-04T00:00:00"/>
        <d v="2003-05-08T00:00:00"/>
        <d v="2003-07-04T00:00:00"/>
        <d v="2003-11-05T00:00:00"/>
        <d v="2004-10-16T00:00:00"/>
        <d v="2004-02-10T00:00:00"/>
        <d v="2004-04-13T00:00:00"/>
        <d v="2005-02-10T00:00:00"/>
        <d v="2005-04-22T00:00:00"/>
        <d v="2003-12-02T00:00:00"/>
        <d v="2004-11-19T00:00:00"/>
        <d v="2004-08-21T00:00:00"/>
        <d v="2004-12-04T00:00:00"/>
        <d v="2004-11-23T00:00:00"/>
        <d v="2003-01-09T00:00:00"/>
        <d v="2003-03-18T00:00:00"/>
        <d v="2004-01-26T00:00:00"/>
        <d v="2004-06-04T00:00:00"/>
        <d v="2004-11-17T00:00:00"/>
        <d v="2004-12-09T00:00:00"/>
        <d v="2005-05-29T00:00:00"/>
        <d v="2003-03-10T00:00:00"/>
        <d v="2004-08-30T00:00:00"/>
        <d v="2003-07-16T00:00:00"/>
        <d v="2003-11-21T00:00:00"/>
        <d v="2004-04-29T00:00:00"/>
        <d v="2004-06-14T00:00:00"/>
        <d v="2004-07-16T00:00:00"/>
        <d v="2004-05-07T00:00:00"/>
        <d v="2005-05-06T00:00:00"/>
        <d v="2003-03-25T00:00:00"/>
        <d v="2003-11-26T00:00:00"/>
        <d v="2004-08-20T00:00:00"/>
        <d v="2004-10-22T00:00:00"/>
        <d v="2004-12-02T00:00:00"/>
        <d v="2003-10-11T00:00:00"/>
        <d v="2004-04-12T00:00:00"/>
        <d v="2005-01-10T00:00:00"/>
        <d v="2005-04-14T00:00:00"/>
        <d v="2003-10-22T00:00:00"/>
        <d v="2003-11-12T00:00:00"/>
        <d v="2004-03-02T00:00:00"/>
        <d v="2005-03-10T00:00:00"/>
        <d v="2004-05-26T00:00:00"/>
        <d v="2004-07-02T00:00:00"/>
        <d v="2005-03-04T00:00:00"/>
        <d v="2005-04-15T00:00:00"/>
        <d v="2004-02-21T00:00:00"/>
        <d v="2004-04-05T00:00:00"/>
        <d v="2004-08-28T00:00:00"/>
        <d v="2004-12-07T00:00:00"/>
        <d v="2005-04-08T00:00:00"/>
        <d v="2003-06-16T00:00:00"/>
        <d v="2003-09-25T00:00:00"/>
        <d v="2003-12-09T00:00:00"/>
        <d v="2005-02-22T00:00:00"/>
        <d v="2005-03-15T00:00:00"/>
        <d v="2003-09-11T00:00:00"/>
        <d v="2004-01-22T00:00:00"/>
        <d v="2005-02-16T00:00:00"/>
        <d v="2003-06-06T00:00:00"/>
        <d v="2003-10-21T00:00:00"/>
        <d v="2004-01-29T00:00:00"/>
        <d v="2004-10-21T00:00:00"/>
        <d v="2003-09-03T00:00:00"/>
        <d v="2003-10-17T00:00:00"/>
        <d v="2004-07-07T00:00:00"/>
        <d v="2004-08-09T00:00:00"/>
        <d v="2004-02-26T00:00:00"/>
        <d v="2003-10-05T00:00:00"/>
        <d v="2004-06-15T00:00:00"/>
        <d v="2005-05-31T00:00:00"/>
        <d v="2003-04-29T00:00:00"/>
        <d v="2005-03-03T00:00:00"/>
        <d v="2003-05-20T00:00:00"/>
        <d v="2003-07-10T00:00:00"/>
        <d v="2004-07-06T00:00:00"/>
        <d v="2004-08-06T00:00:00"/>
        <d v="2004-06-24T00:00:00"/>
        <d v="2004-11-01T00:00:00"/>
        <d v="2004-04-26T00:00:00"/>
        <d v="2004-09-01T00:00:00"/>
        <d v="2005-04-23T00:00:00"/>
        <d v="2003-10-10T00:00:00"/>
        <d v="2004-05-11T00:00:00"/>
        <d v="2004-09-16T00:00:00"/>
        <d v="2005-05-10T00:00:00"/>
        <d v="2004-02-18T00:00:00"/>
        <d v="2005-03-09T00:00:00"/>
        <d v="2003-01-29T00:00:00"/>
        <d v="2003-05-28T00:00:00"/>
        <d v="2003-07-24T00:00:00"/>
        <d v="2003-11-25T00:00:00"/>
        <d v="2004-02-04T00:00:00"/>
        <d v="2004-09-08T00:00:00"/>
        <d v="2004-11-16T00:00:00"/>
        <d v="2004-01-16T00:00:00"/>
        <d v="2003-04-01T00:00:00"/>
        <d v="2004-01-09T00:00:00"/>
        <d v="2004-05-08T00:00:00"/>
        <d v="2004-11-12T00:00:00"/>
        <d v="2005-03-01T00:00:00"/>
        <d v="2005-05-09T00:00:00"/>
        <d v="2003-07-02T00:00:00"/>
        <d v="2003-09-05T00:00:00"/>
        <d v="2003-08-08T00:00:00"/>
        <d v="2004-10-29T00:00:00"/>
        <d v="2005-01-19T00:00:00"/>
        <d v="2003-11-04T00:00:00"/>
        <d v="2004-01-15T00:00:00"/>
        <d v="2003-02-11T00:00:00"/>
        <d v="2003-06-12T00:00:00"/>
        <d v="2003-03-03T00:00:00"/>
        <d v="2005-01-06T00:00:00"/>
        <d v="2003-01-06T00:00:00"/>
        <d v="2004-04-20T00:00:00"/>
        <d v="2004-10-06T00:00:00"/>
        <d v="2003-04-04T00:00:00"/>
        <d v="2003-08-01T00:00:00"/>
        <d v="2004-10-13T00:00:00"/>
        <d v="2005-05-03T00:00:00"/>
        <d v="2003-09-12T00:00:00"/>
        <d v="2004-09-07T00:00:00"/>
        <d v="2004-11-18T00:00:00"/>
        <d v="2004-12-17T00:00:00"/>
        <d v="2003-11-11T00:00:00"/>
        <d v="2004-06-30T00:00:00"/>
        <d v="2004-09-30T00:00:00"/>
        <d v="2004-05-04T00:00:00"/>
        <d v="2004-07-19T00:00:00"/>
        <d v="2005-01-23T00:00:00"/>
        <d v="2005-05-01T00:00:00"/>
        <d v="2003-06-27T00:00:00"/>
        <d v="2004-04-02T00:00:00"/>
        <d v="2005-03-02T00:00:00"/>
        <d v="2005-04-03T00:00:00"/>
        <d v="2003-08-25T00:00:00"/>
        <d v="2003-11-19T00:00:00"/>
        <d v="2004-08-27T00:00:00"/>
        <d v="2004-12-01T00:00:00"/>
        <d v="2003-04-11T00:00:00"/>
        <d v="2004-12-15T00:00:00"/>
        <d v="2003-03-26T00:00:00"/>
        <d v="2003-08-13T00:00:00"/>
        <d v="2003-08-10T00:00:00"/>
        <d v="2003-10-08T00:00:00"/>
        <d v="2004-09-15T00:00:00"/>
        <d v="2003-09-21T00:00:00"/>
        <d v="2003-05-07T00:00:00"/>
        <d v="2003-09-28T00:00:00"/>
        <d v="2004-11-09T00:00:00"/>
        <d v="2005-02-28T00:00:00"/>
        <d v="2005-03-23T00:00:00"/>
        <d v="2005-02-23T00:00:00"/>
        <d v="2003-11-08T00:00:00"/>
        <d v="2003-11-27T00:00:00"/>
        <d v="2004-02-19T00:00:00"/>
        <d v="2005-02-03T00:00:00"/>
        <d v="2003-10-02T00:00:00"/>
        <d v="2003-11-07T00:00:00"/>
        <d v="2004-01-02T00:00:00"/>
        <d v="2004-03-29T00:00:00"/>
        <d v="2004-11-10T00:00:00"/>
        <d v="2003-12-05T00:00:00"/>
        <d v="2004-10-11T00:00:00"/>
        <d v="2003-02-17T00:00:00"/>
        <d v="2003-04-21T00:00:00"/>
        <d v="2004-03-20T00:00:00"/>
        <d v="2004-11-21T00:00:00"/>
        <d v="2003-04-16T00:00:00"/>
        <d v="2003-04-28T00:00:00"/>
        <d v="2005-03-30T00:00:00"/>
        <d v="2004-09-09T00:00:00"/>
        <d v="2005-01-31T00:00:00"/>
        <d v="2005-03-28T00:00:00"/>
      </sharedItems>
      <fieldGroup par="21"/>
    </cacheField>
    <cacheField name="STATUS" numFmtId="0">
      <sharedItems count="6">
        <s v="Shipped"/>
        <s v="Disputed"/>
        <s v="In Process"/>
        <s v="Cancelled"/>
        <s v="Resolved"/>
        <s v="On Hold"/>
      </sharedItems>
    </cacheField>
    <cacheField name="QTR_ID" numFmtId="0">
      <sharedItems containsSemiMixedTypes="0" containsString="0" containsNumber="1" containsInteger="1" minValue="1" maxValue="4"/>
    </cacheField>
    <cacheField name="MONTH_ID" numFmtId="0">
      <sharedItems containsSemiMixedTypes="0" containsString="0" containsNumber="1" containsInteger="1" minValue="1" maxValue="12"/>
    </cacheField>
    <cacheField name="YEAR_ID" numFmtId="0">
      <sharedItems containsSemiMixedTypes="0" containsString="0" containsNumber="1" containsInteger="1" minValue="2003" maxValue="2005"/>
    </cacheField>
    <cacheField name="PRODUCTLINE" numFmtId="0">
      <sharedItems count="7">
        <s v="Motorcycles"/>
        <s v="Classic Cars"/>
        <s v="Trucks and Buses"/>
        <s v="Vintage Cars"/>
        <s v="Planes"/>
        <s v="Ships"/>
        <s v="Trains"/>
      </sharedItems>
    </cacheField>
    <cacheField name="Months (ORDERDATE)" numFmtId="0" databaseField="0">
      <fieldGroup base="13">
        <rangePr groupBy="months" startDate="2003-01-06T00:00:00" endDate="2005-06-01T00:00:00"/>
        <groupItems count="14">
          <s v="&lt;1/6/2003"/>
          <s v="Jan"/>
          <s v="Feb"/>
          <s v="Mar"/>
          <s v="Apr"/>
          <s v="May"/>
          <s v="Jun"/>
          <s v="Jul"/>
          <s v="Aug"/>
          <s v="Sep"/>
          <s v="Oct"/>
          <s v="Nov"/>
          <s v="Dec"/>
          <s v="&gt;6/1/2005"/>
        </groupItems>
      </fieldGroup>
    </cacheField>
    <cacheField name="Quarters (ORDERDATE)" numFmtId="0" databaseField="0">
      <fieldGroup base="13">
        <rangePr groupBy="quarters" startDate="2003-01-06T00:00:00" endDate="2005-06-01T00:00:00"/>
        <groupItems count="6">
          <s v="&lt;1/6/2003"/>
          <s v="Qtr1"/>
          <s v="Qtr2"/>
          <s v="Qtr3"/>
          <s v="Qtr4"/>
          <s v="&gt;6/1/2005"/>
        </groupItems>
      </fieldGroup>
    </cacheField>
    <cacheField name="Years (ORDERDATE)" numFmtId="0" databaseField="0">
      <fieldGroup base="13">
        <rangePr groupBy="years" startDate="2003-01-06T00:00:00" endDate="2005-06-01T00:00:00"/>
        <groupItems count="5">
          <s v="&lt;1/6/2003"/>
          <s v="2003"/>
          <s v="2004"/>
          <s v="2005"/>
          <s v="&gt;6/1/2005"/>
        </groupItems>
      </fieldGroup>
    </cacheField>
  </cacheFields>
  <extLst>
    <ext xmlns:x14="http://schemas.microsoft.com/office/spreadsheetml/2009/9/main" uri="{725AE2AE-9491-48be-B2B4-4EB974FC3084}">
      <x14:pivotCacheDefinition pivotCacheId="798760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23">
  <r>
    <n v="10168"/>
    <s v="S10_1678"/>
    <x v="0"/>
    <x v="0"/>
    <x v="0"/>
    <x v="0"/>
    <s v="Medium"/>
    <n v="1"/>
    <n v="36"/>
    <n v="96.66"/>
    <n v="95"/>
    <n v="3479.76"/>
    <n v="59.76"/>
    <x v="0"/>
    <x v="0"/>
    <n v="4"/>
    <n v="10"/>
    <n v="2003"/>
    <x v="0"/>
  </r>
  <r>
    <n v="10188"/>
    <s v="S10_1678"/>
    <x v="1"/>
    <x v="1"/>
    <x v="1"/>
    <x v="1"/>
    <s v="Medium"/>
    <n v="1"/>
    <n v="48"/>
    <n v="100"/>
    <n v="95"/>
    <n v="5512.32"/>
    <n v="952.32"/>
    <x v="1"/>
    <x v="0"/>
    <n v="4"/>
    <n v="11"/>
    <n v="2003"/>
    <x v="0"/>
  </r>
  <r>
    <n v="10223"/>
    <s v="S10_1678"/>
    <x v="2"/>
    <x v="2"/>
    <x v="2"/>
    <x v="2"/>
    <s v="Medium"/>
    <n v="1"/>
    <n v="37"/>
    <n v="100"/>
    <n v="95"/>
    <n v="3965.66"/>
    <n v="450.66"/>
    <x v="2"/>
    <x v="0"/>
    <n v="1"/>
    <n v="2"/>
    <n v="2004"/>
    <x v="0"/>
  </r>
  <r>
    <n v="10275"/>
    <s v="S10_1678"/>
    <x v="3"/>
    <x v="3"/>
    <x v="3"/>
    <x v="1"/>
    <s v="Medium"/>
    <n v="1"/>
    <n v="45"/>
    <n v="92.83"/>
    <n v="95"/>
    <n v="4177.3500000000004"/>
    <n v="-97.65"/>
    <x v="3"/>
    <x v="0"/>
    <n v="3"/>
    <n v="7"/>
    <n v="2004"/>
    <x v="0"/>
  </r>
  <r>
    <n v="10318"/>
    <s v="S10_1678"/>
    <x v="4"/>
    <x v="4"/>
    <x v="0"/>
    <x v="0"/>
    <s v="Medium"/>
    <n v="1"/>
    <n v="46"/>
    <n v="94.74"/>
    <n v="95"/>
    <n v="4358.04"/>
    <n v="-11.96"/>
    <x v="4"/>
    <x v="0"/>
    <n v="4"/>
    <n v="11"/>
    <n v="2004"/>
    <x v="0"/>
  </r>
  <r>
    <n v="10329"/>
    <s v="S10_1678"/>
    <x v="5"/>
    <x v="5"/>
    <x v="0"/>
    <x v="0"/>
    <s v="Medium"/>
    <n v="1"/>
    <n v="42"/>
    <n v="100"/>
    <n v="95"/>
    <n v="4396.1400000000003"/>
    <n v="406.14"/>
    <x v="5"/>
    <x v="0"/>
    <n v="4"/>
    <n v="11"/>
    <n v="2004"/>
    <x v="0"/>
  </r>
  <r>
    <n v="10112"/>
    <s v="S10_1949"/>
    <x v="6"/>
    <x v="6"/>
    <x v="4"/>
    <x v="1"/>
    <s v="Large"/>
    <n v="1"/>
    <n v="29"/>
    <n v="100"/>
    <n v="214"/>
    <n v="7209.11"/>
    <n v="1003.11"/>
    <x v="6"/>
    <x v="0"/>
    <n v="1"/>
    <n v="3"/>
    <n v="2003"/>
    <x v="1"/>
  </r>
  <r>
    <n v="10163"/>
    <s v="S10_1949"/>
    <x v="7"/>
    <x v="5"/>
    <x v="0"/>
    <x v="0"/>
    <s v="Medium"/>
    <n v="1"/>
    <n v="21"/>
    <n v="100"/>
    <n v="214"/>
    <n v="4860.24"/>
    <n v="366.24"/>
    <x v="7"/>
    <x v="0"/>
    <n v="4"/>
    <n v="10"/>
    <n v="2003"/>
    <x v="1"/>
  </r>
  <r>
    <n v="10322"/>
    <s v="S10_1949"/>
    <x v="8"/>
    <x v="7"/>
    <x v="0"/>
    <x v="0"/>
    <s v="Medium"/>
    <n v="1"/>
    <n v="40"/>
    <n v="100"/>
    <n v="214"/>
    <n v="6000.4"/>
    <n v="-2559.6"/>
    <x v="8"/>
    <x v="0"/>
    <n v="4"/>
    <n v="11"/>
    <n v="2004"/>
    <x v="1"/>
  </r>
  <r>
    <n v="10347"/>
    <s v="S10_1949"/>
    <x v="2"/>
    <x v="2"/>
    <x v="2"/>
    <x v="2"/>
    <s v="Medium"/>
    <n v="1"/>
    <n v="30"/>
    <n v="100"/>
    <n v="214"/>
    <n v="3944.7"/>
    <n v="-2475.3000000000002"/>
    <x v="9"/>
    <x v="0"/>
    <n v="4"/>
    <n v="11"/>
    <n v="2004"/>
    <x v="1"/>
  </r>
  <r>
    <n v="10236"/>
    <s v="S10_2016"/>
    <x v="9"/>
    <x v="8"/>
    <x v="0"/>
    <x v="0"/>
    <s v="Small"/>
    <n v="1"/>
    <n v="22"/>
    <n v="100"/>
    <n v="118"/>
    <n v="2852.08"/>
    <n v="256.08"/>
    <x v="10"/>
    <x v="0"/>
    <n v="2"/>
    <n v="4"/>
    <n v="2004"/>
    <x v="0"/>
  </r>
  <r>
    <n v="10298"/>
    <s v="S10_2016"/>
    <x v="10"/>
    <x v="3"/>
    <x v="3"/>
    <x v="1"/>
    <s v="Medium"/>
    <n v="1"/>
    <n v="39"/>
    <n v="96.34"/>
    <n v="118"/>
    <n v="3757.26"/>
    <n v="-844.74"/>
    <x v="11"/>
    <x v="0"/>
    <n v="3"/>
    <n v="9"/>
    <n v="2004"/>
    <x v="0"/>
  </r>
  <r>
    <n v="10402"/>
    <s v="S10_2016"/>
    <x v="11"/>
    <x v="9"/>
    <x v="3"/>
    <x v="1"/>
    <s v="Medium"/>
    <n v="1"/>
    <n v="45"/>
    <n v="100"/>
    <n v="118"/>
    <n v="5833.8"/>
    <n v="523.79999999999995"/>
    <x v="12"/>
    <x v="0"/>
    <n v="2"/>
    <n v="4"/>
    <n v="2005"/>
    <x v="0"/>
  </r>
  <r>
    <n v="10210"/>
    <s v="S10_4698"/>
    <x v="12"/>
    <x v="10"/>
    <x v="5"/>
    <x v="2"/>
    <s v="Medium"/>
    <n v="1"/>
    <n v="34"/>
    <n v="100"/>
    <n v="193"/>
    <n v="6123.4"/>
    <n v="-438.6"/>
    <x v="13"/>
    <x v="0"/>
    <n v="1"/>
    <n v="1"/>
    <n v="2004"/>
    <x v="0"/>
  </r>
  <r>
    <n v="10308"/>
    <s v="S10_4698"/>
    <x v="13"/>
    <x v="11"/>
    <x v="0"/>
    <x v="0"/>
    <s v="Medium"/>
    <n v="1"/>
    <n v="20"/>
    <n v="100"/>
    <n v="193"/>
    <n v="4570.3999999999996"/>
    <n v="710.4"/>
    <x v="14"/>
    <x v="0"/>
    <n v="4"/>
    <n v="10"/>
    <n v="2004"/>
    <x v="0"/>
  </r>
  <r>
    <n v="10374"/>
    <s v="S10_4698"/>
    <x v="14"/>
    <x v="12"/>
    <x v="2"/>
    <x v="2"/>
    <s v="Medium"/>
    <n v="1"/>
    <n v="22"/>
    <n v="100"/>
    <n v="193"/>
    <n v="3834.38"/>
    <n v="-411.62"/>
    <x v="15"/>
    <x v="0"/>
    <n v="1"/>
    <n v="2"/>
    <n v="2005"/>
    <x v="0"/>
  </r>
  <r>
    <n v="10261"/>
    <s v="S10_4757"/>
    <x v="15"/>
    <x v="13"/>
    <x v="6"/>
    <x v="0"/>
    <s v="Medium"/>
    <n v="1"/>
    <n v="27"/>
    <n v="100"/>
    <n v="136"/>
    <n v="3378.24"/>
    <n v="-293.76"/>
    <x v="16"/>
    <x v="0"/>
    <n v="2"/>
    <n v="6"/>
    <n v="2004"/>
    <x v="1"/>
  </r>
  <r>
    <n v="10295"/>
    <s v="S10_4757"/>
    <x v="16"/>
    <x v="14"/>
    <x v="0"/>
    <x v="0"/>
    <s v="Medium"/>
    <n v="1"/>
    <n v="24"/>
    <n v="100"/>
    <n v="136"/>
    <n v="3427.2"/>
    <n v="163.19999999999999"/>
    <x v="17"/>
    <x v="0"/>
    <n v="3"/>
    <n v="9"/>
    <n v="2004"/>
    <x v="1"/>
  </r>
  <r>
    <n v="10150"/>
    <s v="S10_4962"/>
    <x v="17"/>
    <x v="15"/>
    <x v="7"/>
    <x v="2"/>
    <s v="Medium"/>
    <n v="1"/>
    <n v="20"/>
    <n v="100"/>
    <n v="147"/>
    <n v="3191.2"/>
    <n v="251.2"/>
    <x v="18"/>
    <x v="0"/>
    <n v="3"/>
    <n v="9"/>
    <n v="2003"/>
    <x v="1"/>
  </r>
  <r>
    <n v="10183"/>
    <s v="S10_4962"/>
    <x v="18"/>
    <x v="8"/>
    <x v="0"/>
    <x v="0"/>
    <s v="Medium"/>
    <n v="1"/>
    <n v="28"/>
    <n v="100"/>
    <n v="147"/>
    <n v="3433.36"/>
    <n v="-682.64"/>
    <x v="19"/>
    <x v="0"/>
    <n v="4"/>
    <n v="11"/>
    <n v="2003"/>
    <x v="1"/>
  </r>
  <r>
    <n v="10395"/>
    <s v="S12_1108"/>
    <x v="19"/>
    <x v="9"/>
    <x v="3"/>
    <x v="1"/>
    <s v="Small"/>
    <n v="1"/>
    <n v="33"/>
    <n v="69.12"/>
    <n v="207"/>
    <n v="2280.96"/>
    <n v="-4550.04"/>
    <x v="20"/>
    <x v="0"/>
    <n v="1"/>
    <n v="3"/>
    <n v="2005"/>
    <x v="1"/>
  </r>
  <r>
    <n v="10174"/>
    <s v="S12_1666"/>
    <x v="14"/>
    <x v="12"/>
    <x v="2"/>
    <x v="2"/>
    <s v="Medium"/>
    <n v="1"/>
    <n v="43"/>
    <n v="100"/>
    <n v="136"/>
    <n v="6817.22"/>
    <n v="969.22"/>
    <x v="21"/>
    <x v="0"/>
    <n v="4"/>
    <n v="11"/>
    <n v="2003"/>
    <x v="2"/>
  </r>
  <r>
    <n v="10216"/>
    <s v="S12_1666"/>
    <x v="20"/>
    <x v="16"/>
    <x v="3"/>
    <x v="1"/>
    <s v="Medium"/>
    <n v="1"/>
    <n v="43"/>
    <n v="100"/>
    <n v="136"/>
    <n v="5759.42"/>
    <n v="-88.58"/>
    <x v="22"/>
    <x v="0"/>
    <n v="1"/>
    <n v="2"/>
    <n v="2004"/>
    <x v="2"/>
  </r>
  <r>
    <n v="10381"/>
    <s v="S12_1666"/>
    <x v="21"/>
    <x v="17"/>
    <x v="0"/>
    <x v="0"/>
    <s v="Small"/>
    <n v="1"/>
    <n v="20"/>
    <n v="100"/>
    <n v="136"/>
    <n v="2952"/>
    <n v="232"/>
    <x v="23"/>
    <x v="0"/>
    <n v="1"/>
    <n v="2"/>
    <n v="2005"/>
    <x v="2"/>
  </r>
  <r>
    <n v="10107"/>
    <s v="S12_2823"/>
    <x v="5"/>
    <x v="5"/>
    <x v="0"/>
    <x v="0"/>
    <s v="Medium"/>
    <n v="1"/>
    <n v="21"/>
    <n v="100"/>
    <n v="150"/>
    <n v="3036.6"/>
    <n v="-113.4"/>
    <x v="24"/>
    <x v="0"/>
    <n v="1"/>
    <n v="2"/>
    <n v="2003"/>
    <x v="0"/>
  </r>
  <r>
    <n v="10134"/>
    <s v="S12_2823"/>
    <x v="19"/>
    <x v="9"/>
    <x v="3"/>
    <x v="1"/>
    <s v="Small"/>
    <n v="1"/>
    <n v="20"/>
    <n v="100"/>
    <n v="150"/>
    <n v="2711.2"/>
    <n v="-288.8"/>
    <x v="25"/>
    <x v="0"/>
    <n v="3"/>
    <n v="7"/>
    <n v="2003"/>
    <x v="0"/>
  </r>
  <r>
    <n v="10189"/>
    <s v="S12_2823"/>
    <x v="22"/>
    <x v="18"/>
    <x v="0"/>
    <x v="0"/>
    <s v="Medium"/>
    <n v="1"/>
    <n v="28"/>
    <n v="100"/>
    <n v="150"/>
    <n v="4512.4799999999996"/>
    <n v="312.48"/>
    <x v="1"/>
    <x v="0"/>
    <n v="4"/>
    <n v="11"/>
    <n v="2003"/>
    <x v="0"/>
  </r>
  <r>
    <n v="10201"/>
    <s v="S12_2823"/>
    <x v="23"/>
    <x v="17"/>
    <x v="0"/>
    <x v="0"/>
    <s v="Medium"/>
    <n v="1"/>
    <n v="25"/>
    <n v="100"/>
    <n v="150"/>
    <n v="4029"/>
    <n v="279"/>
    <x v="26"/>
    <x v="0"/>
    <n v="4"/>
    <n v="12"/>
    <n v="2003"/>
    <x v="0"/>
  </r>
  <r>
    <n v="10251"/>
    <s v="S12_2823"/>
    <x v="24"/>
    <x v="19"/>
    <x v="0"/>
    <x v="0"/>
    <s v="Large"/>
    <n v="1"/>
    <n v="46"/>
    <n v="100"/>
    <n v="150"/>
    <n v="7552.28"/>
    <n v="652.28"/>
    <x v="27"/>
    <x v="0"/>
    <n v="2"/>
    <n v="5"/>
    <n v="2004"/>
    <x v="0"/>
  </r>
  <r>
    <n v="10263"/>
    <s v="S12_2823"/>
    <x v="25"/>
    <x v="20"/>
    <x v="0"/>
    <x v="0"/>
    <s v="Medium"/>
    <n v="1"/>
    <n v="48"/>
    <n v="100"/>
    <n v="150"/>
    <n v="6434.4"/>
    <n v="-765.6"/>
    <x v="28"/>
    <x v="0"/>
    <n v="2"/>
    <n v="6"/>
    <n v="2004"/>
    <x v="0"/>
  </r>
  <r>
    <n v="10362"/>
    <s v="S12_2823"/>
    <x v="0"/>
    <x v="0"/>
    <x v="0"/>
    <x v="0"/>
    <s v="Medium"/>
    <n v="1"/>
    <n v="22"/>
    <n v="100"/>
    <n v="150"/>
    <n v="3877.06"/>
    <n v="577.05999999999995"/>
    <x v="29"/>
    <x v="0"/>
    <n v="1"/>
    <n v="1"/>
    <n v="2005"/>
    <x v="0"/>
  </r>
  <r>
    <n v="10417"/>
    <s v="S12_2823"/>
    <x v="26"/>
    <x v="21"/>
    <x v="8"/>
    <x v="1"/>
    <s v="Medium"/>
    <n v="1"/>
    <n v="21"/>
    <n v="100"/>
    <n v="150"/>
    <n v="3447.78"/>
    <n v="297.77999999999997"/>
    <x v="30"/>
    <x v="1"/>
    <n v="2"/>
    <n v="5"/>
    <n v="2005"/>
    <x v="0"/>
  </r>
  <r>
    <n v="10104"/>
    <s v="S12_3148"/>
    <x v="26"/>
    <x v="21"/>
    <x v="8"/>
    <x v="1"/>
    <s v="Medium"/>
    <n v="1"/>
    <n v="34"/>
    <n v="100"/>
    <n v="151"/>
    <n v="5958.5"/>
    <n v="824.5"/>
    <x v="31"/>
    <x v="0"/>
    <n v="1"/>
    <n v="1"/>
    <n v="2003"/>
    <x v="1"/>
  </r>
  <r>
    <n v="10230"/>
    <s v="S12_3148"/>
    <x v="27"/>
    <x v="22"/>
    <x v="9"/>
    <x v="1"/>
    <s v="Large"/>
    <n v="1"/>
    <n v="43"/>
    <n v="100"/>
    <n v="151"/>
    <n v="7016.31"/>
    <n v="523.30999999999995"/>
    <x v="32"/>
    <x v="0"/>
    <n v="1"/>
    <n v="3"/>
    <n v="2004"/>
    <x v="1"/>
  </r>
  <r>
    <n v="10324"/>
    <s v="S12_3148"/>
    <x v="28"/>
    <x v="5"/>
    <x v="0"/>
    <x v="0"/>
    <s v="Small"/>
    <n v="1"/>
    <n v="27"/>
    <n v="54.33"/>
    <n v="151"/>
    <n v="1466.91"/>
    <n v="-2610.09"/>
    <x v="33"/>
    <x v="0"/>
    <n v="4"/>
    <n v="11"/>
    <n v="2004"/>
    <x v="1"/>
  </r>
  <r>
    <n v="10191"/>
    <s v="S12_3380"/>
    <x v="29"/>
    <x v="23"/>
    <x v="9"/>
    <x v="1"/>
    <s v="Medium"/>
    <n v="1"/>
    <n v="40"/>
    <n v="100"/>
    <n v="117"/>
    <n v="5590"/>
    <n v="910"/>
    <x v="34"/>
    <x v="0"/>
    <n v="4"/>
    <n v="11"/>
    <n v="2003"/>
    <x v="1"/>
  </r>
  <r>
    <n v="10238"/>
    <s v="S12_3380"/>
    <x v="30"/>
    <x v="24"/>
    <x v="10"/>
    <x v="1"/>
    <s v="Medium"/>
    <n v="1"/>
    <n v="29"/>
    <n v="100"/>
    <n v="117"/>
    <n v="3167.38"/>
    <n v="-225.62"/>
    <x v="35"/>
    <x v="0"/>
    <n v="2"/>
    <n v="4"/>
    <n v="2004"/>
    <x v="1"/>
  </r>
  <r>
    <n v="10276"/>
    <s v="S12_3380"/>
    <x v="31"/>
    <x v="25"/>
    <x v="0"/>
    <x v="0"/>
    <s v="Medium"/>
    <n v="1"/>
    <n v="47"/>
    <n v="100"/>
    <n v="117"/>
    <n v="5464.69"/>
    <n v="-34.31"/>
    <x v="36"/>
    <x v="0"/>
    <n v="3"/>
    <n v="8"/>
    <n v="2004"/>
    <x v="1"/>
  </r>
  <r>
    <n v="10320"/>
    <s v="S12_3380"/>
    <x v="6"/>
    <x v="6"/>
    <x v="4"/>
    <x v="1"/>
    <s v="Medium"/>
    <n v="1"/>
    <n v="35"/>
    <n v="100"/>
    <n v="117"/>
    <n v="4850.3"/>
    <n v="755.3"/>
    <x v="37"/>
    <x v="0"/>
    <n v="4"/>
    <n v="11"/>
    <n v="2004"/>
    <x v="1"/>
  </r>
  <r>
    <n v="10341"/>
    <s v="S12_3380"/>
    <x v="32"/>
    <x v="26"/>
    <x v="11"/>
    <x v="1"/>
    <s v="Medium"/>
    <n v="1"/>
    <n v="44"/>
    <n v="95.93"/>
    <n v="117"/>
    <n v="4220.92"/>
    <n v="-927.08"/>
    <x v="38"/>
    <x v="0"/>
    <n v="4"/>
    <n v="11"/>
    <n v="2004"/>
    <x v="1"/>
  </r>
  <r>
    <n v="10376"/>
    <s v="S12_3380"/>
    <x v="33"/>
    <x v="27"/>
    <x v="0"/>
    <x v="0"/>
    <s v="Medium"/>
    <n v="1"/>
    <n v="35"/>
    <n v="100"/>
    <n v="117"/>
    <n v="3987.2"/>
    <n v="-107.8"/>
    <x v="39"/>
    <x v="0"/>
    <n v="1"/>
    <n v="2"/>
    <n v="2005"/>
    <x v="1"/>
  </r>
  <r>
    <n v="10127"/>
    <s v="S12_3891"/>
    <x v="34"/>
    <x v="5"/>
    <x v="0"/>
    <x v="0"/>
    <s v="Large"/>
    <n v="1"/>
    <n v="42"/>
    <n v="100"/>
    <n v="173"/>
    <n v="8138.76"/>
    <n v="872.76"/>
    <x v="40"/>
    <x v="0"/>
    <n v="2"/>
    <n v="6"/>
    <n v="2003"/>
    <x v="1"/>
  </r>
  <r>
    <n v="10176"/>
    <s v="S12_3891"/>
    <x v="35"/>
    <x v="28"/>
    <x v="12"/>
    <x v="1"/>
    <s v="Large"/>
    <n v="1"/>
    <n v="50"/>
    <n v="100"/>
    <n v="173"/>
    <n v="7872.5"/>
    <n v="-777.5"/>
    <x v="21"/>
    <x v="0"/>
    <n v="4"/>
    <n v="11"/>
    <n v="2003"/>
    <x v="1"/>
  </r>
  <r>
    <n v="10220"/>
    <s v="S12_3891"/>
    <x v="36"/>
    <x v="29"/>
    <x v="13"/>
    <x v="1"/>
    <s v="Medium"/>
    <n v="1"/>
    <n v="27"/>
    <n v="100"/>
    <n v="173"/>
    <n v="5045.22"/>
    <n v="374.22"/>
    <x v="41"/>
    <x v="0"/>
    <n v="1"/>
    <n v="2"/>
    <n v="2004"/>
    <x v="1"/>
  </r>
  <r>
    <n v="10231"/>
    <s v="S12_3891"/>
    <x v="37"/>
    <x v="21"/>
    <x v="8"/>
    <x v="1"/>
    <s v="Medium"/>
    <n v="1"/>
    <n v="49"/>
    <n v="100"/>
    <n v="173"/>
    <n v="6952.12"/>
    <n v="-1524.88"/>
    <x v="42"/>
    <x v="0"/>
    <n v="1"/>
    <n v="3"/>
    <n v="2004"/>
    <x v="1"/>
  </r>
  <r>
    <n v="10247"/>
    <s v="S12_3891"/>
    <x v="38"/>
    <x v="30"/>
    <x v="14"/>
    <x v="1"/>
    <s v="Medium"/>
    <n v="1"/>
    <n v="27"/>
    <n v="100"/>
    <n v="173"/>
    <n v="4157.7299999999996"/>
    <n v="-513.27"/>
    <x v="43"/>
    <x v="0"/>
    <n v="2"/>
    <n v="5"/>
    <n v="2004"/>
    <x v="1"/>
  </r>
  <r>
    <n v="10272"/>
    <s v="S12_3891"/>
    <x v="4"/>
    <x v="4"/>
    <x v="0"/>
    <x v="0"/>
    <s v="Large"/>
    <n v="1"/>
    <n v="39"/>
    <n v="100"/>
    <n v="173"/>
    <n v="7962.24"/>
    <n v="1215.24"/>
    <x v="44"/>
    <x v="0"/>
    <n v="3"/>
    <n v="7"/>
    <n v="2004"/>
    <x v="1"/>
  </r>
  <r>
    <n v="10325"/>
    <s v="S12_3891"/>
    <x v="39"/>
    <x v="31"/>
    <x v="1"/>
    <x v="1"/>
    <s v="Small"/>
    <n v="1"/>
    <n v="24"/>
    <n v="100"/>
    <n v="173"/>
    <n v="2583.6"/>
    <n v="-1568.4"/>
    <x v="33"/>
    <x v="0"/>
    <n v="4"/>
    <n v="11"/>
    <n v="2004"/>
    <x v="1"/>
  </r>
  <r>
    <n v="10336"/>
    <s v="S12_3891"/>
    <x v="40"/>
    <x v="9"/>
    <x v="3"/>
    <x v="1"/>
    <s v="Medium"/>
    <n v="1"/>
    <n v="49"/>
    <n v="63.38"/>
    <n v="173"/>
    <n v="3105.62"/>
    <n v="-5371.38"/>
    <x v="45"/>
    <x v="0"/>
    <n v="4"/>
    <n v="11"/>
    <n v="2004"/>
    <x v="1"/>
  </r>
  <r>
    <n v="10372"/>
    <s v="S12_3891"/>
    <x v="41"/>
    <x v="32"/>
    <x v="5"/>
    <x v="2"/>
    <s v="Medium"/>
    <n v="1"/>
    <n v="34"/>
    <n v="100"/>
    <n v="173"/>
    <n v="5941.5"/>
    <n v="59.5"/>
    <x v="46"/>
    <x v="0"/>
    <n v="1"/>
    <n v="1"/>
    <n v="2005"/>
    <x v="1"/>
  </r>
  <r>
    <n v="10413"/>
    <s v="S12_3891"/>
    <x v="25"/>
    <x v="20"/>
    <x v="0"/>
    <x v="0"/>
    <s v="Medium"/>
    <n v="1"/>
    <n v="22"/>
    <n v="100"/>
    <n v="173"/>
    <n v="3387.78"/>
    <n v="-418.22"/>
    <x v="47"/>
    <x v="0"/>
    <n v="2"/>
    <n v="5"/>
    <n v="2005"/>
    <x v="1"/>
  </r>
  <r>
    <n v="10175"/>
    <s v="S12_4473"/>
    <x v="42"/>
    <x v="33"/>
    <x v="15"/>
    <x v="1"/>
    <s v="Medium"/>
    <n v="1"/>
    <n v="26"/>
    <n v="100"/>
    <n v="118"/>
    <n v="3543.28"/>
    <n v="475.28"/>
    <x v="21"/>
    <x v="0"/>
    <n v="4"/>
    <n v="11"/>
    <n v="2003"/>
    <x v="2"/>
  </r>
  <r>
    <n v="10229"/>
    <s v="S12_4473"/>
    <x v="43"/>
    <x v="34"/>
    <x v="0"/>
    <x v="0"/>
    <s v="Medium"/>
    <n v="1"/>
    <n v="36"/>
    <n v="100"/>
    <n v="118"/>
    <n v="4521.96"/>
    <n v="273.95999999999998"/>
    <x v="48"/>
    <x v="0"/>
    <n v="1"/>
    <n v="3"/>
    <n v="2004"/>
    <x v="2"/>
  </r>
  <r>
    <n v="10281"/>
    <s v="S12_4473"/>
    <x v="4"/>
    <x v="4"/>
    <x v="0"/>
    <x v="0"/>
    <s v="Medium"/>
    <n v="1"/>
    <n v="41"/>
    <n v="100"/>
    <n v="118"/>
    <n v="5247.18"/>
    <n v="409.18"/>
    <x v="49"/>
    <x v="0"/>
    <n v="3"/>
    <n v="8"/>
    <n v="2004"/>
    <x v="2"/>
  </r>
  <r>
    <n v="10277"/>
    <s v="S12_4675"/>
    <x v="17"/>
    <x v="15"/>
    <x v="7"/>
    <x v="2"/>
    <s v="Medium"/>
    <n v="1"/>
    <n v="28"/>
    <n v="100"/>
    <n v="115"/>
    <n v="3127.88"/>
    <n v="-92.12"/>
    <x v="50"/>
    <x v="0"/>
    <n v="3"/>
    <n v="8"/>
    <n v="2004"/>
    <x v="1"/>
  </r>
  <r>
    <n v="10377"/>
    <s v="S12_4675"/>
    <x v="44"/>
    <x v="35"/>
    <x v="14"/>
    <x v="1"/>
    <s v="Medium"/>
    <n v="1"/>
    <n v="50"/>
    <n v="100"/>
    <n v="115"/>
    <n v="5182"/>
    <n v="-568"/>
    <x v="51"/>
    <x v="0"/>
    <n v="1"/>
    <n v="2"/>
    <n v="2005"/>
    <x v="1"/>
  </r>
  <r>
    <n v="10228"/>
    <s v="S18_1097"/>
    <x v="45"/>
    <x v="36"/>
    <x v="0"/>
    <x v="0"/>
    <s v="Medium"/>
    <n v="1"/>
    <n v="32"/>
    <n v="100"/>
    <n v="116"/>
    <n v="3360"/>
    <n v="-352"/>
    <x v="52"/>
    <x v="0"/>
    <n v="1"/>
    <n v="3"/>
    <n v="2004"/>
    <x v="2"/>
  </r>
  <r>
    <n v="10280"/>
    <s v="S18_1097"/>
    <x v="46"/>
    <x v="37"/>
    <x v="12"/>
    <x v="1"/>
    <s v="Small"/>
    <n v="1"/>
    <n v="24"/>
    <n v="100"/>
    <n v="116"/>
    <n v="2800.08"/>
    <n v="16.079999999999998"/>
    <x v="53"/>
    <x v="0"/>
    <n v="3"/>
    <n v="8"/>
    <n v="2004"/>
    <x v="2"/>
  </r>
  <r>
    <n v="10357"/>
    <s v="S18_1097"/>
    <x v="43"/>
    <x v="34"/>
    <x v="0"/>
    <x v="0"/>
    <s v="Medium"/>
    <n v="1"/>
    <n v="39"/>
    <n v="98"/>
    <n v="116"/>
    <n v="3822"/>
    <n v="-702"/>
    <x v="54"/>
    <x v="0"/>
    <n v="4"/>
    <n v="12"/>
    <n v="2004"/>
    <x v="2"/>
  </r>
  <r>
    <n v="10370"/>
    <s v="S18_1097"/>
    <x v="47"/>
    <x v="38"/>
    <x v="2"/>
    <x v="2"/>
    <s v="Medium"/>
    <n v="1"/>
    <n v="27"/>
    <n v="100"/>
    <n v="116"/>
    <n v="3911.49"/>
    <n v="779.49"/>
    <x v="55"/>
    <x v="0"/>
    <n v="1"/>
    <n v="1"/>
    <n v="2005"/>
    <x v="2"/>
  </r>
  <r>
    <n v="10225"/>
    <s v="S18_1129"/>
    <x v="48"/>
    <x v="39"/>
    <x v="16"/>
    <x v="1"/>
    <s v="Medium"/>
    <n v="1"/>
    <n v="32"/>
    <n v="100"/>
    <n v="141"/>
    <n v="4529.28"/>
    <n v="17.28"/>
    <x v="56"/>
    <x v="0"/>
    <n v="1"/>
    <n v="2"/>
    <n v="2004"/>
    <x v="1"/>
  </r>
  <r>
    <n v="10365"/>
    <s v="S18_1129"/>
    <x v="49"/>
    <x v="40"/>
    <x v="0"/>
    <x v="0"/>
    <s v="Small"/>
    <n v="1"/>
    <n v="30"/>
    <n v="87.06"/>
    <n v="141"/>
    <n v="2611.8000000000002"/>
    <n v="-1618.2"/>
    <x v="57"/>
    <x v="0"/>
    <n v="1"/>
    <n v="1"/>
    <n v="2005"/>
    <x v="1"/>
  </r>
  <r>
    <n v="10125"/>
    <s v="S18_1342"/>
    <x v="2"/>
    <x v="2"/>
    <x v="2"/>
    <x v="2"/>
    <s v="Medium"/>
    <n v="1"/>
    <n v="32"/>
    <n v="100"/>
    <n v="102"/>
    <n v="3254.72"/>
    <n v="-9.2799999999999994"/>
    <x v="58"/>
    <x v="0"/>
    <n v="2"/>
    <n v="5"/>
    <n v="2003"/>
    <x v="3"/>
  </r>
  <r>
    <n v="10102"/>
    <s v="S18_1367"/>
    <x v="28"/>
    <x v="5"/>
    <x v="0"/>
    <x v="0"/>
    <s v="Small"/>
    <n v="1"/>
    <n v="41"/>
    <n v="50.14"/>
    <n v="53"/>
    <n v="2055.7399999999998"/>
    <n v="-117.26"/>
    <x v="59"/>
    <x v="0"/>
    <n v="1"/>
    <n v="1"/>
    <n v="2003"/>
    <x v="3"/>
  </r>
  <r>
    <n v="10162"/>
    <s v="S18_1367"/>
    <x v="21"/>
    <x v="17"/>
    <x v="0"/>
    <x v="0"/>
    <s v="Small"/>
    <n v="1"/>
    <n v="45"/>
    <n v="51.21"/>
    <n v="53"/>
    <n v="2304.4499999999998"/>
    <n v="-80.55"/>
    <x v="60"/>
    <x v="0"/>
    <n v="4"/>
    <n v="10"/>
    <n v="2003"/>
    <x v="3"/>
  </r>
  <r>
    <n v="10205"/>
    <s v="S18_1367"/>
    <x v="26"/>
    <x v="21"/>
    <x v="8"/>
    <x v="1"/>
    <s v="Medium"/>
    <n v="1"/>
    <n v="48"/>
    <n v="63.61"/>
    <n v="53"/>
    <n v="3053.28"/>
    <n v="509.28"/>
    <x v="61"/>
    <x v="0"/>
    <n v="4"/>
    <n v="12"/>
    <n v="2003"/>
    <x v="3"/>
  </r>
  <r>
    <n v="10256"/>
    <s v="S18_1367"/>
    <x v="30"/>
    <x v="24"/>
    <x v="10"/>
    <x v="1"/>
    <s v="Small"/>
    <n v="1"/>
    <n v="29"/>
    <n v="51.75"/>
    <n v="53"/>
    <n v="1500.75"/>
    <n v="-36.25"/>
    <x v="62"/>
    <x v="0"/>
    <n v="2"/>
    <n v="6"/>
    <n v="2004"/>
    <x v="3"/>
  </r>
  <r>
    <n v="10289"/>
    <s v="S18_1367"/>
    <x v="1"/>
    <x v="1"/>
    <x v="1"/>
    <x v="1"/>
    <s v="Small"/>
    <n v="1"/>
    <n v="24"/>
    <n v="56.07"/>
    <n v="53"/>
    <n v="1345.68"/>
    <n v="73.680000000000007"/>
    <x v="63"/>
    <x v="0"/>
    <n v="3"/>
    <n v="9"/>
    <n v="2004"/>
    <x v="3"/>
  </r>
  <r>
    <n v="10422"/>
    <s v="S18_1367"/>
    <x v="4"/>
    <x v="4"/>
    <x v="0"/>
    <x v="0"/>
    <s v="Small"/>
    <n v="1"/>
    <n v="25"/>
    <n v="51.75"/>
    <n v="53"/>
    <n v="1293.75"/>
    <n v="-31.25"/>
    <x v="64"/>
    <x v="2"/>
    <n v="2"/>
    <n v="5"/>
    <n v="2005"/>
    <x v="3"/>
  </r>
  <r>
    <n v="10253"/>
    <s v="S18_1589"/>
    <x v="50"/>
    <x v="41"/>
    <x v="15"/>
    <x v="1"/>
    <s v="Medium"/>
    <n v="1"/>
    <n v="24"/>
    <n v="100"/>
    <n v="124"/>
    <n v="3374.88"/>
    <n v="398.88"/>
    <x v="65"/>
    <x v="3"/>
    <n v="2"/>
    <n v="6"/>
    <n v="2004"/>
    <x v="1"/>
  </r>
  <r>
    <n v="10367"/>
    <s v="S18_1589"/>
    <x v="22"/>
    <x v="18"/>
    <x v="0"/>
    <x v="0"/>
    <s v="Small"/>
    <n v="1"/>
    <n v="49"/>
    <n v="56.3"/>
    <n v="124"/>
    <n v="2758.7"/>
    <n v="-3317.3"/>
    <x v="66"/>
    <x v="4"/>
    <n v="1"/>
    <n v="1"/>
    <n v="2005"/>
    <x v="1"/>
  </r>
  <r>
    <n v="10419"/>
    <s v="S18_1589"/>
    <x v="32"/>
    <x v="26"/>
    <x v="11"/>
    <x v="1"/>
    <s v="Medium"/>
    <n v="1"/>
    <n v="37"/>
    <n v="100"/>
    <n v="124"/>
    <n v="5202.9399999999996"/>
    <n v="614.94000000000005"/>
    <x v="67"/>
    <x v="0"/>
    <n v="2"/>
    <n v="5"/>
    <n v="2005"/>
    <x v="1"/>
  </r>
  <r>
    <n v="10167"/>
    <s v="S18_1662"/>
    <x v="51"/>
    <x v="42"/>
    <x v="4"/>
    <x v="1"/>
    <s v="Medium"/>
    <n v="1"/>
    <n v="43"/>
    <n v="100"/>
    <n v="157"/>
    <n v="5763.72"/>
    <n v="-987.28"/>
    <x v="68"/>
    <x v="3"/>
    <n v="4"/>
    <n v="10"/>
    <n v="2003"/>
    <x v="4"/>
  </r>
  <r>
    <n v="10186"/>
    <s v="S18_1662"/>
    <x v="52"/>
    <x v="33"/>
    <x v="15"/>
    <x v="1"/>
    <s v="Medium"/>
    <n v="1"/>
    <n v="32"/>
    <n v="100"/>
    <n v="157"/>
    <n v="6004.8"/>
    <n v="980.8"/>
    <x v="69"/>
    <x v="0"/>
    <n v="4"/>
    <n v="11"/>
    <n v="2003"/>
    <x v="4"/>
  </r>
  <r>
    <n v="10274"/>
    <s v="S18_1662"/>
    <x v="53"/>
    <x v="25"/>
    <x v="0"/>
    <x v="0"/>
    <s v="Medium"/>
    <n v="1"/>
    <n v="41"/>
    <n v="100"/>
    <n v="157"/>
    <n v="6724"/>
    <n v="287"/>
    <x v="70"/>
    <x v="0"/>
    <n v="3"/>
    <n v="7"/>
    <n v="2004"/>
    <x v="4"/>
  </r>
  <r>
    <n v="10307"/>
    <s v="S18_1662"/>
    <x v="18"/>
    <x v="8"/>
    <x v="0"/>
    <x v="0"/>
    <s v="Large"/>
    <n v="1"/>
    <n v="39"/>
    <n v="100"/>
    <n v="157"/>
    <n v="7379.97"/>
    <n v="1256.97"/>
    <x v="71"/>
    <x v="0"/>
    <n v="4"/>
    <n v="10"/>
    <n v="2004"/>
    <x v="4"/>
  </r>
  <r>
    <n v="10338"/>
    <s v="S18_1662"/>
    <x v="54"/>
    <x v="43"/>
    <x v="17"/>
    <x v="1"/>
    <s v="Medium"/>
    <n v="1"/>
    <n v="41"/>
    <n v="100"/>
    <n v="157"/>
    <n v="5624.79"/>
    <n v="-812.21"/>
    <x v="72"/>
    <x v="0"/>
    <n v="4"/>
    <n v="11"/>
    <n v="2004"/>
    <x v="4"/>
  </r>
  <r>
    <n v="10351"/>
    <s v="S18_1662"/>
    <x v="42"/>
    <x v="33"/>
    <x v="15"/>
    <x v="1"/>
    <s v="Medium"/>
    <n v="1"/>
    <n v="39"/>
    <n v="99.52"/>
    <n v="157"/>
    <n v="3881.28"/>
    <n v="-2241.7199999999998"/>
    <x v="73"/>
    <x v="0"/>
    <n v="4"/>
    <n v="12"/>
    <n v="2004"/>
    <x v="4"/>
  </r>
  <r>
    <n v="10400"/>
    <s v="S18_1662"/>
    <x v="55"/>
    <x v="44"/>
    <x v="0"/>
    <x v="0"/>
    <s v="Medium"/>
    <n v="1"/>
    <n v="34"/>
    <n v="100"/>
    <n v="157"/>
    <n v="6433.82"/>
    <n v="1095.82"/>
    <x v="74"/>
    <x v="0"/>
    <n v="2"/>
    <n v="4"/>
    <n v="2005"/>
    <x v="4"/>
  </r>
  <r>
    <n v="10302"/>
    <s v="S18_1749"/>
    <x v="50"/>
    <x v="41"/>
    <x v="15"/>
    <x v="1"/>
    <s v="Large"/>
    <n v="1"/>
    <n v="43"/>
    <n v="100"/>
    <n v="170"/>
    <n v="7310"/>
    <n v="0"/>
    <x v="75"/>
    <x v="0"/>
    <n v="4"/>
    <n v="10"/>
    <n v="2003"/>
    <x v="3"/>
  </r>
  <r>
    <n v="10344"/>
    <s v="S18_1749"/>
    <x v="56"/>
    <x v="45"/>
    <x v="3"/>
    <x v="1"/>
    <s v="Large"/>
    <n v="1"/>
    <n v="45"/>
    <n v="100"/>
    <n v="170"/>
    <n v="7650"/>
    <n v="0"/>
    <x v="76"/>
    <x v="0"/>
    <n v="4"/>
    <n v="11"/>
    <n v="2004"/>
    <x v="3"/>
  </r>
  <r>
    <n v="10300"/>
    <s v="S18_1889"/>
    <x v="27"/>
    <x v="22"/>
    <x v="9"/>
    <x v="1"/>
    <s v="Medium"/>
    <n v="1"/>
    <n v="41"/>
    <n v="92.4"/>
    <n v="77"/>
    <n v="3788.4"/>
    <n v="631.4"/>
    <x v="77"/>
    <x v="0"/>
    <n v="4"/>
    <n v="10"/>
    <n v="2003"/>
    <x v="1"/>
  </r>
  <r>
    <n v="10342"/>
    <s v="S18_1889"/>
    <x v="2"/>
    <x v="2"/>
    <x v="2"/>
    <x v="2"/>
    <s v="Medium"/>
    <n v="1"/>
    <n v="55"/>
    <n v="65.45"/>
    <n v="77"/>
    <n v="3599.75"/>
    <n v="-635.25"/>
    <x v="38"/>
    <x v="0"/>
    <n v="4"/>
    <n v="11"/>
    <n v="2004"/>
    <x v="1"/>
  </r>
  <r>
    <n v="10122"/>
    <s v="S18_1984"/>
    <x v="56"/>
    <x v="45"/>
    <x v="3"/>
    <x v="1"/>
    <s v="Medium"/>
    <n v="1"/>
    <n v="31"/>
    <n v="100"/>
    <n v="142"/>
    <n v="4100.99"/>
    <n v="-301.01"/>
    <x v="78"/>
    <x v="0"/>
    <n v="2"/>
    <n v="5"/>
    <n v="2003"/>
    <x v="1"/>
  </r>
  <r>
    <n v="10136"/>
    <s v="S18_1984"/>
    <x v="57"/>
    <x v="46"/>
    <x v="3"/>
    <x v="1"/>
    <s v="Medium"/>
    <n v="1"/>
    <n v="36"/>
    <n v="100"/>
    <n v="142"/>
    <n v="5274.72"/>
    <n v="162.72"/>
    <x v="79"/>
    <x v="0"/>
    <n v="3"/>
    <n v="7"/>
    <n v="2003"/>
    <x v="1"/>
  </r>
  <r>
    <n v="10171"/>
    <s v="S18_1984"/>
    <x v="15"/>
    <x v="13"/>
    <x v="6"/>
    <x v="0"/>
    <s v="Medium"/>
    <n v="1"/>
    <n v="35"/>
    <n v="100"/>
    <n v="142"/>
    <n v="4680.2"/>
    <n v="-289.8"/>
    <x v="80"/>
    <x v="0"/>
    <n v="4"/>
    <n v="11"/>
    <n v="2003"/>
    <x v="1"/>
  </r>
  <r>
    <n v="10310"/>
    <s v="S18_1984"/>
    <x v="29"/>
    <x v="23"/>
    <x v="9"/>
    <x v="1"/>
    <s v="Medium"/>
    <n v="1"/>
    <n v="24"/>
    <n v="100"/>
    <n v="142"/>
    <n v="3448.08"/>
    <n v="40.08"/>
    <x v="81"/>
    <x v="0"/>
    <n v="4"/>
    <n v="10"/>
    <n v="2004"/>
    <x v="1"/>
  </r>
  <r>
    <n v="10219"/>
    <s v="S18_2238"/>
    <x v="58"/>
    <x v="47"/>
    <x v="0"/>
    <x v="0"/>
    <s v="Large"/>
    <n v="1"/>
    <n v="43"/>
    <n v="100"/>
    <n v="163"/>
    <n v="8448.64"/>
    <n v="1439.64"/>
    <x v="82"/>
    <x v="0"/>
    <n v="1"/>
    <n v="2"/>
    <n v="2004"/>
    <x v="1"/>
  </r>
  <r>
    <n v="10241"/>
    <s v="S18_2248"/>
    <x v="59"/>
    <x v="48"/>
    <x v="3"/>
    <x v="1"/>
    <s v="Small"/>
    <n v="1"/>
    <n v="33"/>
    <n v="72.650000000000006"/>
    <n v="60"/>
    <n v="2397.4499999999998"/>
    <n v="417.45"/>
    <x v="83"/>
    <x v="0"/>
    <n v="2"/>
    <n v="4"/>
    <n v="2004"/>
    <x v="3"/>
  </r>
  <r>
    <n v="10379"/>
    <s v="S18_2248"/>
    <x v="26"/>
    <x v="21"/>
    <x v="8"/>
    <x v="1"/>
    <s v="Small"/>
    <n v="1"/>
    <n v="27"/>
    <n v="49.3"/>
    <n v="60"/>
    <n v="1331.1"/>
    <n v="-288.89999999999998"/>
    <x v="84"/>
    <x v="0"/>
    <n v="1"/>
    <n v="2"/>
    <n v="2005"/>
    <x v="3"/>
  </r>
  <r>
    <n v="10407"/>
    <s v="S18_2248"/>
    <x v="55"/>
    <x v="44"/>
    <x v="0"/>
    <x v="0"/>
    <s v="Medium"/>
    <n v="1"/>
    <n v="42"/>
    <n v="72.650000000000006"/>
    <n v="60"/>
    <n v="3051.3"/>
    <n v="531.29999999999995"/>
    <x v="85"/>
    <x v="5"/>
    <n v="2"/>
    <n v="4"/>
    <n v="2005"/>
    <x v="3"/>
  </r>
  <r>
    <n v="10204"/>
    <s v="S18_2325"/>
    <x v="34"/>
    <x v="5"/>
    <x v="0"/>
    <x v="0"/>
    <s v="Medium"/>
    <n v="1"/>
    <n v="26"/>
    <n v="100"/>
    <n v="127"/>
    <n v="3206.32"/>
    <n v="-95.68"/>
    <x v="86"/>
    <x v="0"/>
    <n v="4"/>
    <n v="12"/>
    <n v="2003"/>
    <x v="3"/>
  </r>
  <r>
    <n v="10334"/>
    <s v="S18_2432"/>
    <x v="6"/>
    <x v="6"/>
    <x v="4"/>
    <x v="1"/>
    <s v="Small"/>
    <n v="1"/>
    <n v="34"/>
    <n v="61.38"/>
    <n v="60"/>
    <n v="2086.92"/>
    <n v="46.92"/>
    <x v="87"/>
    <x v="5"/>
    <n v="4"/>
    <n v="11"/>
    <n v="2004"/>
    <x v="2"/>
  </r>
  <r>
    <n v="10284"/>
    <s v="S18_2581"/>
    <x v="60"/>
    <x v="49"/>
    <x v="1"/>
    <x v="1"/>
    <s v="Small"/>
    <n v="1"/>
    <n v="31"/>
    <n v="71.81"/>
    <n v="84"/>
    <n v="2226.11"/>
    <n v="-377.89"/>
    <x v="88"/>
    <x v="0"/>
    <n v="3"/>
    <n v="8"/>
    <n v="2004"/>
    <x v="4"/>
  </r>
  <r>
    <n v="10353"/>
    <s v="S18_2581"/>
    <x v="61"/>
    <x v="27"/>
    <x v="0"/>
    <x v="0"/>
    <s v="Medium"/>
    <n v="1"/>
    <n v="27"/>
    <n v="100"/>
    <n v="84"/>
    <n v="3515.67"/>
    <n v="1247.67"/>
    <x v="89"/>
    <x v="0"/>
    <n v="4"/>
    <n v="12"/>
    <n v="2004"/>
    <x v="4"/>
  </r>
  <r>
    <n v="10339"/>
    <s v="S18_2625"/>
    <x v="41"/>
    <x v="32"/>
    <x v="5"/>
    <x v="2"/>
    <s v="Small"/>
    <n v="1"/>
    <n v="30"/>
    <n v="62.16"/>
    <n v="60"/>
    <n v="1864.8"/>
    <n v="64.8"/>
    <x v="90"/>
    <x v="0"/>
    <n v="4"/>
    <n v="11"/>
    <n v="2004"/>
    <x v="0"/>
  </r>
  <r>
    <n v="10101"/>
    <s v="S18_2795"/>
    <x v="27"/>
    <x v="22"/>
    <x v="9"/>
    <x v="1"/>
    <s v="Medium"/>
    <n v="1"/>
    <n v="26"/>
    <n v="100"/>
    <n v="168"/>
    <n v="3773.38"/>
    <n v="-594.62"/>
    <x v="91"/>
    <x v="0"/>
    <n v="1"/>
    <n v="1"/>
    <n v="2003"/>
    <x v="3"/>
  </r>
  <r>
    <n v="10110"/>
    <s v="S18_2795"/>
    <x v="62"/>
    <x v="50"/>
    <x v="15"/>
    <x v="1"/>
    <s v="Medium"/>
    <n v="1"/>
    <n v="31"/>
    <n v="100"/>
    <n v="168"/>
    <n v="5074.3900000000003"/>
    <n v="-133.61000000000001"/>
    <x v="92"/>
    <x v="0"/>
    <n v="1"/>
    <n v="3"/>
    <n v="2003"/>
    <x v="3"/>
  </r>
  <r>
    <n v="10214"/>
    <s v="S18_2795"/>
    <x v="63"/>
    <x v="21"/>
    <x v="8"/>
    <x v="1"/>
    <s v="Large"/>
    <n v="1"/>
    <n v="50"/>
    <n v="100"/>
    <n v="168"/>
    <n v="9534.5"/>
    <n v="1134.5"/>
    <x v="93"/>
    <x v="0"/>
    <n v="1"/>
    <n v="1"/>
    <n v="2004"/>
    <x v="3"/>
  </r>
  <r>
    <n v="10255"/>
    <s v="S18_2795"/>
    <x v="59"/>
    <x v="48"/>
    <x v="3"/>
    <x v="1"/>
    <s v="Medium"/>
    <n v="1"/>
    <n v="24"/>
    <n v="100"/>
    <n v="168"/>
    <n v="3726"/>
    <n v="-306"/>
    <x v="94"/>
    <x v="0"/>
    <n v="2"/>
    <n v="6"/>
    <n v="2004"/>
    <x v="3"/>
  </r>
  <r>
    <n v="10332"/>
    <s v="S18_2795"/>
    <x v="62"/>
    <x v="50"/>
    <x v="15"/>
    <x v="1"/>
    <s v="Small"/>
    <n v="1"/>
    <n v="24"/>
    <n v="52.67"/>
    <n v="168"/>
    <n v="1264.08"/>
    <n v="-2767.92"/>
    <x v="95"/>
    <x v="0"/>
    <n v="4"/>
    <n v="11"/>
    <n v="2004"/>
    <x v="3"/>
  </r>
  <r>
    <n v="10356"/>
    <s v="S18_2795"/>
    <x v="19"/>
    <x v="9"/>
    <x v="3"/>
    <x v="1"/>
    <s v="Medium"/>
    <n v="1"/>
    <n v="30"/>
    <n v="100"/>
    <n v="168"/>
    <n v="4462.2"/>
    <n v="-577.79999999999995"/>
    <x v="96"/>
    <x v="0"/>
    <n v="4"/>
    <n v="12"/>
    <n v="2004"/>
    <x v="3"/>
  </r>
  <r>
    <n v="10421"/>
    <s v="S18_2795"/>
    <x v="43"/>
    <x v="34"/>
    <x v="0"/>
    <x v="0"/>
    <s v="Medium"/>
    <n v="1"/>
    <n v="35"/>
    <n v="100"/>
    <n v="168"/>
    <n v="5433.75"/>
    <n v="-446.25"/>
    <x v="97"/>
    <x v="2"/>
    <n v="2"/>
    <n v="5"/>
    <n v="2005"/>
    <x v="3"/>
  </r>
  <r>
    <n v="10109"/>
    <s v="S18_2870"/>
    <x v="9"/>
    <x v="8"/>
    <x v="0"/>
    <x v="0"/>
    <s v="Medium"/>
    <n v="1"/>
    <n v="26"/>
    <n v="100"/>
    <n v="132"/>
    <n v="3157.44"/>
    <n v="-274.56"/>
    <x v="98"/>
    <x v="0"/>
    <n v="1"/>
    <n v="3"/>
    <n v="2003"/>
    <x v="1"/>
  </r>
  <r>
    <n v="10287"/>
    <s v="S18_2870"/>
    <x v="48"/>
    <x v="39"/>
    <x v="16"/>
    <x v="1"/>
    <s v="Medium"/>
    <n v="1"/>
    <n v="44"/>
    <n v="100"/>
    <n v="132"/>
    <n v="5052.96"/>
    <n v="-755.04"/>
    <x v="99"/>
    <x v="0"/>
    <n v="3"/>
    <n v="8"/>
    <n v="2004"/>
    <x v="1"/>
  </r>
  <r>
    <n v="10139"/>
    <s v="S18_2949"/>
    <x v="64"/>
    <x v="51"/>
    <x v="2"/>
    <x v="2"/>
    <s v="Medium"/>
    <n v="1"/>
    <n v="46"/>
    <n v="100"/>
    <n v="101"/>
    <n v="5545.76"/>
    <n v="899.76"/>
    <x v="100"/>
    <x v="0"/>
    <n v="3"/>
    <n v="7"/>
    <n v="2003"/>
    <x v="3"/>
  </r>
  <r>
    <n v="10193"/>
    <s v="S18_2949"/>
    <x v="65"/>
    <x v="52"/>
    <x v="2"/>
    <x v="2"/>
    <s v="Small"/>
    <n v="1"/>
    <n v="28"/>
    <n v="93.21"/>
    <n v="101"/>
    <n v="2609.88"/>
    <n v="-218.12"/>
    <x v="101"/>
    <x v="0"/>
    <n v="4"/>
    <n v="11"/>
    <n v="2003"/>
    <x v="3"/>
  </r>
  <r>
    <n v="10244"/>
    <s v="S18_2949"/>
    <x v="26"/>
    <x v="21"/>
    <x v="8"/>
    <x v="1"/>
    <s v="Medium"/>
    <n v="1"/>
    <n v="30"/>
    <n v="100"/>
    <n v="101"/>
    <n v="3525.6"/>
    <n v="495.6"/>
    <x v="102"/>
    <x v="0"/>
    <n v="2"/>
    <n v="4"/>
    <n v="2004"/>
    <x v="3"/>
  </r>
  <r>
    <n v="10257"/>
    <s v="S18_2949"/>
    <x v="55"/>
    <x v="44"/>
    <x v="0"/>
    <x v="0"/>
    <s v="Medium"/>
    <n v="1"/>
    <n v="50"/>
    <n v="88.14"/>
    <n v="101"/>
    <n v="4407"/>
    <n v="-643"/>
    <x v="103"/>
    <x v="0"/>
    <n v="2"/>
    <n v="6"/>
    <n v="2004"/>
    <x v="3"/>
  </r>
  <r>
    <n v="10369"/>
    <s v="S18_2949"/>
    <x v="53"/>
    <x v="25"/>
    <x v="0"/>
    <x v="0"/>
    <s v="Medium"/>
    <n v="1"/>
    <n v="42"/>
    <n v="100"/>
    <n v="101"/>
    <n v="4581.3599999999997"/>
    <n v="339.36"/>
    <x v="55"/>
    <x v="0"/>
    <n v="1"/>
    <n v="1"/>
    <n v="2005"/>
    <x v="3"/>
  </r>
  <r>
    <n v="10423"/>
    <s v="S18_2949"/>
    <x v="66"/>
    <x v="53"/>
    <x v="17"/>
    <x v="1"/>
    <s v="Small"/>
    <n v="1"/>
    <n v="10"/>
    <n v="88.14"/>
    <n v="101"/>
    <n v="881.4"/>
    <n v="-128.6"/>
    <x v="64"/>
    <x v="2"/>
    <n v="2"/>
    <n v="5"/>
    <n v="2005"/>
    <x v="3"/>
  </r>
  <r>
    <n v="10269"/>
    <s v="S18_2957"/>
    <x v="32"/>
    <x v="26"/>
    <x v="11"/>
    <x v="1"/>
    <s v="Small"/>
    <n v="1"/>
    <n v="32"/>
    <n v="63.08"/>
    <n v="62"/>
    <n v="2018.56"/>
    <n v="34.56"/>
    <x v="104"/>
    <x v="0"/>
    <n v="3"/>
    <n v="7"/>
    <n v="2004"/>
    <x v="3"/>
  </r>
  <r>
    <n v="10248"/>
    <s v="S18_3029"/>
    <x v="5"/>
    <x v="5"/>
    <x v="0"/>
    <x v="0"/>
    <s v="Small"/>
    <n v="1"/>
    <n v="21"/>
    <n v="73.98"/>
    <n v="86"/>
    <n v="1553.58"/>
    <n v="-252.42"/>
    <x v="105"/>
    <x v="3"/>
    <n v="2"/>
    <n v="5"/>
    <n v="2004"/>
    <x v="5"/>
  </r>
  <r>
    <n v="10414"/>
    <s v="S18_3029"/>
    <x v="16"/>
    <x v="14"/>
    <x v="0"/>
    <x v="0"/>
    <s v="Medium"/>
    <n v="1"/>
    <n v="44"/>
    <n v="73.98"/>
    <n v="86"/>
    <n v="3255.12"/>
    <n v="-528.88"/>
    <x v="106"/>
    <x v="5"/>
    <n v="2"/>
    <n v="5"/>
    <n v="2005"/>
    <x v="5"/>
  </r>
  <r>
    <n v="10111"/>
    <s v="S18_3136"/>
    <x v="23"/>
    <x v="17"/>
    <x v="0"/>
    <x v="0"/>
    <s v="Medium"/>
    <n v="1"/>
    <n v="43"/>
    <n v="100"/>
    <n v="104"/>
    <n v="4818.1499999999996"/>
    <n v="346.15"/>
    <x v="107"/>
    <x v="0"/>
    <n v="1"/>
    <n v="3"/>
    <n v="2003"/>
    <x v="3"/>
  </r>
  <r>
    <n v="10173"/>
    <s v="S18_3136"/>
    <x v="67"/>
    <x v="54"/>
    <x v="12"/>
    <x v="1"/>
    <s v="Small"/>
    <n v="1"/>
    <n v="31"/>
    <n v="89.01"/>
    <n v="104"/>
    <n v="2759.31"/>
    <n v="-464.69"/>
    <x v="80"/>
    <x v="0"/>
    <n v="4"/>
    <n v="11"/>
    <n v="2003"/>
    <x v="3"/>
  </r>
  <r>
    <n v="10196"/>
    <s v="S18_3140"/>
    <x v="68"/>
    <x v="55"/>
    <x v="0"/>
    <x v="0"/>
    <s v="Medium"/>
    <n v="1"/>
    <n v="49"/>
    <n v="100"/>
    <n v="136"/>
    <n v="6893.81"/>
    <n v="229.81"/>
    <x v="108"/>
    <x v="0"/>
    <n v="4"/>
    <n v="11"/>
    <n v="2003"/>
    <x v="3"/>
  </r>
  <r>
    <n v="10282"/>
    <s v="S18_3140"/>
    <x v="43"/>
    <x v="34"/>
    <x v="0"/>
    <x v="0"/>
    <s v="Medium"/>
    <n v="1"/>
    <n v="43"/>
    <n v="100"/>
    <n v="136"/>
    <n v="6695.53"/>
    <n v="847.53"/>
    <x v="109"/>
    <x v="0"/>
    <n v="3"/>
    <n v="8"/>
    <n v="2004"/>
    <x v="3"/>
  </r>
  <r>
    <n v="10314"/>
    <s v="S18_3140"/>
    <x v="69"/>
    <x v="56"/>
    <x v="10"/>
    <x v="1"/>
    <s v="Small"/>
    <n v="1"/>
    <n v="20"/>
    <n v="100"/>
    <n v="136"/>
    <n v="2731.8"/>
    <n v="11.8"/>
    <x v="110"/>
    <x v="0"/>
    <n v="4"/>
    <n v="10"/>
    <n v="2004"/>
    <x v="3"/>
  </r>
  <r>
    <n v="10350"/>
    <s v="S18_3140"/>
    <x v="26"/>
    <x v="21"/>
    <x v="8"/>
    <x v="1"/>
    <s v="Medium"/>
    <n v="1"/>
    <n v="44"/>
    <n v="100"/>
    <n v="136"/>
    <n v="5191.12"/>
    <n v="-792.88"/>
    <x v="111"/>
    <x v="0"/>
    <n v="4"/>
    <n v="12"/>
    <n v="2004"/>
    <x v="3"/>
  </r>
  <r>
    <n v="10160"/>
    <s v="S18_3232"/>
    <x v="70"/>
    <x v="57"/>
    <x v="0"/>
    <x v="0"/>
    <s v="Medium"/>
    <n v="1"/>
    <n v="20"/>
    <n v="100"/>
    <n v="169"/>
    <n v="3996.4"/>
    <n v="616.4"/>
    <x v="112"/>
    <x v="0"/>
    <n v="4"/>
    <n v="10"/>
    <n v="2003"/>
    <x v="1"/>
  </r>
  <r>
    <n v="10203"/>
    <s v="S18_3232"/>
    <x v="26"/>
    <x v="21"/>
    <x v="8"/>
    <x v="1"/>
    <s v="Large"/>
    <n v="1"/>
    <n v="48"/>
    <n v="100"/>
    <n v="169"/>
    <n v="8291.0400000000009"/>
    <n v="179.04"/>
    <x v="86"/>
    <x v="0"/>
    <n v="4"/>
    <n v="12"/>
    <n v="2003"/>
    <x v="1"/>
  </r>
  <r>
    <n v="10239"/>
    <s v="S18_3232"/>
    <x v="71"/>
    <x v="58"/>
    <x v="14"/>
    <x v="1"/>
    <s v="Large"/>
    <n v="1"/>
    <n v="47"/>
    <n v="100"/>
    <n v="169"/>
    <n v="7083.37"/>
    <n v="-859.63"/>
    <x v="113"/>
    <x v="0"/>
    <n v="2"/>
    <n v="4"/>
    <n v="2004"/>
    <x v="1"/>
  </r>
  <r>
    <n v="10366"/>
    <s v="S18_3232"/>
    <x v="54"/>
    <x v="43"/>
    <x v="17"/>
    <x v="1"/>
    <s v="Medium"/>
    <n v="1"/>
    <n v="34"/>
    <n v="100"/>
    <n v="169"/>
    <n v="6275.72"/>
    <n v="529.72"/>
    <x v="114"/>
    <x v="0"/>
    <n v="1"/>
    <n v="1"/>
    <n v="2005"/>
    <x v="1"/>
  </r>
  <r>
    <n v="10405"/>
    <s v="S18_3232"/>
    <x v="59"/>
    <x v="48"/>
    <x v="3"/>
    <x v="1"/>
    <s v="Large"/>
    <n v="1"/>
    <n v="55"/>
    <n v="100"/>
    <n v="169"/>
    <n v="8289.0499999999993"/>
    <n v="-1005.95"/>
    <x v="115"/>
    <x v="0"/>
    <n v="2"/>
    <n v="4"/>
    <n v="2005"/>
    <x v="1"/>
  </r>
  <r>
    <n v="10165"/>
    <s v="S18_3259"/>
    <x v="17"/>
    <x v="15"/>
    <x v="7"/>
    <x v="2"/>
    <s v="Medium"/>
    <n v="1"/>
    <n v="50"/>
    <n v="100"/>
    <n v="100"/>
    <n v="5344.5"/>
    <n v="344.5"/>
    <x v="116"/>
    <x v="0"/>
    <n v="4"/>
    <n v="10"/>
    <n v="2003"/>
    <x v="6"/>
  </r>
  <r>
    <n v="10319"/>
    <s v="S18_3278"/>
    <x v="72"/>
    <x v="5"/>
    <x v="0"/>
    <x v="0"/>
    <s v="Medium"/>
    <n v="1"/>
    <n v="46"/>
    <n v="73.98"/>
    <n v="80"/>
    <n v="3403.08"/>
    <n v="-276.92"/>
    <x v="37"/>
    <x v="0"/>
    <n v="4"/>
    <n v="11"/>
    <n v="2004"/>
    <x v="1"/>
  </r>
  <r>
    <n v="10182"/>
    <s v="S18_3320"/>
    <x v="43"/>
    <x v="34"/>
    <x v="0"/>
    <x v="0"/>
    <s v="Small"/>
    <n v="1"/>
    <n v="33"/>
    <n v="86.31"/>
    <n v="99"/>
    <n v="2848.23"/>
    <n v="-418.77"/>
    <x v="117"/>
    <x v="0"/>
    <n v="4"/>
    <n v="11"/>
    <n v="2003"/>
    <x v="3"/>
  </r>
  <r>
    <n v="10227"/>
    <s v="S18_3320"/>
    <x v="73"/>
    <x v="59"/>
    <x v="3"/>
    <x v="1"/>
    <s v="Medium"/>
    <n v="1"/>
    <n v="33"/>
    <n v="100"/>
    <n v="99"/>
    <n v="3666.96"/>
    <n v="399.96"/>
    <x v="118"/>
    <x v="0"/>
    <n v="1"/>
    <n v="3"/>
    <n v="2004"/>
    <x v="3"/>
  </r>
  <r>
    <n v="10392"/>
    <s v="S18_3320"/>
    <x v="74"/>
    <x v="60"/>
    <x v="11"/>
    <x v="1"/>
    <s v="Medium"/>
    <n v="1"/>
    <n v="36"/>
    <n v="100"/>
    <n v="99"/>
    <n v="4035.96"/>
    <n v="471.96"/>
    <x v="119"/>
    <x v="0"/>
    <n v="1"/>
    <n v="3"/>
    <n v="2005"/>
    <x v="3"/>
  </r>
  <r>
    <n v="10252"/>
    <s v="S18_3482"/>
    <x v="11"/>
    <x v="9"/>
    <x v="3"/>
    <x v="1"/>
    <s v="Medium"/>
    <n v="1"/>
    <n v="41"/>
    <n v="100"/>
    <n v="146"/>
    <n v="6749.83"/>
    <n v="763.83"/>
    <x v="120"/>
    <x v="0"/>
    <n v="2"/>
    <n v="5"/>
    <n v="2004"/>
    <x v="1"/>
  </r>
  <r>
    <n v="10265"/>
    <s v="S18_3482"/>
    <x v="65"/>
    <x v="52"/>
    <x v="2"/>
    <x v="2"/>
    <s v="Large"/>
    <n v="1"/>
    <n v="49"/>
    <n v="100"/>
    <n v="146"/>
    <n v="8427.02"/>
    <n v="1273.02"/>
    <x v="121"/>
    <x v="0"/>
    <n v="3"/>
    <n v="7"/>
    <n v="2004"/>
    <x v="1"/>
  </r>
  <r>
    <n v="10390"/>
    <s v="S18_3482"/>
    <x v="43"/>
    <x v="34"/>
    <x v="0"/>
    <x v="0"/>
    <s v="Large"/>
    <n v="1"/>
    <n v="50"/>
    <n v="100"/>
    <n v="146"/>
    <n v="7397"/>
    <n v="97"/>
    <x v="122"/>
    <x v="0"/>
    <n v="1"/>
    <n v="3"/>
    <n v="2005"/>
    <x v="1"/>
  </r>
  <r>
    <n v="10240"/>
    <s v="S18_3685"/>
    <x v="12"/>
    <x v="10"/>
    <x v="5"/>
    <x v="2"/>
    <s v="Medium"/>
    <n v="1"/>
    <n v="37"/>
    <n v="100"/>
    <n v="141"/>
    <n v="5959.22"/>
    <n v="742.22"/>
    <x v="83"/>
    <x v="0"/>
    <n v="2"/>
    <n v="4"/>
    <n v="2004"/>
    <x v="1"/>
  </r>
  <r>
    <n v="10406"/>
    <s v="S18_3685"/>
    <x v="30"/>
    <x v="24"/>
    <x v="10"/>
    <x v="1"/>
    <s v="Large"/>
    <n v="1"/>
    <n v="65"/>
    <n v="100"/>
    <n v="141"/>
    <n v="10468.9"/>
    <n v="1303.9000000000001"/>
    <x v="123"/>
    <x v="1"/>
    <n v="2"/>
    <n v="4"/>
    <n v="2005"/>
    <x v="1"/>
  </r>
  <r>
    <n v="10224"/>
    <s v="S18_3782"/>
    <x v="75"/>
    <x v="61"/>
    <x v="3"/>
    <x v="1"/>
    <s v="Small"/>
    <n v="1"/>
    <n v="38"/>
    <n v="58.44"/>
    <n v="62"/>
    <n v="2220.7199999999998"/>
    <n v="-135.28"/>
    <x v="124"/>
    <x v="0"/>
    <n v="1"/>
    <n v="2"/>
    <n v="2004"/>
    <x v="0"/>
  </r>
  <r>
    <n v="10237"/>
    <s v="S18_3782"/>
    <x v="28"/>
    <x v="5"/>
    <x v="0"/>
    <x v="0"/>
    <s v="Small"/>
    <n v="1"/>
    <n v="26"/>
    <n v="52.22"/>
    <n v="62"/>
    <n v="1357.72"/>
    <n v="-254.28"/>
    <x v="125"/>
    <x v="0"/>
    <n v="2"/>
    <n v="4"/>
    <n v="2004"/>
    <x v="0"/>
  </r>
  <r>
    <n v="10286"/>
    <s v="S18_3782"/>
    <x v="40"/>
    <x v="9"/>
    <x v="3"/>
    <x v="1"/>
    <s v="Small"/>
    <n v="1"/>
    <n v="38"/>
    <n v="57.2"/>
    <n v="62"/>
    <n v="2173.6"/>
    <n v="-182.4"/>
    <x v="126"/>
    <x v="0"/>
    <n v="3"/>
    <n v="8"/>
    <n v="2004"/>
    <x v="0"/>
  </r>
  <r>
    <n v="10355"/>
    <s v="S18_3782"/>
    <x v="26"/>
    <x v="21"/>
    <x v="8"/>
    <x v="1"/>
    <s v="Small"/>
    <n v="1"/>
    <n v="31"/>
    <n v="53.47"/>
    <n v="62"/>
    <n v="1657.57"/>
    <n v="-264.43"/>
    <x v="127"/>
    <x v="0"/>
    <n v="4"/>
    <n v="12"/>
    <n v="2004"/>
    <x v="0"/>
  </r>
  <r>
    <n v="10403"/>
    <s v="S18_3782"/>
    <x v="50"/>
    <x v="41"/>
    <x v="15"/>
    <x v="1"/>
    <s v="Small"/>
    <n v="1"/>
    <n v="36"/>
    <n v="52.22"/>
    <n v="62"/>
    <n v="1879.92"/>
    <n v="-352.08"/>
    <x v="128"/>
    <x v="0"/>
    <n v="2"/>
    <n v="4"/>
    <n v="2005"/>
    <x v="0"/>
  </r>
  <r>
    <n v="10130"/>
    <s v="S18_3856"/>
    <x v="76"/>
    <x v="25"/>
    <x v="0"/>
    <x v="0"/>
    <s v="Medium"/>
    <n v="1"/>
    <n v="33"/>
    <n v="100"/>
    <n v="105"/>
    <n v="3423.75"/>
    <n v="-41.25"/>
    <x v="129"/>
    <x v="0"/>
    <n v="2"/>
    <n v="6"/>
    <n v="2003"/>
    <x v="3"/>
  </r>
  <r>
    <n v="10273"/>
    <s v="S18_3856"/>
    <x v="66"/>
    <x v="53"/>
    <x v="17"/>
    <x v="1"/>
    <s v="Medium"/>
    <n v="1"/>
    <n v="50"/>
    <n v="85.75"/>
    <n v="105"/>
    <n v="4287.5"/>
    <n v="-962.5"/>
    <x v="70"/>
    <x v="0"/>
    <n v="3"/>
    <n v="7"/>
    <n v="2004"/>
    <x v="3"/>
  </r>
  <r>
    <n v="10152"/>
    <s v="S18_4027"/>
    <x v="14"/>
    <x v="12"/>
    <x v="2"/>
    <x v="2"/>
    <s v="Medium"/>
    <n v="1"/>
    <n v="35"/>
    <n v="100"/>
    <n v="143"/>
    <n v="4524.1000000000004"/>
    <n v="-480.9"/>
    <x v="130"/>
    <x v="0"/>
    <n v="3"/>
    <n v="9"/>
    <n v="2003"/>
    <x v="1"/>
  </r>
  <r>
    <n v="10207"/>
    <s v="S18_4027"/>
    <x v="77"/>
    <x v="14"/>
    <x v="0"/>
    <x v="0"/>
    <s v="Medium"/>
    <n v="1"/>
    <n v="40"/>
    <n v="100"/>
    <n v="143"/>
    <n v="6146.8"/>
    <n v="426.8"/>
    <x v="131"/>
    <x v="0"/>
    <n v="4"/>
    <n v="12"/>
    <n v="2003"/>
    <x v="1"/>
  </r>
  <r>
    <n v="10383"/>
    <s v="S18_4027"/>
    <x v="26"/>
    <x v="21"/>
    <x v="8"/>
    <x v="1"/>
    <s v="Medium"/>
    <n v="1"/>
    <n v="38"/>
    <n v="100"/>
    <n v="143"/>
    <n v="5340.9"/>
    <n v="-93.1"/>
    <x v="132"/>
    <x v="0"/>
    <n v="1"/>
    <n v="2"/>
    <n v="2005"/>
    <x v="1"/>
  </r>
  <r>
    <n v="10394"/>
    <s v="S18_4027"/>
    <x v="26"/>
    <x v="21"/>
    <x v="8"/>
    <x v="1"/>
    <s v="Medium"/>
    <n v="1"/>
    <n v="37"/>
    <n v="100"/>
    <n v="143"/>
    <n v="6376.58"/>
    <n v="1085.58"/>
    <x v="133"/>
    <x v="0"/>
    <n v="1"/>
    <n v="3"/>
    <n v="2005"/>
    <x v="1"/>
  </r>
  <r>
    <n v="10148"/>
    <s v="S18_4409"/>
    <x v="47"/>
    <x v="38"/>
    <x v="2"/>
    <x v="2"/>
    <s v="Medium"/>
    <n v="1"/>
    <n v="34"/>
    <n v="100"/>
    <n v="92"/>
    <n v="3598.22"/>
    <n v="470.22"/>
    <x v="134"/>
    <x v="0"/>
    <n v="3"/>
    <n v="9"/>
    <n v="2003"/>
    <x v="3"/>
  </r>
  <r>
    <n v="10213"/>
    <s v="S18_4409"/>
    <x v="52"/>
    <x v="33"/>
    <x v="15"/>
    <x v="1"/>
    <s v="Medium"/>
    <n v="1"/>
    <n v="38"/>
    <n v="94.79"/>
    <n v="92"/>
    <n v="3602.02"/>
    <n v="106.02"/>
    <x v="135"/>
    <x v="0"/>
    <n v="1"/>
    <n v="1"/>
    <n v="2004"/>
    <x v="3"/>
  </r>
  <r>
    <n v="10311"/>
    <s v="S18_4409"/>
    <x v="26"/>
    <x v="21"/>
    <x v="8"/>
    <x v="1"/>
    <s v="Medium"/>
    <n v="1"/>
    <n v="41"/>
    <n v="81.91"/>
    <n v="92"/>
    <n v="3358.31"/>
    <n v="-413.69"/>
    <x v="81"/>
    <x v="0"/>
    <n v="4"/>
    <n v="10"/>
    <n v="2004"/>
    <x v="3"/>
  </r>
  <r>
    <n v="10380"/>
    <s v="S18_4409"/>
    <x v="26"/>
    <x v="21"/>
    <x v="8"/>
    <x v="1"/>
    <s v="Medium"/>
    <n v="1"/>
    <n v="32"/>
    <n v="100"/>
    <n v="92"/>
    <n v="3376.64"/>
    <n v="432.64"/>
    <x v="136"/>
    <x v="0"/>
    <n v="1"/>
    <n v="2"/>
    <n v="2005"/>
    <x v="3"/>
  </r>
  <r>
    <n v="10128"/>
    <s v="S18_4522"/>
    <x v="26"/>
    <x v="21"/>
    <x v="8"/>
    <x v="1"/>
    <s v="Medium"/>
    <n v="1"/>
    <n v="43"/>
    <n v="92.16"/>
    <n v="87"/>
    <n v="3962.88"/>
    <n v="221.88"/>
    <x v="137"/>
    <x v="0"/>
    <n v="2"/>
    <n v="6"/>
    <n v="2003"/>
    <x v="3"/>
  </r>
  <r>
    <n v="10166"/>
    <s v="S18_4522"/>
    <x v="78"/>
    <x v="40"/>
    <x v="0"/>
    <x v="0"/>
    <s v="Small"/>
    <n v="1"/>
    <n v="26"/>
    <n v="73.73"/>
    <n v="87"/>
    <n v="1916.98"/>
    <n v="-345.02"/>
    <x v="138"/>
    <x v="0"/>
    <n v="4"/>
    <n v="10"/>
    <n v="2003"/>
    <x v="3"/>
  </r>
  <r>
    <n v="10323"/>
    <s v="S18_4600"/>
    <x v="27"/>
    <x v="22"/>
    <x v="9"/>
    <x v="1"/>
    <s v="Medium"/>
    <n v="1"/>
    <n v="47"/>
    <n v="100"/>
    <n v="121"/>
    <n v="6203.06"/>
    <n v="516.05999999999995"/>
    <x v="33"/>
    <x v="0"/>
    <n v="4"/>
    <n v="11"/>
    <n v="2004"/>
    <x v="2"/>
  </r>
  <r>
    <n v="10382"/>
    <s v="S18_4600"/>
    <x v="43"/>
    <x v="34"/>
    <x v="0"/>
    <x v="0"/>
    <s v="Medium"/>
    <n v="1"/>
    <n v="39"/>
    <n v="100"/>
    <n v="121"/>
    <n v="4890.6000000000004"/>
    <n v="171.6"/>
    <x v="23"/>
    <x v="0"/>
    <n v="1"/>
    <n v="2"/>
    <n v="2005"/>
    <x v="2"/>
  </r>
  <r>
    <n v="10215"/>
    <s v="S18_4668"/>
    <x v="79"/>
    <x v="62"/>
    <x v="0"/>
    <x v="0"/>
    <s v="Small"/>
    <n v="1"/>
    <n v="46"/>
    <n v="45.28"/>
    <n v="50"/>
    <n v="2082.88"/>
    <n v="-217.12"/>
    <x v="139"/>
    <x v="0"/>
    <n v="1"/>
    <n v="1"/>
    <n v="2004"/>
    <x v="3"/>
  </r>
  <r>
    <n v="10312"/>
    <s v="S18_4668"/>
    <x v="43"/>
    <x v="34"/>
    <x v="0"/>
    <x v="0"/>
    <s v="Small"/>
    <n v="1"/>
    <n v="39"/>
    <n v="56.85"/>
    <n v="50"/>
    <n v="2217.15"/>
    <n v="267.14999999999998"/>
    <x v="140"/>
    <x v="0"/>
    <n v="4"/>
    <n v="10"/>
    <n v="2004"/>
    <x v="3"/>
  </r>
  <r>
    <n v="10146"/>
    <s v="S18_4721"/>
    <x v="61"/>
    <x v="27"/>
    <x v="0"/>
    <x v="0"/>
    <s v="Medium"/>
    <n v="1"/>
    <n v="29"/>
    <n v="100"/>
    <n v="148"/>
    <n v="4444.54"/>
    <n v="152.54"/>
    <x v="141"/>
    <x v="0"/>
    <n v="3"/>
    <n v="9"/>
    <n v="2003"/>
    <x v="1"/>
  </r>
  <r>
    <n v="10161"/>
    <s v="S18_4933"/>
    <x v="69"/>
    <x v="56"/>
    <x v="10"/>
    <x v="1"/>
    <s v="Small"/>
    <n v="1"/>
    <n v="25"/>
    <n v="80.540000000000006"/>
    <n v="71"/>
    <n v="2013.5"/>
    <n v="238.5"/>
    <x v="142"/>
    <x v="0"/>
    <n v="4"/>
    <n v="10"/>
    <n v="2003"/>
    <x v="1"/>
  </r>
  <r>
    <n v="10267"/>
    <s v="S18_4933"/>
    <x v="34"/>
    <x v="5"/>
    <x v="0"/>
    <x v="0"/>
    <s v="Small"/>
    <n v="1"/>
    <n v="36"/>
    <n v="75.55"/>
    <n v="71"/>
    <n v="2719.8"/>
    <n v="163.80000000000001"/>
    <x v="143"/>
    <x v="0"/>
    <n v="3"/>
    <n v="7"/>
    <n v="2004"/>
    <x v="1"/>
  </r>
  <r>
    <n v="10279"/>
    <s v="S18_4933"/>
    <x v="26"/>
    <x v="21"/>
    <x v="8"/>
    <x v="1"/>
    <s v="Small"/>
    <n v="1"/>
    <n v="26"/>
    <n v="60.58"/>
    <n v="71"/>
    <n v="1575.08"/>
    <n v="-270.92"/>
    <x v="144"/>
    <x v="0"/>
    <n v="3"/>
    <n v="8"/>
    <n v="2004"/>
    <x v="1"/>
  </r>
  <r>
    <n v="10226"/>
    <s v="S24_1046"/>
    <x v="80"/>
    <x v="63"/>
    <x v="0"/>
    <x v="0"/>
    <s v="Small"/>
    <n v="1"/>
    <n v="21"/>
    <n v="60.26"/>
    <n v="73"/>
    <n v="1265.46"/>
    <n v="-267.54000000000002"/>
    <x v="145"/>
    <x v="0"/>
    <n v="1"/>
    <n v="2"/>
    <n v="2004"/>
    <x v="1"/>
  </r>
  <r>
    <n v="10301"/>
    <s v="S24_1046"/>
    <x v="60"/>
    <x v="49"/>
    <x v="1"/>
    <x v="1"/>
    <s v="Small"/>
    <n v="1"/>
    <n v="27"/>
    <n v="72.02"/>
    <n v="73"/>
    <n v="1944.54"/>
    <n v="-26.46"/>
    <x v="146"/>
    <x v="0"/>
    <n v="4"/>
    <n v="10"/>
    <n v="2003"/>
    <x v="1"/>
  </r>
  <r>
    <n v="10259"/>
    <s v="S24_1444"/>
    <x v="81"/>
    <x v="15"/>
    <x v="7"/>
    <x v="2"/>
    <s v="Small"/>
    <n v="1"/>
    <n v="28"/>
    <n v="46.82"/>
    <n v="57"/>
    <n v="1310.96"/>
    <n v="-285.04000000000002"/>
    <x v="147"/>
    <x v="0"/>
    <n v="2"/>
    <n v="6"/>
    <n v="2004"/>
    <x v="1"/>
  </r>
  <r>
    <n v="10425"/>
    <s v="S24_1444"/>
    <x v="3"/>
    <x v="3"/>
    <x v="3"/>
    <x v="1"/>
    <s v="Small"/>
    <n v="1"/>
    <n v="55"/>
    <n v="46.82"/>
    <n v="57"/>
    <n v="2575.1"/>
    <n v="-559.9"/>
    <x v="148"/>
    <x v="2"/>
    <n v="2"/>
    <n v="5"/>
    <n v="2005"/>
    <x v="1"/>
  </r>
  <r>
    <n v="10120"/>
    <s v="S24_1578"/>
    <x v="2"/>
    <x v="2"/>
    <x v="2"/>
    <x v="2"/>
    <s v="Medium"/>
    <n v="1"/>
    <n v="35"/>
    <n v="98.05"/>
    <n v="112"/>
    <n v="3431.75"/>
    <n v="-488.25"/>
    <x v="149"/>
    <x v="0"/>
    <n v="2"/>
    <n v="4"/>
    <n v="2003"/>
    <x v="0"/>
  </r>
  <r>
    <n v="10389"/>
    <s v="S24_1578"/>
    <x v="51"/>
    <x v="42"/>
    <x v="4"/>
    <x v="1"/>
    <s v="Medium"/>
    <n v="1"/>
    <n v="45"/>
    <n v="100"/>
    <n v="112"/>
    <n v="4597.6499999999996"/>
    <n v="-442.35"/>
    <x v="150"/>
    <x v="0"/>
    <n v="1"/>
    <n v="3"/>
    <n v="2005"/>
    <x v="0"/>
  </r>
  <r>
    <n v="10123"/>
    <s v="S24_1628"/>
    <x v="10"/>
    <x v="3"/>
    <x v="3"/>
    <x v="1"/>
    <s v="Small"/>
    <n v="1"/>
    <n v="50"/>
    <n v="59.87"/>
    <n v="50"/>
    <n v="2993.5"/>
    <n v="493.5"/>
    <x v="151"/>
    <x v="0"/>
    <n v="2"/>
    <n v="5"/>
    <n v="2003"/>
    <x v="1"/>
  </r>
  <r>
    <n v="10137"/>
    <s v="S24_1628"/>
    <x v="82"/>
    <x v="64"/>
    <x v="3"/>
    <x v="1"/>
    <s v="Small"/>
    <n v="1"/>
    <n v="26"/>
    <n v="49.81"/>
    <n v="50"/>
    <n v="1295.06"/>
    <n v="-4.9400000000000004"/>
    <x v="152"/>
    <x v="0"/>
    <n v="3"/>
    <n v="7"/>
    <n v="2003"/>
    <x v="1"/>
  </r>
  <r>
    <n v="10181"/>
    <s v="S24_1628"/>
    <x v="1"/>
    <x v="1"/>
    <x v="1"/>
    <x v="1"/>
    <s v="Small"/>
    <n v="1"/>
    <n v="34"/>
    <n v="53.83"/>
    <n v="50"/>
    <n v="1830.22"/>
    <n v="130.22"/>
    <x v="117"/>
    <x v="0"/>
    <n v="4"/>
    <n v="11"/>
    <n v="2003"/>
    <x v="1"/>
  </r>
  <r>
    <n v="10266"/>
    <s v="S24_1628"/>
    <x v="35"/>
    <x v="28"/>
    <x v="12"/>
    <x v="1"/>
    <s v="Small"/>
    <n v="1"/>
    <n v="28"/>
    <n v="48.3"/>
    <n v="50"/>
    <n v="1352.4"/>
    <n v="-47.6"/>
    <x v="153"/>
    <x v="0"/>
    <n v="3"/>
    <n v="7"/>
    <n v="2004"/>
    <x v="1"/>
  </r>
  <r>
    <n v="10278"/>
    <s v="S24_1628"/>
    <x v="83"/>
    <x v="65"/>
    <x v="0"/>
    <x v="0"/>
    <s v="Small"/>
    <n v="1"/>
    <n v="35"/>
    <n v="45.28"/>
    <n v="50"/>
    <n v="1584.8"/>
    <n v="-165.2"/>
    <x v="154"/>
    <x v="0"/>
    <n v="3"/>
    <n v="8"/>
    <n v="2004"/>
    <x v="1"/>
  </r>
  <r>
    <n v="10262"/>
    <s v="S24_1785"/>
    <x v="26"/>
    <x v="21"/>
    <x v="8"/>
    <x v="1"/>
    <s v="Medium"/>
    <n v="1"/>
    <n v="34"/>
    <n v="97.38"/>
    <n v="109"/>
    <n v="3310.92"/>
    <n v="-395.08"/>
    <x v="155"/>
    <x v="3"/>
    <n v="2"/>
    <n v="6"/>
    <n v="2004"/>
    <x v="4"/>
  </r>
  <r>
    <n v="10316"/>
    <s v="S24_1785"/>
    <x v="84"/>
    <x v="66"/>
    <x v="15"/>
    <x v="1"/>
    <s v="Small"/>
    <n v="1"/>
    <n v="25"/>
    <n v="100"/>
    <n v="109"/>
    <n v="2872.25"/>
    <n v="147.25"/>
    <x v="156"/>
    <x v="0"/>
    <n v="4"/>
    <n v="11"/>
    <n v="2004"/>
    <x v="4"/>
  </r>
  <r>
    <n v="10243"/>
    <s v="S24_1937"/>
    <x v="77"/>
    <x v="14"/>
    <x v="0"/>
    <x v="0"/>
    <s v="Small"/>
    <n v="1"/>
    <n v="33"/>
    <n v="29.54"/>
    <n v="33"/>
    <n v="974.82"/>
    <n v="-114.18"/>
    <x v="157"/>
    <x v="0"/>
    <n v="2"/>
    <n v="4"/>
    <n v="2004"/>
    <x v="3"/>
  </r>
  <r>
    <n v="10288"/>
    <s v="S24_1937"/>
    <x v="81"/>
    <x v="15"/>
    <x v="7"/>
    <x v="2"/>
    <s v="Small"/>
    <n v="1"/>
    <n v="29"/>
    <n v="38.17"/>
    <n v="33"/>
    <n v="1106.93"/>
    <n v="149.93"/>
    <x v="158"/>
    <x v="0"/>
    <n v="3"/>
    <n v="9"/>
    <n v="2004"/>
    <x v="3"/>
  </r>
  <r>
    <n v="10409"/>
    <s v="S24_1937"/>
    <x v="81"/>
    <x v="15"/>
    <x v="7"/>
    <x v="2"/>
    <s v="Small"/>
    <n v="1"/>
    <n v="61"/>
    <n v="29.54"/>
    <n v="33"/>
    <n v="1801.94"/>
    <n v="-211.06"/>
    <x v="159"/>
    <x v="0"/>
    <n v="2"/>
    <n v="4"/>
    <n v="2005"/>
    <x v="3"/>
  </r>
  <r>
    <n v="10420"/>
    <s v="S24_1937"/>
    <x v="64"/>
    <x v="51"/>
    <x v="2"/>
    <x v="2"/>
    <s v="Small"/>
    <n v="1"/>
    <n v="45"/>
    <n v="26.88"/>
    <n v="33"/>
    <n v="1209.5999999999999"/>
    <n v="-275.39999999999998"/>
    <x v="97"/>
    <x v="2"/>
    <n v="2"/>
    <n v="5"/>
    <n v="2005"/>
    <x v="3"/>
  </r>
  <r>
    <n v="10158"/>
    <s v="S24_2000"/>
    <x v="39"/>
    <x v="31"/>
    <x v="1"/>
    <x v="1"/>
    <s v="Small"/>
    <n v="1"/>
    <n v="22"/>
    <n v="67.03"/>
    <n v="76"/>
    <n v="1474.66"/>
    <n v="-197.34"/>
    <x v="160"/>
    <x v="0"/>
    <n v="4"/>
    <n v="10"/>
    <n v="2003"/>
    <x v="0"/>
  </r>
  <r>
    <n v="10250"/>
    <s v="S24_2000"/>
    <x v="55"/>
    <x v="44"/>
    <x v="0"/>
    <x v="0"/>
    <s v="Small"/>
    <n v="1"/>
    <n v="32"/>
    <n v="87.6"/>
    <n v="76"/>
    <n v="2803.2"/>
    <n v="371.2"/>
    <x v="161"/>
    <x v="0"/>
    <n v="2"/>
    <n v="5"/>
    <n v="2004"/>
    <x v="0"/>
  </r>
  <r>
    <n v="10297"/>
    <s v="S24_2000"/>
    <x v="36"/>
    <x v="29"/>
    <x v="13"/>
    <x v="1"/>
    <s v="Small"/>
    <n v="1"/>
    <n v="32"/>
    <n v="65.510000000000005"/>
    <n v="76"/>
    <n v="2096.3200000000002"/>
    <n v="-335.68"/>
    <x v="162"/>
    <x v="0"/>
    <n v="3"/>
    <n v="9"/>
    <n v="2004"/>
    <x v="0"/>
  </r>
  <r>
    <n v="10416"/>
    <s v="S24_2000"/>
    <x v="35"/>
    <x v="28"/>
    <x v="12"/>
    <x v="1"/>
    <s v="Small"/>
    <n v="1"/>
    <n v="32"/>
    <n v="87.6"/>
    <n v="76"/>
    <n v="2803.2"/>
    <n v="371.2"/>
    <x v="163"/>
    <x v="0"/>
    <n v="2"/>
    <n v="5"/>
    <n v="2005"/>
    <x v="0"/>
  </r>
  <r>
    <n v="10221"/>
    <s v="S24_2011"/>
    <x v="66"/>
    <x v="53"/>
    <x v="17"/>
    <x v="1"/>
    <s v="Medium"/>
    <n v="1"/>
    <n v="49"/>
    <n v="100"/>
    <n v="122"/>
    <n v="6804.63"/>
    <n v="826.63"/>
    <x v="164"/>
    <x v="0"/>
    <n v="1"/>
    <n v="2"/>
    <n v="2004"/>
    <x v="5"/>
  </r>
  <r>
    <n v="10124"/>
    <s v="S24_2022"/>
    <x v="83"/>
    <x v="65"/>
    <x v="0"/>
    <x v="0"/>
    <s v="Small"/>
    <n v="1"/>
    <n v="22"/>
    <n v="45.25"/>
    <n v="44"/>
    <n v="995.5"/>
    <n v="27.5"/>
    <x v="58"/>
    <x v="0"/>
    <n v="2"/>
    <n v="5"/>
    <n v="2003"/>
    <x v="3"/>
  </r>
  <r>
    <n v="10345"/>
    <s v="S24_2022"/>
    <x v="10"/>
    <x v="3"/>
    <x v="3"/>
    <x v="1"/>
    <s v="Small"/>
    <n v="1"/>
    <n v="43"/>
    <n v="53.76"/>
    <n v="44"/>
    <n v="2311.6799999999998"/>
    <n v="419.68"/>
    <x v="76"/>
    <x v="0"/>
    <n v="4"/>
    <n v="11"/>
    <n v="2004"/>
    <x v="3"/>
  </r>
  <r>
    <n v="10391"/>
    <s v="S24_2022"/>
    <x v="47"/>
    <x v="38"/>
    <x v="2"/>
    <x v="2"/>
    <s v="Medium"/>
    <n v="1"/>
    <n v="24"/>
    <n v="100"/>
    <n v="44"/>
    <n v="4042.08"/>
    <n v="2986.08"/>
    <x v="165"/>
    <x v="0"/>
    <n v="1"/>
    <n v="3"/>
    <n v="2005"/>
    <x v="3"/>
  </r>
  <r>
    <n v="10103"/>
    <s v="S24_2300"/>
    <x v="39"/>
    <x v="31"/>
    <x v="1"/>
    <x v="1"/>
    <s v="Medium"/>
    <n v="1"/>
    <n v="36"/>
    <n v="100"/>
    <n v="127"/>
    <n v="3680.28"/>
    <n v="-891.72"/>
    <x v="166"/>
    <x v="0"/>
    <n v="1"/>
    <n v="1"/>
    <n v="2003"/>
    <x v="2"/>
  </r>
  <r>
    <n v="10126"/>
    <s v="S24_2300"/>
    <x v="63"/>
    <x v="21"/>
    <x v="8"/>
    <x v="1"/>
    <s v="Medium"/>
    <n v="1"/>
    <n v="27"/>
    <n v="100"/>
    <n v="127"/>
    <n v="3415.77"/>
    <n v="-13.23"/>
    <x v="167"/>
    <x v="0"/>
    <n v="2"/>
    <n v="5"/>
    <n v="2003"/>
    <x v="2"/>
  </r>
  <r>
    <n v="10140"/>
    <s v="S24_2300"/>
    <x v="0"/>
    <x v="0"/>
    <x v="0"/>
    <x v="0"/>
    <s v="Medium"/>
    <n v="1"/>
    <n v="47"/>
    <n v="100"/>
    <n v="127"/>
    <n v="5105.1400000000003"/>
    <n v="-863.86"/>
    <x v="168"/>
    <x v="0"/>
    <n v="3"/>
    <n v="7"/>
    <n v="2003"/>
    <x v="2"/>
  </r>
  <r>
    <n v="10194"/>
    <s v="S24_2300"/>
    <x v="73"/>
    <x v="59"/>
    <x v="3"/>
    <x v="1"/>
    <s v="Medium"/>
    <n v="1"/>
    <n v="49"/>
    <n v="100"/>
    <n v="127"/>
    <n v="5760.93"/>
    <n v="-462.07"/>
    <x v="169"/>
    <x v="0"/>
    <n v="4"/>
    <n v="11"/>
    <n v="2003"/>
    <x v="2"/>
  </r>
  <r>
    <n v="10217"/>
    <s v="S24_2300"/>
    <x v="81"/>
    <x v="15"/>
    <x v="7"/>
    <x v="2"/>
    <s v="Medium"/>
    <n v="1"/>
    <n v="28"/>
    <n v="100"/>
    <n v="127"/>
    <n v="3148.88"/>
    <n v="-407.12"/>
    <x v="170"/>
    <x v="0"/>
    <n v="1"/>
    <n v="2"/>
    <n v="2004"/>
    <x v="2"/>
  </r>
  <r>
    <n v="10291"/>
    <s v="S24_2300"/>
    <x v="51"/>
    <x v="42"/>
    <x v="4"/>
    <x v="1"/>
    <s v="Medium"/>
    <n v="1"/>
    <n v="48"/>
    <n v="100"/>
    <n v="127"/>
    <n v="5398.08"/>
    <n v="-697.92"/>
    <x v="171"/>
    <x v="0"/>
    <n v="3"/>
    <n v="9"/>
    <n v="2004"/>
    <x v="2"/>
  </r>
  <r>
    <n v="10348"/>
    <s v="S24_2300"/>
    <x v="63"/>
    <x v="21"/>
    <x v="8"/>
    <x v="1"/>
    <s v="Medium"/>
    <n v="1"/>
    <n v="37"/>
    <n v="100"/>
    <n v="127"/>
    <n v="5981.42"/>
    <n v="1282.42"/>
    <x v="156"/>
    <x v="0"/>
    <n v="4"/>
    <n v="11"/>
    <n v="2004"/>
    <x v="2"/>
  </r>
  <r>
    <n v="10330"/>
    <s v="S24_2360"/>
    <x v="85"/>
    <x v="67"/>
    <x v="18"/>
    <x v="2"/>
    <s v="Medium"/>
    <n v="1"/>
    <n v="42"/>
    <n v="81.03"/>
    <n v="69"/>
    <n v="3403.26"/>
    <n v="505.26"/>
    <x v="172"/>
    <x v="0"/>
    <n v="4"/>
    <n v="11"/>
    <n v="2004"/>
    <x v="0"/>
  </r>
  <r>
    <n v="10172"/>
    <s v="S24_2766"/>
    <x v="25"/>
    <x v="20"/>
    <x v="0"/>
    <x v="0"/>
    <s v="Small"/>
    <n v="1"/>
    <n v="22"/>
    <n v="74.510000000000005"/>
    <n v="90"/>
    <n v="1639.22"/>
    <n v="-340.78"/>
    <x v="80"/>
    <x v="0"/>
    <n v="4"/>
    <n v="11"/>
    <n v="2003"/>
    <x v="1"/>
  </r>
  <r>
    <n v="10212"/>
    <s v="S24_2766"/>
    <x v="26"/>
    <x v="21"/>
    <x v="8"/>
    <x v="1"/>
    <s v="Medium"/>
    <n v="1"/>
    <n v="45"/>
    <n v="88.14"/>
    <n v="90"/>
    <n v="3966.3"/>
    <n v="-83.7"/>
    <x v="173"/>
    <x v="0"/>
    <n v="1"/>
    <n v="1"/>
    <n v="2004"/>
    <x v="1"/>
  </r>
  <r>
    <n v="10321"/>
    <s v="S24_2766"/>
    <x v="78"/>
    <x v="40"/>
    <x v="0"/>
    <x v="0"/>
    <s v="Small"/>
    <n v="1"/>
    <n v="30"/>
    <n v="72.7"/>
    <n v="90"/>
    <n v="2181"/>
    <n v="-519"/>
    <x v="8"/>
    <x v="0"/>
    <n v="4"/>
    <n v="11"/>
    <n v="2004"/>
    <x v="1"/>
  </r>
  <r>
    <n v="10346"/>
    <s v="S24_2766"/>
    <x v="83"/>
    <x v="65"/>
    <x v="0"/>
    <x v="0"/>
    <s v="Small"/>
    <n v="1"/>
    <n v="25"/>
    <n v="100"/>
    <n v="90"/>
    <n v="2876.75"/>
    <n v="626.75"/>
    <x v="9"/>
    <x v="0"/>
    <n v="4"/>
    <n v="11"/>
    <n v="2004"/>
    <x v="1"/>
  </r>
  <r>
    <n v="10114"/>
    <s v="S24_2840"/>
    <x v="40"/>
    <x v="9"/>
    <x v="3"/>
    <x v="1"/>
    <s v="Small"/>
    <n v="1"/>
    <n v="24"/>
    <n v="30.06"/>
    <n v="35"/>
    <n v="721.44"/>
    <n v="-118.56"/>
    <x v="174"/>
    <x v="0"/>
    <n v="2"/>
    <n v="4"/>
    <n v="2003"/>
    <x v="1"/>
  </r>
  <r>
    <n v="10209"/>
    <s v="S24_2841"/>
    <x v="70"/>
    <x v="57"/>
    <x v="0"/>
    <x v="0"/>
    <s v="Medium"/>
    <n v="1"/>
    <n v="43"/>
    <n v="82.21"/>
    <n v="68"/>
    <n v="3535.03"/>
    <n v="611.03"/>
    <x v="175"/>
    <x v="0"/>
    <n v="1"/>
    <n v="1"/>
    <n v="2004"/>
    <x v="4"/>
  </r>
  <r>
    <n v="10249"/>
    <s v="S24_2841"/>
    <x v="45"/>
    <x v="36"/>
    <x v="0"/>
    <x v="0"/>
    <s v="Small"/>
    <n v="1"/>
    <n v="20"/>
    <n v="67.819999999999993"/>
    <n v="68"/>
    <n v="1356.4"/>
    <n v="-3.6"/>
    <x v="176"/>
    <x v="0"/>
    <n v="2"/>
    <n v="5"/>
    <n v="2004"/>
    <x v="4"/>
  </r>
  <r>
    <n v="10328"/>
    <s v="S24_2841"/>
    <x v="67"/>
    <x v="54"/>
    <x v="12"/>
    <x v="1"/>
    <s v="Small"/>
    <n v="1"/>
    <n v="48"/>
    <n v="58.92"/>
    <n v="68"/>
    <n v="2828.16"/>
    <n v="-435.84"/>
    <x v="177"/>
    <x v="0"/>
    <n v="4"/>
    <n v="11"/>
    <n v="2004"/>
    <x v="4"/>
  </r>
  <r>
    <n v="10386"/>
    <s v="S24_2841"/>
    <x v="26"/>
    <x v="21"/>
    <x v="8"/>
    <x v="1"/>
    <s v="Small"/>
    <n v="1"/>
    <n v="39"/>
    <n v="55.96"/>
    <n v="68"/>
    <n v="2182.44"/>
    <n v="-469.56"/>
    <x v="178"/>
    <x v="4"/>
    <n v="1"/>
    <n v="3"/>
    <n v="2005"/>
    <x v="4"/>
  </r>
  <r>
    <n v="10415"/>
    <s v="S24_2841"/>
    <x v="65"/>
    <x v="52"/>
    <x v="2"/>
    <x v="2"/>
    <s v="Small"/>
    <n v="1"/>
    <n v="21"/>
    <n v="67.819999999999993"/>
    <n v="68"/>
    <n v="1424.22"/>
    <n v="-3.78"/>
    <x v="179"/>
    <x v="1"/>
    <n v="2"/>
    <n v="5"/>
    <n v="2005"/>
    <x v="4"/>
  </r>
  <r>
    <n v="10192"/>
    <s v="S24_2887"/>
    <x v="8"/>
    <x v="7"/>
    <x v="0"/>
    <x v="0"/>
    <s v="Medium"/>
    <n v="1"/>
    <n v="23"/>
    <n v="100"/>
    <n v="117"/>
    <n v="3052.33"/>
    <n v="361.33"/>
    <x v="34"/>
    <x v="0"/>
    <n v="4"/>
    <n v="11"/>
    <n v="2003"/>
    <x v="1"/>
  </r>
  <r>
    <n v="10135"/>
    <s v="S24_2972"/>
    <x v="43"/>
    <x v="34"/>
    <x v="0"/>
    <x v="0"/>
    <s v="Small"/>
    <n v="1"/>
    <n v="20"/>
    <n v="35.869999999999997"/>
    <n v="37"/>
    <n v="717.4"/>
    <n v="-22.6"/>
    <x v="180"/>
    <x v="0"/>
    <n v="3"/>
    <n v="7"/>
    <n v="2003"/>
    <x v="1"/>
  </r>
  <r>
    <n v="10147"/>
    <s v="S24_2972"/>
    <x v="53"/>
    <x v="25"/>
    <x v="0"/>
    <x v="0"/>
    <s v="Small"/>
    <n v="1"/>
    <n v="25"/>
    <n v="42.67"/>
    <n v="37"/>
    <n v="1066.75"/>
    <n v="141.75"/>
    <x v="181"/>
    <x v="0"/>
    <n v="3"/>
    <n v="9"/>
    <n v="2003"/>
    <x v="1"/>
  </r>
  <r>
    <n v="10142"/>
    <s v="S24_3151"/>
    <x v="43"/>
    <x v="34"/>
    <x v="0"/>
    <x v="0"/>
    <s v="Medium"/>
    <n v="1"/>
    <n v="49"/>
    <n v="98.25"/>
    <n v="88"/>
    <n v="4814.25"/>
    <n v="502.25"/>
    <x v="182"/>
    <x v="0"/>
    <n v="3"/>
    <n v="8"/>
    <n v="2003"/>
    <x v="3"/>
  </r>
  <r>
    <n v="10315"/>
    <s v="S24_3151"/>
    <x v="3"/>
    <x v="3"/>
    <x v="3"/>
    <x v="1"/>
    <s v="Small"/>
    <n v="1"/>
    <n v="24"/>
    <n v="86.74"/>
    <n v="88"/>
    <n v="2081.7600000000002"/>
    <n v="-30.24"/>
    <x v="183"/>
    <x v="0"/>
    <n v="4"/>
    <n v="10"/>
    <n v="2004"/>
    <x v="3"/>
  </r>
  <r>
    <n v="10368"/>
    <s v="S24_3191"/>
    <x v="43"/>
    <x v="34"/>
    <x v="0"/>
    <x v="0"/>
    <s v="Medium"/>
    <n v="1"/>
    <n v="46"/>
    <n v="79.62"/>
    <n v="85"/>
    <n v="3662.52"/>
    <n v="-247.48"/>
    <x v="184"/>
    <x v="0"/>
    <n v="1"/>
    <n v="1"/>
    <n v="2005"/>
    <x v="1"/>
  </r>
  <r>
    <n v="10159"/>
    <s v="S24_3371"/>
    <x v="21"/>
    <x v="17"/>
    <x v="0"/>
    <x v="0"/>
    <s v="Medium"/>
    <n v="1"/>
    <n v="50"/>
    <n v="69.8"/>
    <n v="61"/>
    <n v="3490"/>
    <n v="440"/>
    <x v="160"/>
    <x v="0"/>
    <n v="4"/>
    <n v="10"/>
    <n v="2003"/>
    <x v="1"/>
  </r>
  <r>
    <n v="10169"/>
    <s v="S24_3371"/>
    <x v="47"/>
    <x v="38"/>
    <x v="2"/>
    <x v="2"/>
    <s v="Small"/>
    <n v="1"/>
    <n v="34"/>
    <n v="50.21"/>
    <n v="61"/>
    <n v="1707.14"/>
    <n v="-366.86"/>
    <x v="185"/>
    <x v="0"/>
    <n v="4"/>
    <n v="11"/>
    <n v="2003"/>
    <x v="1"/>
  </r>
  <r>
    <n v="10211"/>
    <s v="S24_3371"/>
    <x v="11"/>
    <x v="9"/>
    <x v="3"/>
    <x v="1"/>
    <s v="Small"/>
    <n v="1"/>
    <n v="48"/>
    <n v="48.98"/>
    <n v="61"/>
    <n v="2351.04"/>
    <n v="-576.96"/>
    <x v="186"/>
    <x v="0"/>
    <n v="1"/>
    <n v="1"/>
    <n v="2004"/>
    <x v="1"/>
  </r>
  <r>
    <n v="10105"/>
    <s v="S24_3816"/>
    <x v="30"/>
    <x v="24"/>
    <x v="10"/>
    <x v="1"/>
    <s v="Medium"/>
    <n v="1"/>
    <n v="50"/>
    <n v="79.67"/>
    <n v="83"/>
    <n v="3983.5"/>
    <n v="-166.5"/>
    <x v="187"/>
    <x v="0"/>
    <n v="1"/>
    <n v="2"/>
    <n v="2003"/>
    <x v="3"/>
  </r>
  <r>
    <n v="10129"/>
    <s v="S24_3816"/>
    <x v="42"/>
    <x v="33"/>
    <x v="15"/>
    <x v="1"/>
    <s v="Medium"/>
    <n v="1"/>
    <n v="50"/>
    <n v="77.989999999999995"/>
    <n v="83"/>
    <n v="3899.5"/>
    <n v="-250.5"/>
    <x v="188"/>
    <x v="0"/>
    <n v="2"/>
    <n v="6"/>
    <n v="2003"/>
    <x v="3"/>
  </r>
  <r>
    <n v="10108"/>
    <s v="S24_3856"/>
    <x v="85"/>
    <x v="67"/>
    <x v="18"/>
    <x v="2"/>
    <s v="Medium"/>
    <n v="1"/>
    <n v="40"/>
    <n v="100"/>
    <n v="140"/>
    <n v="5448.8"/>
    <n v="-151.19999999999999"/>
    <x v="189"/>
    <x v="0"/>
    <n v="1"/>
    <n v="3"/>
    <n v="2003"/>
    <x v="1"/>
  </r>
  <r>
    <n v="10170"/>
    <s v="S24_3856"/>
    <x v="74"/>
    <x v="60"/>
    <x v="11"/>
    <x v="1"/>
    <s v="Medium"/>
    <n v="1"/>
    <n v="34"/>
    <n v="100"/>
    <n v="140"/>
    <n v="3819.56"/>
    <n v="-940.44"/>
    <x v="185"/>
    <x v="0"/>
    <n v="4"/>
    <n v="11"/>
    <n v="2003"/>
    <x v="1"/>
  </r>
  <r>
    <n v="10331"/>
    <s v="S24_3856"/>
    <x v="9"/>
    <x v="8"/>
    <x v="0"/>
    <x v="0"/>
    <s v="Medium"/>
    <n v="1"/>
    <n v="21"/>
    <n v="100"/>
    <n v="140"/>
    <n v="3135.93"/>
    <n v="195.93"/>
    <x v="95"/>
    <x v="0"/>
    <n v="4"/>
    <n v="11"/>
    <n v="2004"/>
    <x v="1"/>
  </r>
  <r>
    <n v="10363"/>
    <s v="S24_3856"/>
    <x v="38"/>
    <x v="30"/>
    <x v="14"/>
    <x v="1"/>
    <s v="Small"/>
    <n v="1"/>
    <n v="31"/>
    <n v="94.58"/>
    <n v="140"/>
    <n v="2931.98"/>
    <n v="-1408.02"/>
    <x v="190"/>
    <x v="0"/>
    <n v="1"/>
    <n v="1"/>
    <n v="2005"/>
    <x v="1"/>
  </r>
  <r>
    <n v="10100"/>
    <s v="S24_3969"/>
    <x v="8"/>
    <x v="7"/>
    <x v="0"/>
    <x v="0"/>
    <s v="Small"/>
    <n v="1"/>
    <n v="49"/>
    <n v="34.47"/>
    <n v="41"/>
    <n v="1689.03"/>
    <n v="-319.97000000000003"/>
    <x v="191"/>
    <x v="0"/>
    <n v="1"/>
    <n v="1"/>
    <n v="2003"/>
    <x v="3"/>
  </r>
  <r>
    <n v="10242"/>
    <s v="S24_3969"/>
    <x v="72"/>
    <x v="5"/>
    <x v="0"/>
    <x v="0"/>
    <s v="Small"/>
    <n v="1"/>
    <n v="46"/>
    <n v="36.93"/>
    <n v="41"/>
    <n v="1698.78"/>
    <n v="-187.22"/>
    <x v="192"/>
    <x v="0"/>
    <n v="2"/>
    <n v="4"/>
    <n v="2004"/>
    <x v="3"/>
  </r>
  <r>
    <n v="10303"/>
    <s v="S24_3969"/>
    <x v="86"/>
    <x v="68"/>
    <x v="8"/>
    <x v="1"/>
    <s v="Small"/>
    <n v="1"/>
    <n v="24"/>
    <n v="40.21"/>
    <n v="41"/>
    <n v="965.04"/>
    <n v="-18.96"/>
    <x v="193"/>
    <x v="0"/>
    <n v="4"/>
    <n v="10"/>
    <n v="2004"/>
    <x v="3"/>
  </r>
  <r>
    <n v="10408"/>
    <s v="S24_3969"/>
    <x v="41"/>
    <x v="32"/>
    <x v="5"/>
    <x v="2"/>
    <s v="Small"/>
    <n v="1"/>
    <n v="15"/>
    <n v="36.93"/>
    <n v="41"/>
    <n v="553.95000000000005"/>
    <n v="-61.05"/>
    <x v="85"/>
    <x v="0"/>
    <n v="2"/>
    <n v="4"/>
    <n v="2005"/>
    <x v="3"/>
  </r>
  <r>
    <n v="10115"/>
    <s v="S24_4048"/>
    <x v="7"/>
    <x v="5"/>
    <x v="0"/>
    <x v="0"/>
    <s v="Medium"/>
    <n v="1"/>
    <n v="44"/>
    <n v="100"/>
    <n v="118"/>
    <n v="5568.64"/>
    <n v="376.64"/>
    <x v="194"/>
    <x v="0"/>
    <n v="2"/>
    <n v="4"/>
    <n v="2003"/>
    <x v="1"/>
  </r>
  <r>
    <n v="10141"/>
    <s v="S24_4048"/>
    <x v="38"/>
    <x v="30"/>
    <x v="14"/>
    <x v="1"/>
    <s v="Medium"/>
    <n v="1"/>
    <n v="40"/>
    <n v="94.62"/>
    <n v="118"/>
    <n v="3784.8"/>
    <n v="-935.2"/>
    <x v="195"/>
    <x v="0"/>
    <n v="3"/>
    <n v="8"/>
    <n v="2003"/>
    <x v="1"/>
  </r>
  <r>
    <n v="10246"/>
    <s v="S24_4048"/>
    <x v="26"/>
    <x v="21"/>
    <x v="8"/>
    <x v="1"/>
    <s v="Medium"/>
    <n v="1"/>
    <n v="46"/>
    <n v="100"/>
    <n v="118"/>
    <n v="6311.2"/>
    <n v="883.2"/>
    <x v="43"/>
    <x v="0"/>
    <n v="2"/>
    <n v="5"/>
    <n v="2004"/>
    <x v="1"/>
  </r>
  <r>
    <n v="10271"/>
    <s v="S24_4048"/>
    <x v="43"/>
    <x v="34"/>
    <x v="0"/>
    <x v="0"/>
    <s v="Medium"/>
    <n v="1"/>
    <n v="22"/>
    <n v="100"/>
    <n v="118"/>
    <n v="3070.54"/>
    <n v="474.54"/>
    <x v="44"/>
    <x v="0"/>
    <n v="3"/>
    <n v="7"/>
    <n v="2004"/>
    <x v="1"/>
  </r>
  <r>
    <n v="10305"/>
    <s v="S24_4048"/>
    <x v="87"/>
    <x v="36"/>
    <x v="0"/>
    <x v="0"/>
    <s v="Medium"/>
    <n v="1"/>
    <n v="36"/>
    <n v="100"/>
    <n v="118"/>
    <n v="4641.4799999999996"/>
    <n v="393.48"/>
    <x v="196"/>
    <x v="0"/>
    <n v="4"/>
    <n v="10"/>
    <n v="2004"/>
    <x v="1"/>
  </r>
  <r>
    <n v="10412"/>
    <s v="S24_4048"/>
    <x v="26"/>
    <x v="21"/>
    <x v="8"/>
    <x v="1"/>
    <s v="Medium"/>
    <n v="1"/>
    <n v="31"/>
    <n v="100"/>
    <n v="118"/>
    <n v="4253.2"/>
    <n v="595.20000000000005"/>
    <x v="197"/>
    <x v="0"/>
    <n v="2"/>
    <n v="5"/>
    <n v="2005"/>
    <x v="1"/>
  </r>
  <r>
    <n v="10149"/>
    <s v="S24_4258"/>
    <x v="58"/>
    <x v="47"/>
    <x v="0"/>
    <x v="0"/>
    <s v="Small"/>
    <n v="1"/>
    <n v="20"/>
    <n v="90.57"/>
    <n v="97"/>
    <n v="1811.4"/>
    <n v="-128.6"/>
    <x v="198"/>
    <x v="0"/>
    <n v="3"/>
    <n v="9"/>
    <n v="2003"/>
    <x v="3"/>
  </r>
  <r>
    <n v="10290"/>
    <s v="S24_4258"/>
    <x v="76"/>
    <x v="25"/>
    <x v="0"/>
    <x v="0"/>
    <s v="Medium"/>
    <n v="1"/>
    <n v="45"/>
    <n v="100"/>
    <n v="97"/>
    <n v="5171.3999999999996"/>
    <n v="806.4"/>
    <x v="199"/>
    <x v="0"/>
    <n v="3"/>
    <n v="9"/>
    <n v="2004"/>
    <x v="3"/>
  </r>
  <r>
    <n v="10333"/>
    <s v="S24_4258"/>
    <x v="23"/>
    <x v="17"/>
    <x v="0"/>
    <x v="0"/>
    <s v="Medium"/>
    <n v="1"/>
    <n v="39"/>
    <n v="100"/>
    <n v="97"/>
    <n v="4424.16"/>
    <n v="641.16"/>
    <x v="200"/>
    <x v="0"/>
    <n v="4"/>
    <n v="11"/>
    <n v="2004"/>
    <x v="3"/>
  </r>
  <r>
    <n v="10317"/>
    <s v="S24_4278"/>
    <x v="0"/>
    <x v="0"/>
    <x v="0"/>
    <x v="0"/>
    <s v="Small"/>
    <n v="1"/>
    <n v="35"/>
    <n v="83.32"/>
    <n v="72"/>
    <n v="2916.2"/>
    <n v="396.2"/>
    <x v="4"/>
    <x v="0"/>
    <n v="4"/>
    <n v="11"/>
    <n v="2004"/>
    <x v="4"/>
  </r>
  <r>
    <n v="10340"/>
    <s v="S24_4278"/>
    <x v="88"/>
    <x v="69"/>
    <x v="8"/>
    <x v="1"/>
    <s v="Medium"/>
    <n v="1"/>
    <n v="40"/>
    <n v="84.77"/>
    <n v="72"/>
    <n v="3390.8"/>
    <n v="510.8"/>
    <x v="38"/>
    <x v="0"/>
    <n v="4"/>
    <n v="11"/>
    <n v="2004"/>
    <x v="4"/>
  </r>
  <r>
    <n v="10361"/>
    <s v="S24_4278"/>
    <x v="64"/>
    <x v="51"/>
    <x v="2"/>
    <x v="2"/>
    <s v="Small"/>
    <n v="1"/>
    <n v="25"/>
    <n v="62.46"/>
    <n v="72"/>
    <n v="1561.5"/>
    <n v="-238.5"/>
    <x v="201"/>
    <x v="0"/>
    <n v="4"/>
    <n v="12"/>
    <n v="2004"/>
    <x v="4"/>
  </r>
  <r>
    <n v="10180"/>
    <s v="S24_4620"/>
    <x v="75"/>
    <x v="61"/>
    <x v="3"/>
    <x v="1"/>
    <s v="Small"/>
    <n v="1"/>
    <n v="28"/>
    <n v="71.14"/>
    <n v="80"/>
    <n v="1991.92"/>
    <n v="-248.08"/>
    <x v="202"/>
    <x v="0"/>
    <n v="4"/>
    <n v="11"/>
    <n v="2003"/>
    <x v="1"/>
  </r>
  <r>
    <n v="10264"/>
    <s v="S24_4620"/>
    <x v="16"/>
    <x v="14"/>
    <x v="0"/>
    <x v="0"/>
    <s v="Medium"/>
    <n v="1"/>
    <n v="47"/>
    <n v="83.27"/>
    <n v="80"/>
    <n v="3913.69"/>
    <n v="153.69"/>
    <x v="203"/>
    <x v="0"/>
    <n v="2"/>
    <n v="6"/>
    <n v="2004"/>
    <x v="1"/>
  </r>
  <r>
    <n v="10299"/>
    <s v="S24_4620"/>
    <x v="44"/>
    <x v="35"/>
    <x v="14"/>
    <x v="1"/>
    <s v="Small"/>
    <n v="1"/>
    <n v="32"/>
    <n v="80.84"/>
    <n v="80"/>
    <n v="2586.88"/>
    <n v="26.88"/>
    <x v="204"/>
    <x v="0"/>
    <n v="3"/>
    <n v="9"/>
    <n v="2004"/>
    <x v="1"/>
  </r>
  <r>
    <n v="10343"/>
    <s v="S24_4620"/>
    <x v="82"/>
    <x v="64"/>
    <x v="3"/>
    <x v="1"/>
    <s v="Medium"/>
    <n v="1"/>
    <n v="30"/>
    <n v="100"/>
    <n v="80"/>
    <n v="3098.7"/>
    <n v="698.7"/>
    <x v="38"/>
    <x v="0"/>
    <n v="4"/>
    <n v="11"/>
    <n v="2004"/>
    <x v="1"/>
  </r>
  <r>
    <n v="10164"/>
    <s v="S32_1268"/>
    <x v="74"/>
    <x v="60"/>
    <x v="11"/>
    <x v="1"/>
    <s v="Small"/>
    <n v="1"/>
    <n v="24"/>
    <n v="100"/>
    <n v="96"/>
    <n v="2634.96"/>
    <n v="330.96"/>
    <x v="138"/>
    <x v="4"/>
    <n v="4"/>
    <n v="10"/>
    <n v="2003"/>
    <x v="2"/>
  </r>
  <r>
    <n v="10245"/>
    <s v="S32_1268"/>
    <x v="68"/>
    <x v="55"/>
    <x v="0"/>
    <x v="0"/>
    <s v="Medium"/>
    <n v="1"/>
    <n v="37"/>
    <n v="100"/>
    <n v="96"/>
    <n v="4133.6400000000003"/>
    <n v="581.64"/>
    <x v="205"/>
    <x v="0"/>
    <n v="2"/>
    <n v="5"/>
    <n v="2004"/>
    <x v="2"/>
  </r>
  <r>
    <n v="10270"/>
    <s v="S32_1268"/>
    <x v="64"/>
    <x v="51"/>
    <x v="2"/>
    <x v="2"/>
    <s v="Small"/>
    <n v="1"/>
    <n v="32"/>
    <n v="85.72"/>
    <n v="96"/>
    <n v="2743.04"/>
    <n v="-328.96"/>
    <x v="206"/>
    <x v="0"/>
    <n v="3"/>
    <n v="7"/>
    <n v="2004"/>
    <x v="2"/>
  </r>
  <r>
    <n v="10335"/>
    <s v="S32_1268"/>
    <x v="43"/>
    <x v="34"/>
    <x v="0"/>
    <x v="0"/>
    <s v="Medium"/>
    <n v="1"/>
    <n v="44"/>
    <n v="100"/>
    <n v="96"/>
    <n v="4746.28"/>
    <n v="522.28"/>
    <x v="87"/>
    <x v="0"/>
    <n v="4"/>
    <n v="11"/>
    <n v="2004"/>
    <x v="2"/>
  </r>
  <r>
    <n v="10358"/>
    <s v="S32_1268"/>
    <x v="26"/>
    <x v="21"/>
    <x v="8"/>
    <x v="1"/>
    <s v="Medium"/>
    <n v="1"/>
    <n v="41"/>
    <n v="100"/>
    <n v="96"/>
    <n v="4428"/>
    <n v="492"/>
    <x v="54"/>
    <x v="0"/>
    <n v="4"/>
    <n v="12"/>
    <n v="2004"/>
    <x v="2"/>
  </r>
  <r>
    <n v="10371"/>
    <s v="S32_1268"/>
    <x v="43"/>
    <x v="34"/>
    <x v="0"/>
    <x v="0"/>
    <s v="Medium"/>
    <n v="1"/>
    <n v="26"/>
    <n v="100"/>
    <n v="96"/>
    <n v="4044.04"/>
    <n v="1548.04"/>
    <x v="207"/>
    <x v="0"/>
    <n v="1"/>
    <n v="1"/>
    <n v="2005"/>
    <x v="2"/>
  </r>
  <r>
    <n v="10411"/>
    <s v="S32_1268"/>
    <x v="15"/>
    <x v="13"/>
    <x v="6"/>
    <x v="0"/>
    <s v="Small"/>
    <n v="1"/>
    <n v="26"/>
    <n v="100"/>
    <n v="96"/>
    <n v="2904.72"/>
    <n v="408.72"/>
    <x v="208"/>
    <x v="0"/>
    <n v="2"/>
    <n v="5"/>
    <n v="2005"/>
    <x v="2"/>
  </r>
  <r>
    <n v="10133"/>
    <s v="S32_1374"/>
    <x v="26"/>
    <x v="21"/>
    <x v="8"/>
    <x v="1"/>
    <s v="Small"/>
    <n v="1"/>
    <n v="23"/>
    <n v="100"/>
    <n v="99"/>
    <n v="2642.01"/>
    <n v="365.01"/>
    <x v="209"/>
    <x v="0"/>
    <n v="2"/>
    <n v="6"/>
    <n v="2003"/>
    <x v="0"/>
  </r>
  <r>
    <n v="10235"/>
    <s v="S32_1374"/>
    <x v="89"/>
    <x v="70"/>
    <x v="6"/>
    <x v="0"/>
    <s v="Medium"/>
    <n v="1"/>
    <n v="41"/>
    <n v="100"/>
    <n v="99"/>
    <n v="4177.49"/>
    <n v="118.49"/>
    <x v="210"/>
    <x v="0"/>
    <n v="2"/>
    <n v="4"/>
    <n v="2004"/>
    <x v="0"/>
  </r>
  <r>
    <n v="10387"/>
    <s v="S32_1374"/>
    <x v="17"/>
    <x v="15"/>
    <x v="7"/>
    <x v="2"/>
    <s v="Medium"/>
    <n v="1"/>
    <n v="44"/>
    <n v="94.9"/>
    <n v="99"/>
    <n v="4175.6000000000004"/>
    <n v="-180.4"/>
    <x v="211"/>
    <x v="0"/>
    <n v="1"/>
    <n v="3"/>
    <n v="2005"/>
    <x v="0"/>
  </r>
  <r>
    <n v="10401"/>
    <s v="S32_1374"/>
    <x v="24"/>
    <x v="19"/>
    <x v="0"/>
    <x v="0"/>
    <s v="Medium"/>
    <n v="1"/>
    <n v="49"/>
    <n v="100"/>
    <n v="99"/>
    <n v="4992.6099999999997"/>
    <n v="141.61000000000001"/>
    <x v="212"/>
    <x v="5"/>
    <n v="2"/>
    <n v="4"/>
    <n v="2005"/>
    <x v="0"/>
  </r>
  <r>
    <n v="10145"/>
    <s v="S32_2206"/>
    <x v="22"/>
    <x v="18"/>
    <x v="0"/>
    <x v="0"/>
    <s v="Small"/>
    <n v="1"/>
    <n v="31"/>
    <n v="35.799999999999997"/>
    <n v="40"/>
    <n v="1109.8"/>
    <n v="-130.19999999999999"/>
    <x v="213"/>
    <x v="0"/>
    <n v="3"/>
    <n v="8"/>
    <n v="2003"/>
    <x v="0"/>
  </r>
  <r>
    <n v="10190"/>
    <s v="S32_2206"/>
    <x v="26"/>
    <x v="21"/>
    <x v="8"/>
    <x v="1"/>
    <s v="Small"/>
    <n v="1"/>
    <n v="46"/>
    <n v="32.99"/>
    <n v="40"/>
    <n v="1517.54"/>
    <n v="-322.45999999999998"/>
    <x v="214"/>
    <x v="0"/>
    <n v="4"/>
    <n v="11"/>
    <n v="2003"/>
    <x v="0"/>
  </r>
  <r>
    <n v="10285"/>
    <s v="S32_2206"/>
    <x v="87"/>
    <x v="36"/>
    <x v="0"/>
    <x v="0"/>
    <s v="Small"/>
    <n v="1"/>
    <n v="37"/>
    <n v="41.03"/>
    <n v="40"/>
    <n v="1518.11"/>
    <n v="38.11"/>
    <x v="215"/>
    <x v="0"/>
    <n v="3"/>
    <n v="8"/>
    <n v="2004"/>
    <x v="0"/>
  </r>
  <r>
    <n v="10364"/>
    <s v="S32_2206"/>
    <x v="56"/>
    <x v="45"/>
    <x v="3"/>
    <x v="1"/>
    <s v="Small"/>
    <n v="1"/>
    <n v="48"/>
    <n v="48.28"/>
    <n v="40"/>
    <n v="2317.44"/>
    <n v="397.44"/>
    <x v="190"/>
    <x v="0"/>
    <n v="1"/>
    <n v="1"/>
    <n v="2005"/>
    <x v="0"/>
  </r>
  <r>
    <n v="10378"/>
    <s v="S32_2206"/>
    <x v="26"/>
    <x v="21"/>
    <x v="8"/>
    <x v="1"/>
    <s v="Medium"/>
    <n v="1"/>
    <n v="40"/>
    <n v="82.46"/>
    <n v="40"/>
    <n v="3298.4"/>
    <n v="1698.4"/>
    <x v="84"/>
    <x v="0"/>
    <n v="1"/>
    <n v="2"/>
    <n v="2005"/>
    <x v="0"/>
  </r>
  <r>
    <n v="10313"/>
    <s v="S32_2509"/>
    <x v="90"/>
    <x v="71"/>
    <x v="6"/>
    <x v="0"/>
    <s v="Small"/>
    <n v="1"/>
    <n v="38"/>
    <n v="45.45"/>
    <n v="54"/>
    <n v="1727.1"/>
    <n v="-324.89999999999998"/>
    <x v="110"/>
    <x v="0"/>
    <n v="4"/>
    <n v="10"/>
    <n v="2004"/>
    <x v="2"/>
  </r>
  <r>
    <n v="10349"/>
    <s v="S32_2509"/>
    <x v="34"/>
    <x v="5"/>
    <x v="0"/>
    <x v="0"/>
    <s v="Small"/>
    <n v="1"/>
    <n v="33"/>
    <n v="46.53"/>
    <n v="54"/>
    <n v="1535.49"/>
    <n v="-246.51"/>
    <x v="216"/>
    <x v="0"/>
    <n v="4"/>
    <n v="12"/>
    <n v="2004"/>
    <x v="2"/>
  </r>
  <r>
    <n v="10116"/>
    <s v="S32_3207"/>
    <x v="54"/>
    <x v="43"/>
    <x v="17"/>
    <x v="1"/>
    <s v="Small"/>
    <n v="1"/>
    <n v="27"/>
    <n v="63.38"/>
    <n v="62"/>
    <n v="1711.26"/>
    <n v="37.26"/>
    <x v="217"/>
    <x v="0"/>
    <n v="2"/>
    <n v="4"/>
    <n v="2003"/>
    <x v="6"/>
  </r>
  <r>
    <n v="10184"/>
    <s v="S32_3207"/>
    <x v="86"/>
    <x v="68"/>
    <x v="8"/>
    <x v="1"/>
    <s v="Small"/>
    <n v="1"/>
    <n v="48"/>
    <n v="50.95"/>
    <n v="62"/>
    <n v="2445.6"/>
    <n v="-530.4"/>
    <x v="69"/>
    <x v="0"/>
    <n v="4"/>
    <n v="11"/>
    <n v="2003"/>
    <x v="6"/>
  </r>
  <r>
    <n v="10195"/>
    <s v="S32_3207"/>
    <x v="13"/>
    <x v="11"/>
    <x v="0"/>
    <x v="0"/>
    <s v="Small"/>
    <n v="1"/>
    <n v="33"/>
    <n v="54.68"/>
    <n v="62"/>
    <n v="1804.44"/>
    <n v="-241.56"/>
    <x v="169"/>
    <x v="0"/>
    <n v="4"/>
    <n v="11"/>
    <n v="2003"/>
    <x v="6"/>
  </r>
  <r>
    <n v="10359"/>
    <s v="S32_3207"/>
    <x v="82"/>
    <x v="64"/>
    <x v="3"/>
    <x v="1"/>
    <s v="Medium"/>
    <n v="1"/>
    <n v="22"/>
    <n v="100"/>
    <n v="62"/>
    <n v="4301.22"/>
    <n v="2937.22"/>
    <x v="218"/>
    <x v="0"/>
    <n v="4"/>
    <n v="12"/>
    <n v="2004"/>
    <x v="6"/>
  </r>
  <r>
    <n v="10113"/>
    <s v="S32_3522"/>
    <x v="43"/>
    <x v="34"/>
    <x v="0"/>
    <x v="0"/>
    <s v="Small"/>
    <n v="1"/>
    <n v="23"/>
    <n v="68.52"/>
    <n v="64"/>
    <n v="1575.96"/>
    <n v="103.96"/>
    <x v="219"/>
    <x v="0"/>
    <n v="1"/>
    <n v="3"/>
    <n v="2003"/>
    <x v="2"/>
  </r>
  <r>
    <n v="10144"/>
    <s v="S32_4289"/>
    <x v="54"/>
    <x v="43"/>
    <x v="17"/>
    <x v="1"/>
    <s v="Small"/>
    <n v="1"/>
    <n v="20"/>
    <n v="81.86"/>
    <n v="68"/>
    <n v="1637.2"/>
    <n v="277.2"/>
    <x v="220"/>
    <x v="0"/>
    <n v="3"/>
    <n v="8"/>
    <n v="2003"/>
    <x v="3"/>
  </r>
  <r>
    <n v="10143"/>
    <s v="S50_1341"/>
    <x v="49"/>
    <x v="40"/>
    <x v="0"/>
    <x v="0"/>
    <s v="Small"/>
    <n v="1"/>
    <n v="34"/>
    <n v="36.659999999999997"/>
    <n v="43"/>
    <n v="1246.44"/>
    <n v="-215.56"/>
    <x v="221"/>
    <x v="0"/>
    <n v="3"/>
    <n v="8"/>
    <n v="2003"/>
    <x v="3"/>
  </r>
  <r>
    <n v="10156"/>
    <s v="S50_1341"/>
    <x v="26"/>
    <x v="21"/>
    <x v="8"/>
    <x v="1"/>
    <s v="Small"/>
    <n v="1"/>
    <n v="20"/>
    <n v="41.02"/>
    <n v="43"/>
    <n v="820.4"/>
    <n v="-39.6"/>
    <x v="222"/>
    <x v="0"/>
    <n v="4"/>
    <n v="10"/>
    <n v="2003"/>
    <x v="3"/>
  </r>
  <r>
    <n v="10199"/>
    <s v="S50_1341"/>
    <x v="79"/>
    <x v="62"/>
    <x v="0"/>
    <x v="0"/>
    <s v="Small"/>
    <n v="1"/>
    <n v="29"/>
    <n v="38.4"/>
    <n v="43"/>
    <n v="1113.5999999999999"/>
    <n v="-133.4"/>
    <x v="26"/>
    <x v="0"/>
    <n v="4"/>
    <n v="12"/>
    <n v="2003"/>
    <x v="3"/>
  </r>
  <r>
    <n v="10296"/>
    <s v="S50_1341"/>
    <x v="91"/>
    <x v="72"/>
    <x v="9"/>
    <x v="1"/>
    <s v="Small"/>
    <n v="1"/>
    <n v="26"/>
    <n v="48.44"/>
    <n v="43"/>
    <n v="1259.44"/>
    <n v="141.44"/>
    <x v="223"/>
    <x v="0"/>
    <n v="3"/>
    <n v="9"/>
    <n v="2004"/>
    <x v="3"/>
  </r>
  <r>
    <n v="10388"/>
    <s v="S50_1341"/>
    <x v="78"/>
    <x v="40"/>
    <x v="0"/>
    <x v="0"/>
    <s v="Medium"/>
    <n v="1"/>
    <n v="27"/>
    <n v="100"/>
    <n v="43"/>
    <n v="3211.38"/>
    <n v="2050.38"/>
    <x v="150"/>
    <x v="0"/>
    <n v="1"/>
    <n v="3"/>
    <n v="2005"/>
    <x v="3"/>
  </r>
  <r>
    <n v="10151"/>
    <s v="S50_1392"/>
    <x v="71"/>
    <x v="58"/>
    <x v="14"/>
    <x v="1"/>
    <s v="Medium"/>
    <n v="1"/>
    <n v="26"/>
    <n v="100"/>
    <n v="115"/>
    <n v="3220.1"/>
    <n v="230.1"/>
    <x v="224"/>
    <x v="0"/>
    <n v="3"/>
    <n v="9"/>
    <n v="2003"/>
    <x v="2"/>
  </r>
  <r>
    <n v="10292"/>
    <s v="S50_1514"/>
    <x v="5"/>
    <x v="5"/>
    <x v="0"/>
    <x v="0"/>
    <s v="Small"/>
    <n v="1"/>
    <n v="35"/>
    <n v="55.07"/>
    <n v="58"/>
    <n v="1927.45"/>
    <n v="-102.55"/>
    <x v="171"/>
    <x v="0"/>
    <n v="3"/>
    <n v="9"/>
    <n v="2004"/>
    <x v="6"/>
  </r>
  <r>
    <n v="10121"/>
    <s v="S50_4713"/>
    <x v="82"/>
    <x v="64"/>
    <x v="3"/>
    <x v="1"/>
    <s v="Medium"/>
    <n v="1"/>
    <n v="44"/>
    <n v="74.849999999999994"/>
    <n v="81"/>
    <n v="3293.4"/>
    <n v="-270.60000000000002"/>
    <x v="225"/>
    <x v="0"/>
    <n v="2"/>
    <n v="5"/>
    <n v="2003"/>
    <x v="0"/>
  </r>
  <r>
    <n v="10309"/>
    <s v="S50_4713"/>
    <x v="39"/>
    <x v="31"/>
    <x v="1"/>
    <x v="1"/>
    <s v="Small"/>
    <n v="1"/>
    <n v="28"/>
    <n v="88.68"/>
    <n v="81"/>
    <n v="2483.04"/>
    <n v="215.04"/>
    <x v="14"/>
    <x v="0"/>
    <n v="4"/>
    <n v="10"/>
    <n v="2004"/>
    <x v="0"/>
  </r>
  <r>
    <n v="10153"/>
    <s v="S700_1138"/>
    <x v="26"/>
    <x v="21"/>
    <x v="8"/>
    <x v="1"/>
    <s v="Small"/>
    <n v="1"/>
    <n v="43"/>
    <n v="64.67"/>
    <n v="66"/>
    <n v="2780.81"/>
    <n v="-57.19"/>
    <x v="226"/>
    <x v="0"/>
    <n v="3"/>
    <n v="9"/>
    <n v="2003"/>
    <x v="5"/>
  </r>
  <r>
    <n v="10326"/>
    <s v="S700_1138"/>
    <x v="6"/>
    <x v="6"/>
    <x v="4"/>
    <x v="1"/>
    <s v="Small"/>
    <n v="1"/>
    <n v="39"/>
    <n v="60"/>
    <n v="66"/>
    <n v="2340"/>
    <n v="-234"/>
    <x v="227"/>
    <x v="0"/>
    <n v="4"/>
    <n v="11"/>
    <n v="2004"/>
    <x v="5"/>
  </r>
  <r>
    <n v="10385"/>
    <s v="S700_1138"/>
    <x v="43"/>
    <x v="34"/>
    <x v="0"/>
    <x v="0"/>
    <s v="Small"/>
    <n v="1"/>
    <n v="25"/>
    <n v="77.34"/>
    <n v="66"/>
    <n v="1933.5"/>
    <n v="283.5"/>
    <x v="228"/>
    <x v="0"/>
    <n v="1"/>
    <n v="2"/>
    <n v="2005"/>
    <x v="5"/>
  </r>
  <r>
    <n v="10396"/>
    <s v="S700_1138"/>
    <x v="43"/>
    <x v="34"/>
    <x v="0"/>
    <x v="0"/>
    <s v="Small"/>
    <n v="1"/>
    <n v="39"/>
    <n v="66.67"/>
    <n v="66"/>
    <n v="2600.13"/>
    <n v="26.13"/>
    <x v="229"/>
    <x v="0"/>
    <n v="1"/>
    <n v="3"/>
    <n v="2005"/>
    <x v="5"/>
  </r>
  <r>
    <n v="10384"/>
    <s v="S700_1938"/>
    <x v="21"/>
    <x v="17"/>
    <x v="0"/>
    <x v="0"/>
    <s v="Medium"/>
    <n v="1"/>
    <n v="49"/>
    <n v="100"/>
    <n v="86"/>
    <n v="6397.44"/>
    <n v="2183.44"/>
    <x v="230"/>
    <x v="0"/>
    <n v="1"/>
    <n v="2"/>
    <n v="2005"/>
    <x v="5"/>
  </r>
  <r>
    <n v="10131"/>
    <s v="S700_2466"/>
    <x v="61"/>
    <x v="27"/>
    <x v="0"/>
    <x v="0"/>
    <s v="Medium"/>
    <n v="1"/>
    <n v="40"/>
    <n v="100"/>
    <n v="99"/>
    <n v="4427.6000000000004"/>
    <n v="467.6"/>
    <x v="129"/>
    <x v="0"/>
    <n v="2"/>
    <n v="6"/>
    <n v="2003"/>
    <x v="4"/>
  </r>
  <r>
    <n v="10178"/>
    <s v="S700_2466"/>
    <x v="57"/>
    <x v="46"/>
    <x v="3"/>
    <x v="1"/>
    <s v="Small"/>
    <n v="1"/>
    <n v="22"/>
    <n v="87.75"/>
    <n v="99"/>
    <n v="1930.5"/>
    <n v="-247.5"/>
    <x v="231"/>
    <x v="0"/>
    <n v="4"/>
    <n v="11"/>
    <n v="2003"/>
    <x v="4"/>
  </r>
  <r>
    <n v="10198"/>
    <s v="S700_2466"/>
    <x v="85"/>
    <x v="67"/>
    <x v="18"/>
    <x v="2"/>
    <s v="Medium"/>
    <n v="1"/>
    <n v="42"/>
    <n v="100"/>
    <n v="99"/>
    <n v="4774.5600000000004"/>
    <n v="616.55999999999995"/>
    <x v="232"/>
    <x v="0"/>
    <n v="4"/>
    <n v="11"/>
    <n v="2003"/>
    <x v="4"/>
  </r>
  <r>
    <n v="10222"/>
    <s v="S700_2466"/>
    <x v="80"/>
    <x v="63"/>
    <x v="0"/>
    <x v="0"/>
    <s v="Medium"/>
    <n v="1"/>
    <n v="37"/>
    <n v="87.75"/>
    <n v="99"/>
    <n v="3246.75"/>
    <n v="-416.25"/>
    <x v="233"/>
    <x v="0"/>
    <n v="1"/>
    <n v="2"/>
    <n v="2004"/>
    <x v="4"/>
  </r>
  <r>
    <n v="10375"/>
    <s v="S700_2466"/>
    <x v="3"/>
    <x v="3"/>
    <x v="3"/>
    <x v="1"/>
    <s v="Medium"/>
    <n v="1"/>
    <n v="33"/>
    <n v="100"/>
    <n v="99"/>
    <n v="3856.71"/>
    <n v="589.71"/>
    <x v="234"/>
    <x v="0"/>
    <n v="1"/>
    <n v="2"/>
    <n v="2005"/>
    <x v="4"/>
  </r>
  <r>
    <n v="10154"/>
    <s v="S700_2610"/>
    <x v="33"/>
    <x v="27"/>
    <x v="0"/>
    <x v="0"/>
    <s v="Small"/>
    <n v="1"/>
    <n v="36"/>
    <n v="64.33"/>
    <n v="72"/>
    <n v="2315.88"/>
    <n v="-276.12"/>
    <x v="235"/>
    <x v="0"/>
    <n v="4"/>
    <n v="10"/>
    <n v="2003"/>
    <x v="5"/>
  </r>
  <r>
    <n v="10177"/>
    <s v="S700_2610"/>
    <x v="37"/>
    <x v="21"/>
    <x v="8"/>
    <x v="1"/>
    <s v="Small"/>
    <n v="1"/>
    <n v="32"/>
    <n v="76.62"/>
    <n v="72"/>
    <n v="2451.84"/>
    <n v="147.84"/>
    <x v="236"/>
    <x v="0"/>
    <n v="4"/>
    <n v="11"/>
    <n v="2003"/>
    <x v="5"/>
  </r>
  <r>
    <n v="10185"/>
    <s v="S700_2610"/>
    <x v="49"/>
    <x v="40"/>
    <x v="0"/>
    <x v="0"/>
    <s v="Small"/>
    <n v="1"/>
    <n v="39"/>
    <n v="57.82"/>
    <n v="72"/>
    <n v="2254.98"/>
    <n v="-553.02"/>
    <x v="69"/>
    <x v="0"/>
    <n v="4"/>
    <n v="11"/>
    <n v="2003"/>
    <x v="5"/>
  </r>
  <r>
    <n v="10208"/>
    <s v="S700_2610"/>
    <x v="73"/>
    <x v="59"/>
    <x v="3"/>
    <x v="1"/>
    <s v="Medium"/>
    <n v="1"/>
    <n v="46"/>
    <n v="74.45"/>
    <n v="72"/>
    <n v="3424.7"/>
    <n v="112.7"/>
    <x v="237"/>
    <x v="0"/>
    <n v="1"/>
    <n v="1"/>
    <n v="2004"/>
    <x v="5"/>
  </r>
  <r>
    <n v="10233"/>
    <s v="S700_2610"/>
    <x v="24"/>
    <x v="19"/>
    <x v="0"/>
    <x v="0"/>
    <s v="Small"/>
    <n v="1"/>
    <n v="29"/>
    <n v="82.4"/>
    <n v="72"/>
    <n v="2389.6"/>
    <n v="301.60000000000002"/>
    <x v="238"/>
    <x v="0"/>
    <n v="1"/>
    <n v="3"/>
    <n v="2004"/>
    <x v="5"/>
  </r>
  <r>
    <n v="10306"/>
    <s v="S700_2610"/>
    <x v="62"/>
    <x v="50"/>
    <x v="15"/>
    <x v="1"/>
    <s v="Medium"/>
    <n v="1"/>
    <n v="43"/>
    <n v="75.17"/>
    <n v="72"/>
    <n v="3232.31"/>
    <n v="136.31"/>
    <x v="71"/>
    <x v="0"/>
    <n v="4"/>
    <n v="10"/>
    <n v="2004"/>
    <x v="5"/>
  </r>
  <r>
    <n v="10327"/>
    <s v="S700_2610"/>
    <x v="30"/>
    <x v="24"/>
    <x v="10"/>
    <x v="1"/>
    <s v="Small"/>
    <n v="1"/>
    <n v="21"/>
    <n v="96.31"/>
    <n v="72"/>
    <n v="2022.51"/>
    <n v="510.51"/>
    <x v="239"/>
    <x v="4"/>
    <n v="4"/>
    <n v="11"/>
    <n v="2004"/>
    <x v="5"/>
  </r>
  <r>
    <n v="10206"/>
    <s v="S700_2824"/>
    <x v="90"/>
    <x v="71"/>
    <x v="6"/>
    <x v="0"/>
    <s v="Medium"/>
    <n v="1"/>
    <n v="33"/>
    <n v="100"/>
    <n v="101"/>
    <n v="3871.89"/>
    <n v="538.89"/>
    <x v="240"/>
    <x v="0"/>
    <n v="4"/>
    <n v="12"/>
    <n v="2003"/>
    <x v="1"/>
  </r>
  <r>
    <n v="10258"/>
    <s v="S700_2824"/>
    <x v="41"/>
    <x v="32"/>
    <x v="5"/>
    <x v="2"/>
    <s v="Medium"/>
    <n v="1"/>
    <n v="45"/>
    <n v="80.92"/>
    <n v="101"/>
    <n v="3641.4"/>
    <n v="-903.6"/>
    <x v="147"/>
    <x v="0"/>
    <n v="2"/>
    <n v="6"/>
    <n v="2004"/>
    <x v="1"/>
  </r>
  <r>
    <n v="10304"/>
    <s v="S700_2824"/>
    <x v="20"/>
    <x v="16"/>
    <x v="3"/>
    <x v="1"/>
    <s v="Medium"/>
    <n v="1"/>
    <n v="40"/>
    <n v="100"/>
    <n v="101"/>
    <n v="4208"/>
    <n v="168"/>
    <x v="241"/>
    <x v="0"/>
    <n v="4"/>
    <n v="10"/>
    <n v="2004"/>
    <x v="1"/>
  </r>
  <r>
    <n v="10424"/>
    <s v="S700_2824"/>
    <x v="26"/>
    <x v="21"/>
    <x v="8"/>
    <x v="1"/>
    <s v="Medium"/>
    <n v="1"/>
    <n v="46"/>
    <n v="80.92"/>
    <n v="101"/>
    <n v="3722.32"/>
    <n v="-923.68"/>
    <x v="148"/>
    <x v="2"/>
    <n v="2"/>
    <n v="5"/>
    <n v="2005"/>
    <x v="1"/>
  </r>
  <r>
    <n v="10106"/>
    <s v="S700_2834"/>
    <x v="67"/>
    <x v="54"/>
    <x v="12"/>
    <x v="1"/>
    <s v="Medium"/>
    <n v="1"/>
    <n v="32"/>
    <n v="100"/>
    <n v="118"/>
    <n v="3986.56"/>
    <n v="210.56"/>
    <x v="242"/>
    <x v="0"/>
    <n v="1"/>
    <n v="2"/>
    <n v="2003"/>
    <x v="4"/>
  </r>
  <r>
    <n v="10155"/>
    <s v="S700_3167"/>
    <x v="44"/>
    <x v="35"/>
    <x v="14"/>
    <x v="1"/>
    <s v="Medium"/>
    <n v="1"/>
    <n v="43"/>
    <n v="86.4"/>
    <n v="80"/>
    <n v="3715.2"/>
    <n v="275.2"/>
    <x v="75"/>
    <x v="0"/>
    <n v="4"/>
    <n v="10"/>
    <n v="2003"/>
    <x v="4"/>
  </r>
  <r>
    <n v="10118"/>
    <s v="S700_3505"/>
    <x v="88"/>
    <x v="69"/>
    <x v="8"/>
    <x v="1"/>
    <s v="Medium"/>
    <n v="1"/>
    <n v="36"/>
    <n v="100"/>
    <n v="100"/>
    <n v="4219.2"/>
    <n v="619.20000000000005"/>
    <x v="243"/>
    <x v="0"/>
    <n v="2"/>
    <n v="4"/>
    <n v="2003"/>
    <x v="5"/>
  </r>
  <r>
    <n v="10232"/>
    <s v="S700_3505"/>
    <x v="84"/>
    <x v="66"/>
    <x v="15"/>
    <x v="1"/>
    <s v="Medium"/>
    <n v="1"/>
    <n v="48"/>
    <n v="96.16"/>
    <n v="100"/>
    <n v="4615.68"/>
    <n v="-184.32"/>
    <x v="244"/>
    <x v="0"/>
    <n v="1"/>
    <n v="3"/>
    <n v="2004"/>
    <x v="5"/>
  </r>
  <r>
    <n v="10337"/>
    <s v="S700_3505"/>
    <x v="7"/>
    <x v="5"/>
    <x v="0"/>
    <x v="0"/>
    <s v="Small"/>
    <n v="1"/>
    <n v="31"/>
    <n v="89.38"/>
    <n v="100"/>
    <n v="2770.78"/>
    <n v="-329.22"/>
    <x v="245"/>
    <x v="0"/>
    <n v="4"/>
    <n v="11"/>
    <n v="2004"/>
    <x v="5"/>
  </r>
  <r>
    <n v="10117"/>
    <s v="S700_3962"/>
    <x v="17"/>
    <x v="15"/>
    <x v="7"/>
    <x v="2"/>
    <s v="Medium"/>
    <n v="1"/>
    <n v="45"/>
    <n v="83.42"/>
    <n v="99"/>
    <n v="3753.9"/>
    <n v="-701.1"/>
    <x v="246"/>
    <x v="0"/>
    <n v="2"/>
    <n v="4"/>
    <n v="2003"/>
    <x v="5"/>
  </r>
  <r>
    <n v="10294"/>
    <s v="S700_3962"/>
    <x v="31"/>
    <x v="25"/>
    <x v="0"/>
    <x v="0"/>
    <s v="Medium"/>
    <n v="1"/>
    <n v="45"/>
    <n v="100"/>
    <n v="99"/>
    <n v="4692.6000000000004"/>
    <n v="237.6"/>
    <x v="17"/>
    <x v="0"/>
    <n v="3"/>
    <n v="9"/>
    <n v="2004"/>
    <x v="5"/>
  </r>
  <r>
    <n v="10119"/>
    <s v="S700_4002"/>
    <x v="32"/>
    <x v="26"/>
    <x v="11"/>
    <x v="1"/>
    <s v="Small"/>
    <n v="1"/>
    <n v="26"/>
    <n v="59.22"/>
    <n v="74"/>
    <n v="1539.72"/>
    <n v="-384.28"/>
    <x v="247"/>
    <x v="0"/>
    <n v="2"/>
    <n v="4"/>
    <n v="2003"/>
    <x v="4"/>
  </r>
  <r>
    <n v="10352"/>
    <s v="S700_4002"/>
    <x v="76"/>
    <x v="25"/>
    <x v="0"/>
    <x v="0"/>
    <s v="Small"/>
    <n v="1"/>
    <n v="22"/>
    <n v="75.510000000000005"/>
    <n v="74"/>
    <n v="1661.22"/>
    <n v="33.22"/>
    <x v="73"/>
    <x v="0"/>
    <n v="4"/>
    <n v="12"/>
    <n v="2004"/>
    <x v="4"/>
  </r>
  <r>
    <n v="10197"/>
    <s v="S72_1253"/>
    <x v="88"/>
    <x v="69"/>
    <x v="8"/>
    <x v="1"/>
    <s v="Small"/>
    <n v="1"/>
    <n v="29"/>
    <n v="41.71"/>
    <n v="49"/>
    <n v="1209.5899999999999"/>
    <n v="-211.41"/>
    <x v="108"/>
    <x v="0"/>
    <n v="4"/>
    <n v="11"/>
    <n v="2003"/>
    <x v="4"/>
  </r>
  <r>
    <n v="10283"/>
    <s v="S72_1253"/>
    <x v="89"/>
    <x v="70"/>
    <x v="6"/>
    <x v="0"/>
    <s v="Small"/>
    <n v="1"/>
    <n v="43"/>
    <n v="57.61"/>
    <n v="49"/>
    <n v="2477.23"/>
    <n v="370.23"/>
    <x v="109"/>
    <x v="0"/>
    <n v="3"/>
    <n v="8"/>
    <n v="2004"/>
    <x v="4"/>
  </r>
  <r>
    <n v="10398"/>
    <s v="S72_1253"/>
    <x v="82"/>
    <x v="64"/>
    <x v="3"/>
    <x v="1"/>
    <s v="Small"/>
    <n v="1"/>
    <n v="34"/>
    <n v="40.22"/>
    <n v="49"/>
    <n v="1367.48"/>
    <n v="-298.52"/>
    <x v="248"/>
    <x v="0"/>
    <n v="1"/>
    <n v="3"/>
    <n v="2005"/>
    <x v="4"/>
  </r>
  <r>
    <n v="10293"/>
    <s v="S72_3212"/>
    <x v="46"/>
    <x v="37"/>
    <x v="12"/>
    <x v="1"/>
    <s v="Small"/>
    <n v="1"/>
    <n v="32"/>
    <n v="60.06"/>
    <n v="54"/>
    <n v="1921.92"/>
    <n v="193.92"/>
    <x v="249"/>
    <x v="0"/>
    <n v="3"/>
    <n v="9"/>
    <n v="2004"/>
    <x v="5"/>
  </r>
  <r>
    <n v="10373"/>
    <s v="S72_3212"/>
    <x v="71"/>
    <x v="58"/>
    <x v="14"/>
    <x v="1"/>
    <s v="Medium"/>
    <n v="1"/>
    <n v="29"/>
    <n v="100"/>
    <n v="54"/>
    <n v="3978.51"/>
    <n v="2412.5100000000002"/>
    <x v="250"/>
    <x v="0"/>
    <n v="1"/>
    <n v="1"/>
    <n v="2005"/>
    <x v="5"/>
  </r>
  <r>
    <n v="10397"/>
    <s v="S72_3212"/>
    <x v="57"/>
    <x v="46"/>
    <x v="3"/>
    <x v="1"/>
    <s v="Small"/>
    <n v="1"/>
    <n v="34"/>
    <n v="62.24"/>
    <n v="54"/>
    <n v="2116.16"/>
    <n v="280.16000000000003"/>
    <x v="251"/>
    <x v="0"/>
    <n v="1"/>
    <n v="3"/>
    <n v="2005"/>
    <x v="5"/>
  </r>
  <r>
    <n v="10107"/>
    <s v="S10_1678"/>
    <x v="5"/>
    <x v="5"/>
    <x v="0"/>
    <x v="0"/>
    <s v="Small"/>
    <n v="2"/>
    <n v="30"/>
    <n v="95.7"/>
    <n v="95"/>
    <n v="2871"/>
    <n v="21"/>
    <x v="24"/>
    <x v="0"/>
    <n v="1"/>
    <n v="2"/>
    <n v="2003"/>
    <x v="0"/>
  </r>
  <r>
    <n v="10134"/>
    <s v="S10_1678"/>
    <x v="19"/>
    <x v="9"/>
    <x v="3"/>
    <x v="1"/>
    <s v="Medium"/>
    <n v="2"/>
    <n v="41"/>
    <n v="94.74"/>
    <n v="95"/>
    <n v="3884.34"/>
    <n v="-10.66"/>
    <x v="25"/>
    <x v="0"/>
    <n v="3"/>
    <n v="7"/>
    <n v="2003"/>
    <x v="0"/>
  </r>
  <r>
    <n v="10201"/>
    <s v="S10_1678"/>
    <x v="23"/>
    <x v="17"/>
    <x v="0"/>
    <x v="0"/>
    <s v="Small"/>
    <n v="2"/>
    <n v="22"/>
    <n v="98.57"/>
    <n v="95"/>
    <n v="2168.54"/>
    <n v="78.540000000000006"/>
    <x v="26"/>
    <x v="0"/>
    <n v="4"/>
    <n v="12"/>
    <n v="2003"/>
    <x v="0"/>
  </r>
  <r>
    <n v="10251"/>
    <s v="S10_1678"/>
    <x v="24"/>
    <x v="19"/>
    <x v="0"/>
    <x v="0"/>
    <s v="Medium"/>
    <n v="2"/>
    <n v="28"/>
    <n v="100"/>
    <n v="95"/>
    <n v="3188.64"/>
    <n v="528.64"/>
    <x v="27"/>
    <x v="0"/>
    <n v="2"/>
    <n v="5"/>
    <n v="2004"/>
    <x v="0"/>
  </r>
  <r>
    <n v="10263"/>
    <s v="S10_1678"/>
    <x v="25"/>
    <x v="20"/>
    <x v="0"/>
    <x v="0"/>
    <s v="Medium"/>
    <n v="2"/>
    <n v="34"/>
    <n v="100"/>
    <n v="95"/>
    <n v="3676.76"/>
    <n v="446.76"/>
    <x v="28"/>
    <x v="0"/>
    <n v="2"/>
    <n v="6"/>
    <n v="2004"/>
    <x v="0"/>
  </r>
  <r>
    <n v="10417"/>
    <s v="S10_1678"/>
    <x v="26"/>
    <x v="21"/>
    <x v="8"/>
    <x v="1"/>
    <s v="Large"/>
    <n v="2"/>
    <n v="66"/>
    <n v="100"/>
    <n v="95"/>
    <n v="7516.08"/>
    <n v="1246.08"/>
    <x v="30"/>
    <x v="1"/>
    <n v="2"/>
    <n v="5"/>
    <n v="2005"/>
    <x v="0"/>
  </r>
  <r>
    <n v="10228"/>
    <s v="S10_1949"/>
    <x v="45"/>
    <x v="36"/>
    <x v="0"/>
    <x v="0"/>
    <s v="Medium"/>
    <n v="2"/>
    <n v="29"/>
    <n v="100"/>
    <n v="214"/>
    <n v="6463.23"/>
    <n v="257.23"/>
    <x v="52"/>
    <x v="0"/>
    <n v="1"/>
    <n v="3"/>
    <n v="2004"/>
    <x v="1"/>
  </r>
  <r>
    <n v="10280"/>
    <s v="S10_1949"/>
    <x v="46"/>
    <x v="37"/>
    <x v="12"/>
    <x v="1"/>
    <s v="Large"/>
    <n v="2"/>
    <n v="34"/>
    <n v="100"/>
    <n v="214"/>
    <n v="8014.82"/>
    <n v="738.82"/>
    <x v="53"/>
    <x v="0"/>
    <n v="3"/>
    <n v="8"/>
    <n v="2004"/>
    <x v="1"/>
  </r>
  <r>
    <n v="10369"/>
    <s v="S10_1949"/>
    <x v="53"/>
    <x v="25"/>
    <x v="0"/>
    <x v="0"/>
    <s v="Medium"/>
    <n v="2"/>
    <n v="41"/>
    <n v="100"/>
    <n v="214"/>
    <n v="4514.92"/>
    <n v="-4259.08"/>
    <x v="55"/>
    <x v="0"/>
    <n v="1"/>
    <n v="1"/>
    <n v="2005"/>
    <x v="1"/>
  </r>
  <r>
    <n v="10210"/>
    <s v="S10_2016"/>
    <x v="12"/>
    <x v="10"/>
    <x v="5"/>
    <x v="2"/>
    <s v="Medium"/>
    <n v="2"/>
    <n v="23"/>
    <n v="100"/>
    <n v="118"/>
    <n v="3009.09"/>
    <n v="295.08999999999997"/>
    <x v="13"/>
    <x v="0"/>
    <n v="1"/>
    <n v="1"/>
    <n v="2004"/>
    <x v="0"/>
  </r>
  <r>
    <n v="10308"/>
    <s v="S10_2016"/>
    <x v="13"/>
    <x v="11"/>
    <x v="0"/>
    <x v="0"/>
    <s v="Medium"/>
    <n v="2"/>
    <n v="34"/>
    <n v="100"/>
    <n v="118"/>
    <n v="4043.96"/>
    <n v="31.96"/>
    <x v="14"/>
    <x v="0"/>
    <n v="4"/>
    <n v="10"/>
    <n v="2004"/>
    <x v="0"/>
  </r>
  <r>
    <n v="10329"/>
    <s v="S10_2016"/>
    <x v="5"/>
    <x v="5"/>
    <x v="0"/>
    <x v="0"/>
    <s v="Medium"/>
    <n v="2"/>
    <n v="20"/>
    <n v="100"/>
    <n v="118"/>
    <n v="3176"/>
    <n v="816"/>
    <x v="5"/>
    <x v="0"/>
    <n v="4"/>
    <n v="11"/>
    <n v="2004"/>
    <x v="0"/>
  </r>
  <r>
    <n v="10120"/>
    <s v="S10_4698"/>
    <x v="2"/>
    <x v="2"/>
    <x v="2"/>
    <x v="2"/>
    <s v="Large"/>
    <n v="2"/>
    <n v="46"/>
    <n v="100"/>
    <n v="193"/>
    <n v="9264.86"/>
    <n v="386.86"/>
    <x v="149"/>
    <x v="0"/>
    <n v="2"/>
    <n v="4"/>
    <n v="2003"/>
    <x v="0"/>
  </r>
  <r>
    <n v="10105"/>
    <s v="S10_4757"/>
    <x v="30"/>
    <x v="24"/>
    <x v="10"/>
    <x v="1"/>
    <s v="Large"/>
    <n v="2"/>
    <n v="50"/>
    <n v="100"/>
    <n v="136"/>
    <n v="7208"/>
    <n v="408"/>
    <x v="187"/>
    <x v="0"/>
    <n v="1"/>
    <n v="2"/>
    <n v="2003"/>
    <x v="1"/>
  </r>
  <r>
    <n v="10129"/>
    <s v="S10_4757"/>
    <x v="42"/>
    <x v="33"/>
    <x v="15"/>
    <x v="1"/>
    <s v="Medium"/>
    <n v="2"/>
    <n v="33"/>
    <n v="100"/>
    <n v="136"/>
    <n v="4398.24"/>
    <n v="-89.76"/>
    <x v="188"/>
    <x v="0"/>
    <n v="2"/>
    <n v="6"/>
    <n v="2003"/>
    <x v="1"/>
  </r>
  <r>
    <n v="10395"/>
    <s v="S10_4757"/>
    <x v="19"/>
    <x v="9"/>
    <x v="3"/>
    <x v="1"/>
    <s v="Medium"/>
    <n v="2"/>
    <n v="32"/>
    <n v="100"/>
    <n v="136"/>
    <n v="3370.56"/>
    <n v="-981.44"/>
    <x v="20"/>
    <x v="0"/>
    <n v="1"/>
    <n v="3"/>
    <n v="2005"/>
    <x v="1"/>
  </r>
  <r>
    <n v="10164"/>
    <s v="S10_4962"/>
    <x v="74"/>
    <x v="60"/>
    <x v="11"/>
    <x v="1"/>
    <s v="Medium"/>
    <n v="2"/>
    <n v="21"/>
    <n v="100"/>
    <n v="147"/>
    <n v="3536.82"/>
    <n v="449.82"/>
    <x v="138"/>
    <x v="4"/>
    <n v="4"/>
    <n v="10"/>
    <n v="2003"/>
    <x v="1"/>
  </r>
  <r>
    <n v="10245"/>
    <s v="S10_4962"/>
    <x v="68"/>
    <x v="55"/>
    <x v="0"/>
    <x v="0"/>
    <s v="Medium"/>
    <n v="2"/>
    <n v="28"/>
    <n v="100"/>
    <n v="147"/>
    <n v="4591.72"/>
    <n v="475.72"/>
    <x v="205"/>
    <x v="0"/>
    <n v="2"/>
    <n v="5"/>
    <n v="2004"/>
    <x v="1"/>
  </r>
  <r>
    <n v="10270"/>
    <s v="S10_4962"/>
    <x v="64"/>
    <x v="51"/>
    <x v="2"/>
    <x v="2"/>
    <s v="Medium"/>
    <n v="2"/>
    <n v="32"/>
    <n v="100"/>
    <n v="147"/>
    <n v="4302.08"/>
    <n v="-401.92"/>
    <x v="206"/>
    <x v="0"/>
    <n v="3"/>
    <n v="7"/>
    <n v="2004"/>
    <x v="1"/>
  </r>
  <r>
    <n v="10334"/>
    <s v="S10_4962"/>
    <x v="6"/>
    <x v="6"/>
    <x v="4"/>
    <x v="1"/>
    <s v="Medium"/>
    <n v="2"/>
    <n v="26"/>
    <n v="100"/>
    <n v="147"/>
    <n v="3188.12"/>
    <n v="-633.88"/>
    <x v="87"/>
    <x v="5"/>
    <n v="4"/>
    <n v="11"/>
    <n v="2004"/>
    <x v="1"/>
  </r>
  <r>
    <n v="10347"/>
    <s v="S10_4962"/>
    <x v="2"/>
    <x v="2"/>
    <x v="2"/>
    <x v="2"/>
    <s v="Medium"/>
    <n v="2"/>
    <n v="27"/>
    <n v="100"/>
    <n v="147"/>
    <n v="4428"/>
    <n v="459"/>
    <x v="9"/>
    <x v="0"/>
    <n v="4"/>
    <n v="11"/>
    <n v="2004"/>
    <x v="1"/>
  </r>
  <r>
    <n v="10411"/>
    <s v="S10_4962"/>
    <x v="15"/>
    <x v="13"/>
    <x v="6"/>
    <x v="0"/>
    <s v="Medium"/>
    <n v="2"/>
    <n v="27"/>
    <n v="100"/>
    <n v="147"/>
    <n v="4427.7299999999996"/>
    <n v="458.73"/>
    <x v="208"/>
    <x v="0"/>
    <n v="2"/>
    <n v="5"/>
    <n v="2005"/>
    <x v="1"/>
  </r>
  <r>
    <n v="10159"/>
    <s v="S12_1099"/>
    <x v="21"/>
    <x v="17"/>
    <x v="0"/>
    <x v="0"/>
    <s v="Large"/>
    <n v="2"/>
    <n v="41"/>
    <n v="100"/>
    <n v="194"/>
    <n v="8296.35"/>
    <n v="342.35"/>
    <x v="160"/>
    <x v="0"/>
    <n v="4"/>
    <n v="10"/>
    <n v="2003"/>
    <x v="1"/>
  </r>
  <r>
    <n v="10169"/>
    <s v="S12_1099"/>
    <x v="47"/>
    <x v="38"/>
    <x v="2"/>
    <x v="2"/>
    <s v="Medium"/>
    <n v="2"/>
    <n v="30"/>
    <n v="100"/>
    <n v="194"/>
    <n v="5019.8999999999996"/>
    <n v="-800.1"/>
    <x v="185"/>
    <x v="0"/>
    <n v="4"/>
    <n v="11"/>
    <n v="2003"/>
    <x v="1"/>
  </r>
  <r>
    <n v="10211"/>
    <s v="S12_1099"/>
    <x v="11"/>
    <x v="9"/>
    <x v="3"/>
    <x v="1"/>
    <s v="Large"/>
    <n v="2"/>
    <n v="41"/>
    <n v="100"/>
    <n v="194"/>
    <n v="7498.9"/>
    <n v="-455.1"/>
    <x v="186"/>
    <x v="0"/>
    <n v="1"/>
    <n v="1"/>
    <n v="2004"/>
    <x v="1"/>
  </r>
  <r>
    <n v="10341"/>
    <s v="S12_1099"/>
    <x v="32"/>
    <x v="26"/>
    <x v="11"/>
    <x v="1"/>
    <s v="Medium"/>
    <n v="2"/>
    <n v="45"/>
    <n v="79.650000000000006"/>
    <n v="194"/>
    <n v="3584.25"/>
    <n v="-5145.75"/>
    <x v="38"/>
    <x v="0"/>
    <n v="4"/>
    <n v="11"/>
    <n v="2004"/>
    <x v="1"/>
  </r>
  <r>
    <n v="10127"/>
    <s v="S12_1108"/>
    <x v="34"/>
    <x v="5"/>
    <x v="0"/>
    <x v="0"/>
    <s v="Large"/>
    <n v="2"/>
    <n v="46"/>
    <n v="100"/>
    <n v="207"/>
    <n v="11279.2"/>
    <n v="1757.2"/>
    <x v="40"/>
    <x v="0"/>
    <n v="2"/>
    <n v="6"/>
    <n v="2003"/>
    <x v="1"/>
  </r>
  <r>
    <n v="10176"/>
    <s v="S12_1108"/>
    <x v="35"/>
    <x v="28"/>
    <x v="12"/>
    <x v="1"/>
    <s v="Large"/>
    <n v="2"/>
    <n v="33"/>
    <n v="100"/>
    <n v="207"/>
    <n v="7474.5"/>
    <n v="643.5"/>
    <x v="21"/>
    <x v="0"/>
    <n v="4"/>
    <n v="11"/>
    <n v="2003"/>
    <x v="1"/>
  </r>
  <r>
    <n v="10220"/>
    <s v="S12_1108"/>
    <x v="36"/>
    <x v="29"/>
    <x v="13"/>
    <x v="1"/>
    <s v="Large"/>
    <n v="2"/>
    <n v="32"/>
    <n v="100"/>
    <n v="207"/>
    <n v="7181.44"/>
    <n v="557.44000000000005"/>
    <x v="41"/>
    <x v="0"/>
    <n v="1"/>
    <n v="2"/>
    <n v="2004"/>
    <x v="1"/>
  </r>
  <r>
    <n v="10231"/>
    <s v="S12_1108"/>
    <x v="37"/>
    <x v="21"/>
    <x v="8"/>
    <x v="1"/>
    <s v="Large"/>
    <n v="2"/>
    <n v="42"/>
    <n v="100"/>
    <n v="207"/>
    <n v="8378.58"/>
    <n v="-315.42"/>
    <x v="42"/>
    <x v="0"/>
    <n v="1"/>
    <n v="3"/>
    <n v="2004"/>
    <x v="1"/>
  </r>
  <r>
    <n v="10247"/>
    <s v="S12_1108"/>
    <x v="38"/>
    <x v="30"/>
    <x v="14"/>
    <x v="1"/>
    <s v="Large"/>
    <n v="2"/>
    <n v="44"/>
    <n v="100"/>
    <n v="207"/>
    <n v="10606.2"/>
    <n v="1498.2"/>
    <x v="43"/>
    <x v="0"/>
    <n v="2"/>
    <n v="5"/>
    <n v="2004"/>
    <x v="1"/>
  </r>
  <r>
    <n v="10272"/>
    <s v="S12_1108"/>
    <x v="4"/>
    <x v="4"/>
    <x v="0"/>
    <x v="0"/>
    <s v="Medium"/>
    <n v="2"/>
    <n v="35"/>
    <n v="100"/>
    <n v="207"/>
    <n v="5818.4"/>
    <n v="-1426.6"/>
    <x v="44"/>
    <x v="0"/>
    <n v="3"/>
    <n v="7"/>
    <n v="2004"/>
    <x v="1"/>
  </r>
  <r>
    <n v="10413"/>
    <s v="S12_1108"/>
    <x v="25"/>
    <x v="20"/>
    <x v="0"/>
    <x v="0"/>
    <s v="Large"/>
    <n v="2"/>
    <n v="36"/>
    <n v="100"/>
    <n v="207"/>
    <n v="8677.7999999999993"/>
    <n v="1225.8"/>
    <x v="47"/>
    <x v="0"/>
    <n v="2"/>
    <n v="5"/>
    <n v="2005"/>
    <x v="1"/>
  </r>
  <r>
    <n v="10113"/>
    <s v="S12_1666"/>
    <x v="43"/>
    <x v="34"/>
    <x v="0"/>
    <x v="0"/>
    <s v="Medium"/>
    <n v="2"/>
    <n v="21"/>
    <n v="100"/>
    <n v="136"/>
    <n v="3415.44"/>
    <n v="559.44000000000005"/>
    <x v="219"/>
    <x v="0"/>
    <n v="1"/>
    <n v="3"/>
    <n v="2003"/>
    <x v="2"/>
  </r>
  <r>
    <n v="10165"/>
    <s v="S12_3891"/>
    <x v="17"/>
    <x v="15"/>
    <x v="7"/>
    <x v="2"/>
    <s v="Medium"/>
    <n v="2"/>
    <n v="27"/>
    <n v="100"/>
    <n v="173"/>
    <n v="5559.03"/>
    <n v="888.03"/>
    <x v="116"/>
    <x v="0"/>
    <n v="4"/>
    <n v="10"/>
    <n v="2003"/>
    <x v="1"/>
  </r>
  <r>
    <n v="10219"/>
    <s v="S12_4473"/>
    <x v="58"/>
    <x v="47"/>
    <x v="0"/>
    <x v="0"/>
    <s v="Medium"/>
    <n v="2"/>
    <n v="48"/>
    <n v="100"/>
    <n v="118"/>
    <n v="4891.68"/>
    <n v="-772.32"/>
    <x v="82"/>
    <x v="0"/>
    <n v="1"/>
    <n v="2"/>
    <n v="2004"/>
    <x v="2"/>
  </r>
  <r>
    <n v="10300"/>
    <s v="S12_4675"/>
    <x v="27"/>
    <x v="22"/>
    <x v="9"/>
    <x v="1"/>
    <s v="Small"/>
    <n v="2"/>
    <n v="23"/>
    <n v="100"/>
    <n v="115"/>
    <n v="2807.61"/>
    <n v="162.61000000000001"/>
    <x v="77"/>
    <x v="0"/>
    <n v="4"/>
    <n v="10"/>
    <n v="2003"/>
    <x v="1"/>
  </r>
  <r>
    <n v="10215"/>
    <s v="S18_1097"/>
    <x v="79"/>
    <x v="62"/>
    <x v="0"/>
    <x v="0"/>
    <s v="Medium"/>
    <n v="2"/>
    <n v="46"/>
    <n v="100"/>
    <n v="116"/>
    <n v="5152"/>
    <n v="-184"/>
    <x v="139"/>
    <x v="0"/>
    <n v="1"/>
    <n v="1"/>
    <n v="2004"/>
    <x v="2"/>
  </r>
  <r>
    <n v="10312"/>
    <s v="S18_1097"/>
    <x v="43"/>
    <x v="34"/>
    <x v="0"/>
    <x v="0"/>
    <s v="Medium"/>
    <n v="2"/>
    <n v="32"/>
    <n v="100"/>
    <n v="116"/>
    <n v="4181.4399999999996"/>
    <n v="469.44"/>
    <x v="140"/>
    <x v="0"/>
    <n v="4"/>
    <n v="10"/>
    <n v="2004"/>
    <x v="2"/>
  </r>
  <r>
    <n v="10381"/>
    <s v="S18_1097"/>
    <x v="21"/>
    <x v="17"/>
    <x v="0"/>
    <x v="0"/>
    <s v="Medium"/>
    <n v="2"/>
    <n v="48"/>
    <n v="98"/>
    <n v="116"/>
    <n v="4704"/>
    <n v="-864"/>
    <x v="23"/>
    <x v="0"/>
    <n v="1"/>
    <n v="2"/>
    <n v="2005"/>
    <x v="2"/>
  </r>
  <r>
    <n v="10122"/>
    <s v="S18_1129"/>
    <x v="56"/>
    <x v="45"/>
    <x v="3"/>
    <x v="1"/>
    <s v="Medium"/>
    <n v="2"/>
    <n v="34"/>
    <n v="100"/>
    <n v="141"/>
    <n v="5004.8"/>
    <n v="210.8"/>
    <x v="78"/>
    <x v="0"/>
    <n v="2"/>
    <n v="5"/>
    <n v="2003"/>
    <x v="1"/>
  </r>
  <r>
    <n v="10136"/>
    <s v="S18_1129"/>
    <x v="57"/>
    <x v="46"/>
    <x v="3"/>
    <x v="1"/>
    <s v="Medium"/>
    <n v="2"/>
    <n v="25"/>
    <n v="100"/>
    <n v="141"/>
    <n v="3644.75"/>
    <n v="119.75"/>
    <x v="79"/>
    <x v="0"/>
    <n v="3"/>
    <n v="7"/>
    <n v="2003"/>
    <x v="1"/>
  </r>
  <r>
    <n v="10171"/>
    <s v="S18_1129"/>
    <x v="15"/>
    <x v="13"/>
    <x v="6"/>
    <x v="0"/>
    <s v="Medium"/>
    <n v="2"/>
    <n v="35"/>
    <n v="100"/>
    <n v="141"/>
    <n v="4508"/>
    <n v="-427"/>
    <x v="80"/>
    <x v="0"/>
    <n v="4"/>
    <n v="11"/>
    <n v="2003"/>
    <x v="1"/>
  </r>
  <r>
    <n v="10310"/>
    <s v="S18_1129"/>
    <x v="29"/>
    <x v="23"/>
    <x v="9"/>
    <x v="1"/>
    <s v="Medium"/>
    <n v="2"/>
    <n v="37"/>
    <n v="100"/>
    <n v="141"/>
    <n v="6231.91"/>
    <n v="1014.91"/>
    <x v="81"/>
    <x v="0"/>
    <n v="4"/>
    <n v="10"/>
    <n v="2004"/>
    <x v="1"/>
  </r>
  <r>
    <n v="10342"/>
    <s v="S18_1129"/>
    <x v="2"/>
    <x v="2"/>
    <x v="2"/>
    <x v="2"/>
    <s v="Medium"/>
    <n v="2"/>
    <n v="40"/>
    <n v="100"/>
    <n v="141"/>
    <n v="6454.4"/>
    <n v="814.4"/>
    <x v="38"/>
    <x v="0"/>
    <n v="4"/>
    <n v="11"/>
    <n v="2004"/>
    <x v="1"/>
  </r>
  <r>
    <n v="10377"/>
    <s v="S18_1129"/>
    <x v="44"/>
    <x v="35"/>
    <x v="14"/>
    <x v="1"/>
    <s v="Medium"/>
    <n v="2"/>
    <n v="35"/>
    <n v="100"/>
    <n v="141"/>
    <n v="5895.05"/>
    <n v="960.05"/>
    <x v="51"/>
    <x v="0"/>
    <n v="1"/>
    <n v="2"/>
    <n v="2005"/>
    <x v="1"/>
  </r>
  <r>
    <n v="10102"/>
    <s v="S18_1342"/>
    <x v="28"/>
    <x v="5"/>
    <x v="0"/>
    <x v="0"/>
    <s v="Medium"/>
    <n v="2"/>
    <n v="39"/>
    <n v="100"/>
    <n v="102"/>
    <n v="4808.3100000000004"/>
    <n v="830.31"/>
    <x v="59"/>
    <x v="0"/>
    <n v="1"/>
    <n v="1"/>
    <n v="2003"/>
    <x v="3"/>
  </r>
  <r>
    <n v="10162"/>
    <s v="S18_1342"/>
    <x v="21"/>
    <x v="17"/>
    <x v="0"/>
    <x v="0"/>
    <s v="Medium"/>
    <n v="2"/>
    <n v="48"/>
    <n v="91.44"/>
    <n v="102"/>
    <n v="4389.12"/>
    <n v="-506.88"/>
    <x v="60"/>
    <x v="0"/>
    <n v="4"/>
    <n v="10"/>
    <n v="2003"/>
    <x v="3"/>
  </r>
  <r>
    <n v="10205"/>
    <s v="S18_1342"/>
    <x v="26"/>
    <x v="21"/>
    <x v="8"/>
    <x v="1"/>
    <s v="Medium"/>
    <n v="2"/>
    <n v="36"/>
    <n v="100"/>
    <n v="102"/>
    <n v="3735.72"/>
    <n v="63.72"/>
    <x v="61"/>
    <x v="0"/>
    <n v="4"/>
    <n v="12"/>
    <n v="2003"/>
    <x v="3"/>
  </r>
  <r>
    <n v="10256"/>
    <s v="S18_1342"/>
    <x v="30"/>
    <x v="24"/>
    <x v="10"/>
    <x v="1"/>
    <s v="Medium"/>
    <n v="2"/>
    <n v="34"/>
    <n v="95.55"/>
    <n v="102"/>
    <n v="3248.7"/>
    <n v="-219.3"/>
    <x v="62"/>
    <x v="0"/>
    <n v="2"/>
    <n v="6"/>
    <n v="2004"/>
    <x v="3"/>
  </r>
  <r>
    <n v="10289"/>
    <s v="S18_1342"/>
    <x v="1"/>
    <x v="1"/>
    <x v="1"/>
    <x v="1"/>
    <s v="Medium"/>
    <n v="2"/>
    <n v="38"/>
    <n v="100"/>
    <n v="102"/>
    <n v="4567.9799999999996"/>
    <n v="691.98"/>
    <x v="63"/>
    <x v="0"/>
    <n v="3"/>
    <n v="9"/>
    <n v="2004"/>
    <x v="3"/>
  </r>
  <r>
    <n v="10391"/>
    <s v="S18_1342"/>
    <x v="47"/>
    <x v="38"/>
    <x v="2"/>
    <x v="2"/>
    <s v="Medium"/>
    <n v="2"/>
    <n v="35"/>
    <n v="100"/>
    <n v="102"/>
    <n v="5548.9"/>
    <n v="1978.9"/>
    <x v="165"/>
    <x v="0"/>
    <n v="1"/>
    <n v="3"/>
    <n v="2005"/>
    <x v="3"/>
  </r>
  <r>
    <n v="10422"/>
    <s v="S18_1342"/>
    <x v="4"/>
    <x v="4"/>
    <x v="0"/>
    <x v="0"/>
    <s v="Medium"/>
    <n v="2"/>
    <n v="51"/>
    <n v="95.55"/>
    <n v="102"/>
    <n v="4873.05"/>
    <n v="-328.95"/>
    <x v="64"/>
    <x v="2"/>
    <n v="2"/>
    <n v="5"/>
    <n v="2005"/>
    <x v="3"/>
  </r>
  <r>
    <n v="10182"/>
    <s v="S18_1367"/>
    <x v="43"/>
    <x v="34"/>
    <x v="0"/>
    <x v="0"/>
    <s v="Small"/>
    <n v="2"/>
    <n v="32"/>
    <n v="54.45"/>
    <n v="53"/>
    <n v="1742.4"/>
    <n v="46.4"/>
    <x v="117"/>
    <x v="0"/>
    <n v="4"/>
    <n v="11"/>
    <n v="2003"/>
    <x v="3"/>
  </r>
  <r>
    <n v="10227"/>
    <s v="S18_1367"/>
    <x v="73"/>
    <x v="59"/>
    <x v="3"/>
    <x v="1"/>
    <s v="Small"/>
    <n v="2"/>
    <n v="31"/>
    <n v="48.52"/>
    <n v="53"/>
    <n v="1504.12"/>
    <n v="-138.88"/>
    <x v="118"/>
    <x v="0"/>
    <n v="1"/>
    <n v="3"/>
    <n v="2004"/>
    <x v="3"/>
  </r>
  <r>
    <n v="10123"/>
    <s v="S18_1589"/>
    <x v="10"/>
    <x v="3"/>
    <x v="3"/>
    <x v="1"/>
    <s v="Medium"/>
    <n v="2"/>
    <n v="26"/>
    <n v="100"/>
    <n v="124"/>
    <n v="3073.72"/>
    <n v="-150.28"/>
    <x v="151"/>
    <x v="0"/>
    <n v="2"/>
    <n v="5"/>
    <n v="2003"/>
    <x v="1"/>
  </r>
  <r>
    <n v="10137"/>
    <s v="S18_1589"/>
    <x v="82"/>
    <x v="64"/>
    <x v="3"/>
    <x v="1"/>
    <s v="Medium"/>
    <n v="2"/>
    <n v="44"/>
    <n v="99.55"/>
    <n v="124"/>
    <n v="4380.2"/>
    <n v="-1075.8"/>
    <x v="152"/>
    <x v="0"/>
    <n v="3"/>
    <n v="7"/>
    <n v="2003"/>
    <x v="1"/>
  </r>
  <r>
    <n v="10181"/>
    <s v="S18_1589"/>
    <x v="1"/>
    <x v="1"/>
    <x v="1"/>
    <x v="1"/>
    <s v="Medium"/>
    <n v="2"/>
    <n v="42"/>
    <n v="100"/>
    <n v="124"/>
    <n v="5435.64"/>
    <n v="227.64"/>
    <x v="117"/>
    <x v="0"/>
    <n v="4"/>
    <n v="11"/>
    <n v="2003"/>
    <x v="1"/>
  </r>
  <r>
    <n v="10266"/>
    <s v="S18_1589"/>
    <x v="35"/>
    <x v="28"/>
    <x v="12"/>
    <x v="1"/>
    <s v="Medium"/>
    <n v="2"/>
    <n v="36"/>
    <n v="100"/>
    <n v="124"/>
    <n v="5196.6000000000004"/>
    <n v="732.6"/>
    <x v="153"/>
    <x v="0"/>
    <n v="3"/>
    <n v="7"/>
    <n v="2004"/>
    <x v="1"/>
  </r>
  <r>
    <n v="10278"/>
    <s v="S18_1589"/>
    <x v="83"/>
    <x v="65"/>
    <x v="0"/>
    <x v="0"/>
    <s v="Small"/>
    <n v="2"/>
    <n v="23"/>
    <n v="100"/>
    <n v="124"/>
    <n v="2604.52"/>
    <n v="-247.48"/>
    <x v="154"/>
    <x v="0"/>
    <n v="3"/>
    <n v="8"/>
    <n v="2004"/>
    <x v="1"/>
  </r>
  <r>
    <n v="10241"/>
    <s v="S18_1749"/>
    <x v="59"/>
    <x v="48"/>
    <x v="3"/>
    <x v="1"/>
    <s v="Large"/>
    <n v="2"/>
    <n v="41"/>
    <n v="100"/>
    <n v="170"/>
    <n v="7597.3"/>
    <n v="627.29999999999995"/>
    <x v="83"/>
    <x v="0"/>
    <n v="2"/>
    <n v="4"/>
    <n v="2004"/>
    <x v="3"/>
  </r>
  <r>
    <n v="10379"/>
    <s v="S18_1749"/>
    <x v="26"/>
    <x v="21"/>
    <x v="8"/>
    <x v="1"/>
    <s v="Medium"/>
    <n v="2"/>
    <n v="39"/>
    <n v="100"/>
    <n v="170"/>
    <n v="5399.55"/>
    <n v="-1230.45"/>
    <x v="84"/>
    <x v="0"/>
    <n v="1"/>
    <n v="2"/>
    <n v="2005"/>
    <x v="3"/>
  </r>
  <r>
    <n v="10407"/>
    <s v="S18_1749"/>
    <x v="55"/>
    <x v="44"/>
    <x v="0"/>
    <x v="0"/>
    <s v="Large"/>
    <n v="2"/>
    <n v="76"/>
    <n v="100"/>
    <n v="170"/>
    <n v="14082.8"/>
    <n v="1162.8"/>
    <x v="85"/>
    <x v="5"/>
    <n v="2"/>
    <n v="4"/>
    <n v="2005"/>
    <x v="3"/>
  </r>
  <r>
    <n v="10108"/>
    <s v="S18_1889"/>
    <x v="85"/>
    <x v="67"/>
    <x v="18"/>
    <x v="2"/>
    <s v="Medium"/>
    <n v="2"/>
    <n v="38"/>
    <n v="82.39"/>
    <n v="77"/>
    <n v="3130.82"/>
    <n v="204.82"/>
    <x v="189"/>
    <x v="0"/>
    <n v="1"/>
    <n v="3"/>
    <n v="2003"/>
    <x v="1"/>
  </r>
  <r>
    <n v="10170"/>
    <s v="S18_1889"/>
    <x v="74"/>
    <x v="60"/>
    <x v="11"/>
    <x v="1"/>
    <s v="Small"/>
    <n v="2"/>
    <n v="20"/>
    <n v="63.14"/>
    <n v="77"/>
    <n v="1262.8"/>
    <n v="-277.2"/>
    <x v="185"/>
    <x v="0"/>
    <n v="4"/>
    <n v="11"/>
    <n v="2003"/>
    <x v="1"/>
  </r>
  <r>
    <n v="10240"/>
    <s v="S18_1984"/>
    <x v="12"/>
    <x v="10"/>
    <x v="5"/>
    <x v="2"/>
    <s v="Medium"/>
    <n v="2"/>
    <n v="37"/>
    <n v="100"/>
    <n v="142"/>
    <n v="5526.32"/>
    <n v="272.32"/>
    <x v="83"/>
    <x v="0"/>
    <n v="2"/>
    <n v="4"/>
    <n v="2004"/>
    <x v="1"/>
  </r>
  <r>
    <n v="10356"/>
    <s v="S18_1984"/>
    <x v="19"/>
    <x v="9"/>
    <x v="3"/>
    <x v="1"/>
    <s v="Small"/>
    <n v="2"/>
    <n v="27"/>
    <n v="64.69"/>
    <n v="142"/>
    <n v="1746.63"/>
    <n v="-2087.37"/>
    <x v="96"/>
    <x v="0"/>
    <n v="4"/>
    <n v="12"/>
    <n v="2004"/>
    <x v="1"/>
  </r>
  <r>
    <n v="10406"/>
    <s v="S18_1984"/>
    <x v="30"/>
    <x v="24"/>
    <x v="10"/>
    <x v="1"/>
    <s v="Large"/>
    <n v="2"/>
    <n v="48"/>
    <n v="100"/>
    <n v="142"/>
    <n v="7169.28"/>
    <n v="353.28"/>
    <x v="123"/>
    <x v="1"/>
    <n v="2"/>
    <n v="4"/>
    <n v="2005"/>
    <x v="1"/>
  </r>
  <r>
    <n v="10151"/>
    <s v="S18_2238"/>
    <x v="71"/>
    <x v="58"/>
    <x v="14"/>
    <x v="1"/>
    <s v="Large"/>
    <n v="2"/>
    <n v="43"/>
    <n v="100"/>
    <n v="163"/>
    <n v="7110.91"/>
    <n v="101.91"/>
    <x v="224"/>
    <x v="0"/>
    <n v="3"/>
    <n v="9"/>
    <n v="2003"/>
    <x v="1"/>
  </r>
  <r>
    <n v="10100"/>
    <s v="S18_2248"/>
    <x v="8"/>
    <x v="7"/>
    <x v="0"/>
    <x v="0"/>
    <s v="Medium"/>
    <n v="2"/>
    <n v="50"/>
    <n v="67.8"/>
    <n v="60"/>
    <n v="3390"/>
    <n v="390"/>
    <x v="191"/>
    <x v="0"/>
    <n v="1"/>
    <n v="1"/>
    <n v="2003"/>
    <x v="3"/>
  </r>
  <r>
    <n v="10303"/>
    <s v="S18_2248"/>
    <x v="86"/>
    <x v="68"/>
    <x v="8"/>
    <x v="1"/>
    <s v="Small"/>
    <n v="2"/>
    <n v="46"/>
    <n v="49.04"/>
    <n v="60"/>
    <n v="2255.84"/>
    <n v="-504.16"/>
    <x v="193"/>
    <x v="0"/>
    <n v="4"/>
    <n v="10"/>
    <n v="2004"/>
    <x v="3"/>
  </r>
  <r>
    <n v="10344"/>
    <s v="S18_2248"/>
    <x v="56"/>
    <x v="45"/>
    <x v="3"/>
    <x v="1"/>
    <s v="Small"/>
    <n v="2"/>
    <n v="40"/>
    <n v="56.91"/>
    <n v="60"/>
    <n v="2276.4"/>
    <n v="-123.6"/>
    <x v="76"/>
    <x v="0"/>
    <n v="4"/>
    <n v="11"/>
    <n v="2004"/>
    <x v="3"/>
  </r>
  <r>
    <n v="10313"/>
    <s v="S18_2319"/>
    <x v="90"/>
    <x v="71"/>
    <x v="6"/>
    <x v="0"/>
    <s v="Medium"/>
    <n v="2"/>
    <n v="29"/>
    <n v="100"/>
    <n v="122"/>
    <n v="3416.78"/>
    <n v="-121.22"/>
    <x v="110"/>
    <x v="0"/>
    <n v="4"/>
    <n v="10"/>
    <n v="2004"/>
    <x v="2"/>
  </r>
  <r>
    <n v="10243"/>
    <s v="S18_2325"/>
    <x v="77"/>
    <x v="14"/>
    <x v="0"/>
    <x v="0"/>
    <s v="Medium"/>
    <n v="2"/>
    <n v="47"/>
    <n v="100"/>
    <n v="127"/>
    <n v="6154.18"/>
    <n v="185.18"/>
    <x v="157"/>
    <x v="0"/>
    <n v="2"/>
    <n v="4"/>
    <n v="2004"/>
    <x v="3"/>
  </r>
  <r>
    <n v="10288"/>
    <s v="S18_2325"/>
    <x v="81"/>
    <x v="15"/>
    <x v="7"/>
    <x v="2"/>
    <s v="Medium"/>
    <n v="2"/>
    <n v="31"/>
    <n v="100"/>
    <n v="127"/>
    <n v="3822.92"/>
    <n v="-114.08"/>
    <x v="158"/>
    <x v="0"/>
    <n v="3"/>
    <n v="9"/>
    <n v="2004"/>
    <x v="3"/>
  </r>
  <r>
    <n v="10409"/>
    <s v="S18_2325"/>
    <x v="81"/>
    <x v="15"/>
    <x v="7"/>
    <x v="2"/>
    <s v="Small"/>
    <n v="2"/>
    <n v="6"/>
    <n v="100"/>
    <n v="127"/>
    <n v="785.64"/>
    <n v="23.64"/>
    <x v="159"/>
    <x v="0"/>
    <n v="2"/>
    <n v="4"/>
    <n v="2005"/>
    <x v="3"/>
  </r>
  <r>
    <n v="10420"/>
    <s v="S18_2325"/>
    <x v="64"/>
    <x v="51"/>
    <x v="2"/>
    <x v="2"/>
    <s v="Medium"/>
    <n v="2"/>
    <n v="45"/>
    <n v="100"/>
    <n v="127"/>
    <n v="4977"/>
    <n v="-738"/>
    <x v="97"/>
    <x v="2"/>
    <n v="2"/>
    <n v="5"/>
    <n v="2005"/>
    <x v="3"/>
  </r>
  <r>
    <n v="10103"/>
    <s v="S18_2432"/>
    <x v="39"/>
    <x v="31"/>
    <x v="1"/>
    <x v="1"/>
    <s v="Small"/>
    <n v="2"/>
    <n v="22"/>
    <n v="54.09"/>
    <n v="60"/>
    <n v="1189.98"/>
    <n v="-130.02000000000001"/>
    <x v="166"/>
    <x v="0"/>
    <n v="1"/>
    <n v="1"/>
    <n v="2003"/>
    <x v="2"/>
  </r>
  <r>
    <n v="10126"/>
    <s v="S18_2432"/>
    <x v="63"/>
    <x v="21"/>
    <x v="8"/>
    <x v="1"/>
    <s v="Small"/>
    <n v="2"/>
    <n v="43"/>
    <n v="65.02"/>
    <n v="60"/>
    <n v="2795.86"/>
    <n v="215.86"/>
    <x v="167"/>
    <x v="0"/>
    <n v="2"/>
    <n v="5"/>
    <n v="2003"/>
    <x v="2"/>
  </r>
  <r>
    <n v="10140"/>
    <s v="S18_2432"/>
    <x v="0"/>
    <x v="0"/>
    <x v="0"/>
    <x v="0"/>
    <s v="Small"/>
    <n v="2"/>
    <n v="46"/>
    <n v="61.99"/>
    <n v="60"/>
    <n v="2851.54"/>
    <n v="91.54"/>
    <x v="168"/>
    <x v="0"/>
    <n v="3"/>
    <n v="7"/>
    <n v="2003"/>
    <x v="2"/>
  </r>
  <r>
    <n v="10194"/>
    <s v="S18_2432"/>
    <x v="73"/>
    <x v="59"/>
    <x v="3"/>
    <x v="1"/>
    <s v="Medium"/>
    <n v="2"/>
    <n v="45"/>
    <n v="70.489999999999995"/>
    <n v="60"/>
    <n v="3172.05"/>
    <n v="472.05"/>
    <x v="169"/>
    <x v="0"/>
    <n v="4"/>
    <n v="11"/>
    <n v="2003"/>
    <x v="2"/>
  </r>
  <r>
    <n v="10217"/>
    <s v="S18_2432"/>
    <x v="81"/>
    <x v="15"/>
    <x v="7"/>
    <x v="2"/>
    <s v="Small"/>
    <n v="2"/>
    <n v="35"/>
    <n v="61.38"/>
    <n v="60"/>
    <n v="2148.3000000000002"/>
    <n v="48.3"/>
    <x v="170"/>
    <x v="0"/>
    <n v="1"/>
    <n v="2"/>
    <n v="2004"/>
    <x v="2"/>
  </r>
  <r>
    <n v="10291"/>
    <s v="S18_2432"/>
    <x v="51"/>
    <x v="42"/>
    <x v="4"/>
    <x v="1"/>
    <s v="Small"/>
    <n v="2"/>
    <n v="26"/>
    <n v="57.73"/>
    <n v="60"/>
    <n v="1500.98"/>
    <n v="-59.02"/>
    <x v="171"/>
    <x v="0"/>
    <n v="3"/>
    <n v="9"/>
    <n v="2004"/>
    <x v="2"/>
  </r>
  <r>
    <n v="10106"/>
    <s v="S18_2581"/>
    <x v="67"/>
    <x v="54"/>
    <x v="12"/>
    <x v="1"/>
    <s v="Medium"/>
    <n v="2"/>
    <n v="34"/>
    <n v="90.39"/>
    <n v="84"/>
    <n v="3073.26"/>
    <n v="217.26"/>
    <x v="242"/>
    <x v="0"/>
    <n v="1"/>
    <n v="2"/>
    <n v="2003"/>
    <x v="4"/>
  </r>
  <r>
    <n v="10339"/>
    <s v="S18_2581"/>
    <x v="41"/>
    <x v="32"/>
    <x v="5"/>
    <x v="2"/>
    <s v="Small"/>
    <n v="2"/>
    <n v="27"/>
    <n v="100"/>
    <n v="84"/>
    <n v="2810.7"/>
    <n v="542.70000000000005"/>
    <x v="90"/>
    <x v="0"/>
    <n v="4"/>
    <n v="11"/>
    <n v="2004"/>
    <x v="4"/>
  </r>
  <r>
    <n v="10374"/>
    <s v="S18_2581"/>
    <x v="14"/>
    <x v="12"/>
    <x v="2"/>
    <x v="2"/>
    <s v="Small"/>
    <n v="2"/>
    <n v="42"/>
    <n v="69.27"/>
    <n v="84"/>
    <n v="2909.34"/>
    <n v="-618.66"/>
    <x v="15"/>
    <x v="0"/>
    <n v="1"/>
    <n v="2"/>
    <n v="2005"/>
    <x v="4"/>
  </r>
  <r>
    <n v="10236"/>
    <s v="S18_2625"/>
    <x v="9"/>
    <x v="8"/>
    <x v="0"/>
    <x v="0"/>
    <s v="Small"/>
    <n v="2"/>
    <n v="23"/>
    <n v="55.72"/>
    <n v="60"/>
    <n v="1281.56"/>
    <n v="-98.44"/>
    <x v="10"/>
    <x v="0"/>
    <n v="2"/>
    <n v="4"/>
    <n v="2004"/>
    <x v="0"/>
  </r>
  <r>
    <n v="10298"/>
    <s v="S18_2625"/>
    <x v="10"/>
    <x v="3"/>
    <x v="3"/>
    <x v="1"/>
    <s v="Small"/>
    <n v="2"/>
    <n v="32"/>
    <n v="48.46"/>
    <n v="60"/>
    <n v="1550.72"/>
    <n v="-369.28"/>
    <x v="11"/>
    <x v="0"/>
    <n v="3"/>
    <n v="9"/>
    <n v="2004"/>
    <x v="0"/>
  </r>
  <r>
    <n v="10402"/>
    <s v="S18_2625"/>
    <x v="11"/>
    <x v="9"/>
    <x v="3"/>
    <x v="1"/>
    <s v="Medium"/>
    <n v="2"/>
    <n v="55"/>
    <n v="55.72"/>
    <n v="60"/>
    <n v="3064.6"/>
    <n v="-235.4"/>
    <x v="12"/>
    <x v="0"/>
    <n v="2"/>
    <n v="4"/>
    <n v="2005"/>
    <x v="0"/>
  </r>
  <r>
    <n v="10125"/>
    <s v="S18_2795"/>
    <x v="2"/>
    <x v="2"/>
    <x v="2"/>
    <x v="2"/>
    <s v="Medium"/>
    <n v="2"/>
    <n v="34"/>
    <n v="100"/>
    <n v="168"/>
    <n v="6483.46"/>
    <n v="771.46"/>
    <x v="58"/>
    <x v="0"/>
    <n v="2"/>
    <n v="5"/>
    <n v="2003"/>
    <x v="3"/>
  </r>
  <r>
    <n v="10322"/>
    <s v="S18_2795"/>
    <x v="8"/>
    <x v="7"/>
    <x v="0"/>
    <x v="0"/>
    <s v="Medium"/>
    <n v="2"/>
    <n v="36"/>
    <n v="100"/>
    <n v="168"/>
    <n v="5797.44"/>
    <n v="-250.56"/>
    <x v="8"/>
    <x v="0"/>
    <n v="4"/>
    <n v="11"/>
    <n v="2004"/>
    <x v="3"/>
  </r>
  <r>
    <n v="10253"/>
    <s v="S18_2870"/>
    <x v="50"/>
    <x v="41"/>
    <x v="15"/>
    <x v="1"/>
    <s v="Medium"/>
    <n v="2"/>
    <n v="37"/>
    <n v="100"/>
    <n v="132"/>
    <n v="5177.04"/>
    <n v="293.04000000000002"/>
    <x v="65"/>
    <x v="3"/>
    <n v="2"/>
    <n v="6"/>
    <n v="2004"/>
    <x v="1"/>
  </r>
  <r>
    <n v="10366"/>
    <s v="S18_2870"/>
    <x v="54"/>
    <x v="43"/>
    <x v="17"/>
    <x v="1"/>
    <s v="Medium"/>
    <n v="2"/>
    <n v="49"/>
    <n v="100"/>
    <n v="132"/>
    <n v="6144.6"/>
    <n v="-323.39999999999998"/>
    <x v="114"/>
    <x v="0"/>
    <n v="1"/>
    <n v="1"/>
    <n v="2005"/>
    <x v="1"/>
  </r>
  <r>
    <n v="10419"/>
    <s v="S18_2870"/>
    <x v="32"/>
    <x v="26"/>
    <x v="11"/>
    <x v="1"/>
    <s v="Large"/>
    <n v="2"/>
    <n v="55"/>
    <n v="100"/>
    <n v="132"/>
    <n v="7695.6"/>
    <n v="435.6"/>
    <x v="67"/>
    <x v="0"/>
    <n v="2"/>
    <n v="5"/>
    <n v="2005"/>
    <x v="1"/>
  </r>
  <r>
    <n v="10112"/>
    <s v="S18_2949"/>
    <x v="6"/>
    <x v="6"/>
    <x v="4"/>
    <x v="1"/>
    <s v="Small"/>
    <n v="2"/>
    <n v="23"/>
    <n v="100"/>
    <n v="101"/>
    <n v="2539.89"/>
    <n v="216.89"/>
    <x v="6"/>
    <x v="0"/>
    <n v="1"/>
    <n v="3"/>
    <n v="2003"/>
    <x v="3"/>
  </r>
  <r>
    <n v="10163"/>
    <s v="S18_2949"/>
    <x v="7"/>
    <x v="5"/>
    <x v="0"/>
    <x v="0"/>
    <s v="Medium"/>
    <n v="2"/>
    <n v="31"/>
    <n v="100"/>
    <n v="101"/>
    <n v="3329.09"/>
    <n v="198.09"/>
    <x v="7"/>
    <x v="0"/>
    <n v="4"/>
    <n v="10"/>
    <n v="2003"/>
    <x v="3"/>
  </r>
  <r>
    <n v="10111"/>
    <s v="S18_2957"/>
    <x v="23"/>
    <x v="17"/>
    <x v="0"/>
    <x v="0"/>
    <s v="Small"/>
    <n v="2"/>
    <n v="28"/>
    <n v="64.33"/>
    <n v="62"/>
    <n v="1801.24"/>
    <n v="65.239999999999995"/>
    <x v="107"/>
    <x v="0"/>
    <n v="1"/>
    <n v="3"/>
    <n v="2003"/>
    <x v="3"/>
  </r>
  <r>
    <n v="10173"/>
    <s v="S18_2957"/>
    <x v="67"/>
    <x v="54"/>
    <x v="12"/>
    <x v="1"/>
    <s v="Small"/>
    <n v="2"/>
    <n v="28"/>
    <n v="53.72"/>
    <n v="62"/>
    <n v="1504.16"/>
    <n v="-231.84"/>
    <x v="80"/>
    <x v="0"/>
    <n v="4"/>
    <n v="11"/>
    <n v="2003"/>
    <x v="3"/>
  </r>
  <r>
    <n v="10130"/>
    <s v="S18_3029"/>
    <x v="76"/>
    <x v="25"/>
    <x v="0"/>
    <x v="0"/>
    <s v="Medium"/>
    <n v="2"/>
    <n v="40"/>
    <n v="96.34"/>
    <n v="86"/>
    <n v="3853.6"/>
    <n v="413.6"/>
    <x v="129"/>
    <x v="0"/>
    <n v="2"/>
    <n v="6"/>
    <n v="2003"/>
    <x v="5"/>
  </r>
  <r>
    <n v="10273"/>
    <s v="S18_3029"/>
    <x v="66"/>
    <x v="53"/>
    <x v="17"/>
    <x v="1"/>
    <s v="Medium"/>
    <n v="2"/>
    <n v="34"/>
    <n v="98.06"/>
    <n v="86"/>
    <n v="3334.04"/>
    <n v="410.04"/>
    <x v="70"/>
    <x v="0"/>
    <n v="3"/>
    <n v="7"/>
    <n v="2004"/>
    <x v="5"/>
  </r>
  <r>
    <n v="10139"/>
    <s v="S18_3136"/>
    <x v="64"/>
    <x v="51"/>
    <x v="2"/>
    <x v="2"/>
    <s v="Small"/>
    <n v="2"/>
    <n v="20"/>
    <n v="90.06"/>
    <n v="104"/>
    <n v="1801.2"/>
    <n v="-278.8"/>
    <x v="100"/>
    <x v="0"/>
    <n v="3"/>
    <n v="7"/>
    <n v="2003"/>
    <x v="3"/>
  </r>
  <r>
    <n v="10193"/>
    <s v="S18_3136"/>
    <x v="65"/>
    <x v="52"/>
    <x v="2"/>
    <x v="2"/>
    <s v="Small"/>
    <n v="2"/>
    <n v="23"/>
    <n v="100"/>
    <n v="104"/>
    <n v="2769.89"/>
    <n v="377.89"/>
    <x v="101"/>
    <x v="0"/>
    <n v="4"/>
    <n v="11"/>
    <n v="2003"/>
    <x v="3"/>
  </r>
  <r>
    <n v="10244"/>
    <s v="S18_3136"/>
    <x v="26"/>
    <x v="21"/>
    <x v="8"/>
    <x v="1"/>
    <s v="Medium"/>
    <n v="2"/>
    <n v="29"/>
    <n v="100"/>
    <n v="104"/>
    <n v="3340.51"/>
    <n v="324.51"/>
    <x v="102"/>
    <x v="0"/>
    <n v="2"/>
    <n v="4"/>
    <n v="2004"/>
    <x v="3"/>
  </r>
  <r>
    <n v="10257"/>
    <s v="S18_3136"/>
    <x v="55"/>
    <x v="44"/>
    <x v="0"/>
    <x v="0"/>
    <s v="Medium"/>
    <n v="2"/>
    <n v="37"/>
    <n v="84.82"/>
    <n v="104"/>
    <n v="3138.34"/>
    <n v="-709.66"/>
    <x v="103"/>
    <x v="0"/>
    <n v="2"/>
    <n v="6"/>
    <n v="2004"/>
    <x v="3"/>
  </r>
  <r>
    <n v="10392"/>
    <s v="S18_3136"/>
    <x v="74"/>
    <x v="60"/>
    <x v="11"/>
    <x v="1"/>
    <s v="Small"/>
    <n v="2"/>
    <n v="29"/>
    <n v="86.92"/>
    <n v="104"/>
    <n v="2520.6799999999998"/>
    <n v="-495.32"/>
    <x v="119"/>
    <x v="0"/>
    <n v="1"/>
    <n v="3"/>
    <n v="2005"/>
    <x v="3"/>
  </r>
  <r>
    <n v="10423"/>
    <s v="S18_3136"/>
    <x v="66"/>
    <x v="53"/>
    <x v="17"/>
    <x v="1"/>
    <s v="Small"/>
    <n v="2"/>
    <n v="21"/>
    <n v="84.82"/>
    <n v="104"/>
    <n v="1781.22"/>
    <n v="-402.78"/>
    <x v="64"/>
    <x v="2"/>
    <n v="2"/>
    <n v="5"/>
    <n v="2005"/>
    <x v="3"/>
  </r>
  <r>
    <n v="10128"/>
    <s v="S18_3140"/>
    <x v="26"/>
    <x v="21"/>
    <x v="8"/>
    <x v="1"/>
    <s v="Medium"/>
    <n v="2"/>
    <n v="41"/>
    <n v="100"/>
    <n v="136"/>
    <n v="5544.02"/>
    <n v="-31.98"/>
    <x v="137"/>
    <x v="0"/>
    <n v="2"/>
    <n v="6"/>
    <n v="2003"/>
    <x v="3"/>
  </r>
  <r>
    <n v="10166"/>
    <s v="S18_3140"/>
    <x v="78"/>
    <x v="40"/>
    <x v="0"/>
    <x v="0"/>
    <s v="Medium"/>
    <n v="2"/>
    <n v="43"/>
    <n v="100"/>
    <n v="136"/>
    <n v="6930.74"/>
    <n v="1082.74"/>
    <x v="138"/>
    <x v="0"/>
    <n v="4"/>
    <n v="10"/>
    <n v="2003"/>
    <x v="3"/>
  </r>
  <r>
    <n v="10396"/>
    <s v="S18_3140"/>
    <x v="43"/>
    <x v="34"/>
    <x v="0"/>
    <x v="0"/>
    <s v="Medium"/>
    <n v="2"/>
    <n v="33"/>
    <n v="100"/>
    <n v="136"/>
    <n v="5273.73"/>
    <n v="785.73"/>
    <x v="229"/>
    <x v="0"/>
    <n v="1"/>
    <n v="3"/>
    <n v="2005"/>
    <x v="3"/>
  </r>
  <r>
    <n v="10225"/>
    <s v="S18_3232"/>
    <x v="48"/>
    <x v="39"/>
    <x v="16"/>
    <x v="1"/>
    <s v="Medium"/>
    <n v="2"/>
    <n v="43"/>
    <n v="100"/>
    <n v="169"/>
    <n v="6407.86"/>
    <n v="-859.14"/>
    <x v="56"/>
    <x v="0"/>
    <n v="1"/>
    <n v="2"/>
    <n v="2004"/>
    <x v="1"/>
  </r>
  <r>
    <n v="10350"/>
    <s v="S18_3259"/>
    <x v="26"/>
    <x v="21"/>
    <x v="8"/>
    <x v="1"/>
    <s v="Medium"/>
    <n v="2"/>
    <n v="41"/>
    <n v="93.04"/>
    <n v="100"/>
    <n v="3814.64"/>
    <n v="-285.36"/>
    <x v="111"/>
    <x v="0"/>
    <n v="4"/>
    <n v="12"/>
    <n v="2004"/>
    <x v="6"/>
  </r>
  <r>
    <n v="10252"/>
    <s v="S18_3278"/>
    <x v="11"/>
    <x v="9"/>
    <x v="3"/>
    <x v="1"/>
    <s v="Small"/>
    <n v="2"/>
    <n v="20"/>
    <n v="76.39"/>
    <n v="80"/>
    <n v="1527.8"/>
    <n v="-72.2"/>
    <x v="120"/>
    <x v="0"/>
    <n v="2"/>
    <n v="5"/>
    <n v="2004"/>
    <x v="1"/>
  </r>
  <r>
    <n v="10265"/>
    <s v="S18_3278"/>
    <x v="65"/>
    <x v="52"/>
    <x v="2"/>
    <x v="2"/>
    <s v="Medium"/>
    <n v="2"/>
    <n v="45"/>
    <n v="86.84"/>
    <n v="80"/>
    <n v="3907.8"/>
    <n v="307.8"/>
    <x v="121"/>
    <x v="0"/>
    <n v="3"/>
    <n v="7"/>
    <n v="2004"/>
    <x v="1"/>
  </r>
  <r>
    <n v="10149"/>
    <s v="S18_3320"/>
    <x v="58"/>
    <x v="47"/>
    <x v="0"/>
    <x v="0"/>
    <s v="Medium"/>
    <n v="2"/>
    <n v="42"/>
    <n v="94.25"/>
    <n v="99"/>
    <n v="3958.5"/>
    <n v="-199.5"/>
    <x v="198"/>
    <x v="0"/>
    <n v="3"/>
    <n v="9"/>
    <n v="2003"/>
    <x v="3"/>
  </r>
  <r>
    <n v="10290"/>
    <s v="S18_3320"/>
    <x v="76"/>
    <x v="25"/>
    <x v="0"/>
    <x v="0"/>
    <s v="Small"/>
    <n v="2"/>
    <n v="26"/>
    <n v="96.23"/>
    <n v="99"/>
    <n v="2501.98"/>
    <n v="-72.02"/>
    <x v="199"/>
    <x v="0"/>
    <n v="3"/>
    <n v="9"/>
    <n v="2004"/>
    <x v="3"/>
  </r>
  <r>
    <n v="10323"/>
    <s v="S18_3320"/>
    <x v="27"/>
    <x v="22"/>
    <x v="9"/>
    <x v="1"/>
    <s v="Medium"/>
    <n v="2"/>
    <n v="33"/>
    <n v="91.27"/>
    <n v="99"/>
    <n v="3011.91"/>
    <n v="-255.09"/>
    <x v="33"/>
    <x v="0"/>
    <n v="4"/>
    <n v="11"/>
    <n v="2004"/>
    <x v="3"/>
  </r>
  <r>
    <n v="10333"/>
    <s v="S18_3320"/>
    <x v="23"/>
    <x v="17"/>
    <x v="0"/>
    <x v="0"/>
    <s v="Large"/>
    <n v="2"/>
    <n v="46"/>
    <n v="100"/>
    <n v="99"/>
    <n v="11336.7"/>
    <n v="6782.7"/>
    <x v="200"/>
    <x v="0"/>
    <n v="4"/>
    <n v="11"/>
    <n v="2004"/>
    <x v="3"/>
  </r>
  <r>
    <n v="10109"/>
    <s v="S18_3685"/>
    <x v="9"/>
    <x v="8"/>
    <x v="0"/>
    <x v="0"/>
    <s v="Medium"/>
    <n v="2"/>
    <n v="47"/>
    <n v="100"/>
    <n v="141"/>
    <n v="6241.6"/>
    <n v="-385.4"/>
    <x v="98"/>
    <x v="0"/>
    <n v="1"/>
    <n v="3"/>
    <n v="2003"/>
    <x v="1"/>
  </r>
  <r>
    <n v="10287"/>
    <s v="S18_3685"/>
    <x v="48"/>
    <x v="39"/>
    <x v="16"/>
    <x v="1"/>
    <s v="Medium"/>
    <n v="2"/>
    <n v="27"/>
    <n v="100"/>
    <n v="141"/>
    <n v="4310.55"/>
    <n v="503.55"/>
    <x v="99"/>
    <x v="0"/>
    <n v="3"/>
    <n v="8"/>
    <n v="2004"/>
    <x v="1"/>
  </r>
  <r>
    <n v="10343"/>
    <s v="S18_3685"/>
    <x v="82"/>
    <x v="64"/>
    <x v="3"/>
    <x v="1"/>
    <s v="Medium"/>
    <n v="2"/>
    <n v="44"/>
    <n v="84.88"/>
    <n v="141"/>
    <n v="3734.72"/>
    <n v="-2469.2800000000002"/>
    <x v="38"/>
    <x v="0"/>
    <n v="4"/>
    <n v="11"/>
    <n v="2004"/>
    <x v="1"/>
  </r>
  <r>
    <n v="10146"/>
    <s v="S18_3782"/>
    <x v="61"/>
    <x v="27"/>
    <x v="0"/>
    <x v="0"/>
    <s v="Medium"/>
    <n v="2"/>
    <n v="47"/>
    <n v="67.14"/>
    <n v="62"/>
    <n v="3155.58"/>
    <n v="241.58"/>
    <x v="141"/>
    <x v="0"/>
    <n v="3"/>
    <n v="9"/>
    <n v="2003"/>
    <x v="0"/>
  </r>
  <r>
    <n v="10330"/>
    <s v="S18_3782"/>
    <x v="85"/>
    <x v="67"/>
    <x v="18"/>
    <x v="2"/>
    <s v="Small"/>
    <n v="2"/>
    <n v="29"/>
    <n v="69.63"/>
    <n v="62"/>
    <n v="2019.27"/>
    <n v="221.27"/>
    <x v="172"/>
    <x v="0"/>
    <n v="4"/>
    <n v="11"/>
    <n v="2004"/>
    <x v="0"/>
  </r>
  <r>
    <n v="10390"/>
    <s v="S18_3782"/>
    <x v="43"/>
    <x v="34"/>
    <x v="0"/>
    <x v="0"/>
    <s v="Medium"/>
    <n v="2"/>
    <n v="36"/>
    <n v="100"/>
    <n v="62"/>
    <n v="5079.96"/>
    <n v="2847.96"/>
    <x v="122"/>
    <x v="0"/>
    <n v="1"/>
    <n v="3"/>
    <n v="2005"/>
    <x v="0"/>
  </r>
  <r>
    <n v="10338"/>
    <s v="S18_3856"/>
    <x v="54"/>
    <x v="43"/>
    <x v="17"/>
    <x v="1"/>
    <s v="Medium"/>
    <n v="2"/>
    <n v="45"/>
    <n v="100"/>
    <n v="105"/>
    <n v="5526.45"/>
    <n v="801.45"/>
    <x v="72"/>
    <x v="0"/>
    <n v="4"/>
    <n v="11"/>
    <n v="2004"/>
    <x v="3"/>
  </r>
  <r>
    <n v="10351"/>
    <s v="S18_3856"/>
    <x v="42"/>
    <x v="33"/>
    <x v="15"/>
    <x v="1"/>
    <s v="Medium"/>
    <n v="2"/>
    <n v="20"/>
    <n v="100"/>
    <n v="105"/>
    <n v="3374.6"/>
    <n v="1274.5999999999999"/>
    <x v="73"/>
    <x v="0"/>
    <n v="4"/>
    <n v="12"/>
    <n v="2004"/>
    <x v="3"/>
  </r>
  <r>
    <n v="10292"/>
    <s v="S18_4027"/>
    <x v="5"/>
    <x v="5"/>
    <x v="0"/>
    <x v="0"/>
    <s v="Large"/>
    <n v="2"/>
    <n v="44"/>
    <n v="100"/>
    <n v="143"/>
    <n v="7140.76"/>
    <n v="848.76"/>
    <x v="171"/>
    <x v="0"/>
    <n v="3"/>
    <n v="9"/>
    <n v="2004"/>
    <x v="1"/>
  </r>
  <r>
    <n v="10302"/>
    <s v="S18_4409"/>
    <x v="50"/>
    <x v="41"/>
    <x v="15"/>
    <x v="1"/>
    <s v="Medium"/>
    <n v="2"/>
    <n v="38"/>
    <n v="89.27"/>
    <n v="92"/>
    <n v="3392.26"/>
    <n v="-103.74"/>
    <x v="75"/>
    <x v="0"/>
    <n v="4"/>
    <n v="10"/>
    <n v="2003"/>
    <x v="3"/>
  </r>
  <r>
    <n v="10332"/>
    <s v="S18_4409"/>
    <x v="62"/>
    <x v="50"/>
    <x v="15"/>
    <x v="1"/>
    <s v="Large"/>
    <n v="2"/>
    <n v="50"/>
    <n v="100"/>
    <n v="92"/>
    <n v="7310"/>
    <n v="2710"/>
    <x v="95"/>
    <x v="0"/>
    <n v="4"/>
    <n v="11"/>
    <n v="2004"/>
    <x v="3"/>
  </r>
  <r>
    <n v="10221"/>
    <s v="S18_4522"/>
    <x v="66"/>
    <x v="53"/>
    <x v="17"/>
    <x v="1"/>
    <s v="Medium"/>
    <n v="2"/>
    <n v="39"/>
    <n v="89.53"/>
    <n v="87"/>
    <n v="3491.67"/>
    <n v="98.67"/>
    <x v="164"/>
    <x v="0"/>
    <n v="1"/>
    <n v="2"/>
    <n v="2004"/>
    <x v="3"/>
  </r>
  <r>
    <n v="10337"/>
    <s v="S18_4522"/>
    <x v="7"/>
    <x v="5"/>
    <x v="0"/>
    <x v="0"/>
    <s v="Medium"/>
    <n v="2"/>
    <n v="29"/>
    <n v="100"/>
    <n v="87"/>
    <n v="4498.1899999999996"/>
    <n v="1975.19"/>
    <x v="245"/>
    <x v="0"/>
    <n v="4"/>
    <n v="11"/>
    <n v="2004"/>
    <x v="3"/>
  </r>
  <r>
    <n v="10150"/>
    <s v="S18_4600"/>
    <x v="17"/>
    <x v="15"/>
    <x v="7"/>
    <x v="2"/>
    <s v="Medium"/>
    <n v="2"/>
    <n v="49"/>
    <n v="100"/>
    <n v="121"/>
    <n v="6467.02"/>
    <n v="538.02"/>
    <x v="18"/>
    <x v="0"/>
    <n v="3"/>
    <n v="9"/>
    <n v="2003"/>
    <x v="2"/>
  </r>
  <r>
    <n v="10183"/>
    <s v="S18_4600"/>
    <x v="18"/>
    <x v="8"/>
    <x v="0"/>
    <x v="0"/>
    <s v="Small"/>
    <n v="2"/>
    <n v="21"/>
    <n v="100"/>
    <n v="121"/>
    <n v="2441.04"/>
    <n v="-99.96"/>
    <x v="19"/>
    <x v="0"/>
    <n v="4"/>
    <n v="11"/>
    <n v="2003"/>
    <x v="2"/>
  </r>
  <r>
    <n v="10357"/>
    <s v="S18_4600"/>
    <x v="43"/>
    <x v="34"/>
    <x v="0"/>
    <x v="0"/>
    <s v="Medium"/>
    <n v="2"/>
    <n v="28"/>
    <n v="100"/>
    <n v="121"/>
    <n v="3559.64"/>
    <n v="171.64"/>
    <x v="54"/>
    <x v="0"/>
    <n v="4"/>
    <n v="12"/>
    <n v="2004"/>
    <x v="2"/>
  </r>
  <r>
    <n v="10174"/>
    <s v="S18_4668"/>
    <x v="14"/>
    <x v="12"/>
    <x v="2"/>
    <x v="2"/>
    <s v="Small"/>
    <n v="2"/>
    <n v="49"/>
    <n v="44.78"/>
    <n v="50"/>
    <n v="2194.2199999999998"/>
    <n v="-255.78"/>
    <x v="21"/>
    <x v="0"/>
    <n v="4"/>
    <n v="11"/>
    <n v="2003"/>
    <x v="3"/>
  </r>
  <r>
    <n v="10370"/>
    <s v="S18_4668"/>
    <x v="47"/>
    <x v="38"/>
    <x v="2"/>
    <x v="2"/>
    <s v="Small"/>
    <n v="2"/>
    <n v="20"/>
    <n v="100"/>
    <n v="50"/>
    <n v="2730"/>
    <n v="1730"/>
    <x v="55"/>
    <x v="0"/>
    <n v="1"/>
    <n v="1"/>
    <n v="2005"/>
    <x v="3"/>
  </r>
  <r>
    <n v="10382"/>
    <s v="S18_4668"/>
    <x v="43"/>
    <x v="34"/>
    <x v="0"/>
    <x v="0"/>
    <s v="Large"/>
    <n v="2"/>
    <n v="39"/>
    <n v="100"/>
    <n v="50"/>
    <n v="7827.3"/>
    <n v="5877.3"/>
    <x v="23"/>
    <x v="0"/>
    <n v="1"/>
    <n v="2"/>
    <n v="2005"/>
    <x v="3"/>
  </r>
  <r>
    <n v="10180"/>
    <s v="S18_4721"/>
    <x v="75"/>
    <x v="61"/>
    <x v="3"/>
    <x v="1"/>
    <s v="Medium"/>
    <n v="2"/>
    <n v="44"/>
    <n v="100"/>
    <n v="148"/>
    <n v="5565.12"/>
    <n v="-946.88"/>
    <x v="202"/>
    <x v="0"/>
    <n v="4"/>
    <n v="11"/>
    <n v="2003"/>
    <x v="1"/>
  </r>
  <r>
    <n v="10264"/>
    <s v="S18_4721"/>
    <x v="16"/>
    <x v="14"/>
    <x v="0"/>
    <x v="0"/>
    <s v="Small"/>
    <n v="2"/>
    <n v="20"/>
    <n v="100"/>
    <n v="148"/>
    <n v="2410.6"/>
    <n v="-549.4"/>
    <x v="203"/>
    <x v="0"/>
    <n v="2"/>
    <n v="6"/>
    <n v="2004"/>
    <x v="1"/>
  </r>
  <r>
    <n v="10299"/>
    <s v="S18_4721"/>
    <x v="44"/>
    <x v="35"/>
    <x v="14"/>
    <x v="1"/>
    <s v="Large"/>
    <n v="2"/>
    <n v="49"/>
    <n v="100"/>
    <n v="148"/>
    <n v="7947.31"/>
    <n v="695.31"/>
    <x v="204"/>
    <x v="0"/>
    <n v="3"/>
    <n v="9"/>
    <n v="2004"/>
    <x v="1"/>
  </r>
  <r>
    <n v="10355"/>
    <s v="S18_4721"/>
    <x v="26"/>
    <x v="21"/>
    <x v="8"/>
    <x v="1"/>
    <s v="Medium"/>
    <n v="2"/>
    <n v="25"/>
    <n v="100"/>
    <n v="148"/>
    <n v="4203.5"/>
    <n v="503.5"/>
    <x v="127"/>
    <x v="0"/>
    <n v="4"/>
    <n v="12"/>
    <n v="2004"/>
    <x v="1"/>
  </r>
  <r>
    <n v="10148"/>
    <s v="S18_4933"/>
    <x v="47"/>
    <x v="38"/>
    <x v="2"/>
    <x v="2"/>
    <s v="Small"/>
    <n v="2"/>
    <n v="29"/>
    <n v="81.25"/>
    <n v="71"/>
    <n v="2356.25"/>
    <n v="297.25"/>
    <x v="134"/>
    <x v="0"/>
    <n v="3"/>
    <n v="9"/>
    <n v="2003"/>
    <x v="1"/>
  </r>
  <r>
    <n v="10213"/>
    <s v="S18_4933"/>
    <x v="52"/>
    <x v="33"/>
    <x v="15"/>
    <x v="1"/>
    <s v="Small"/>
    <n v="2"/>
    <n v="25"/>
    <n v="83.39"/>
    <n v="71"/>
    <n v="2084.75"/>
    <n v="309.75"/>
    <x v="135"/>
    <x v="0"/>
    <n v="1"/>
    <n v="1"/>
    <n v="2004"/>
    <x v="1"/>
  </r>
  <r>
    <n v="10311"/>
    <s v="S18_4933"/>
    <x v="26"/>
    <x v="21"/>
    <x v="8"/>
    <x v="1"/>
    <s v="Small"/>
    <n v="2"/>
    <n v="25"/>
    <n v="66.989999999999995"/>
    <n v="71"/>
    <n v="1674.75"/>
    <n v="-100.25"/>
    <x v="81"/>
    <x v="0"/>
    <n v="4"/>
    <n v="10"/>
    <n v="2004"/>
    <x v="1"/>
  </r>
  <r>
    <n v="10380"/>
    <s v="S18_4933"/>
    <x v="26"/>
    <x v="21"/>
    <x v="8"/>
    <x v="1"/>
    <s v="Medium"/>
    <n v="2"/>
    <n v="24"/>
    <n v="100"/>
    <n v="71"/>
    <n v="4536"/>
    <n v="2832"/>
    <x v="136"/>
    <x v="0"/>
    <n v="1"/>
    <n v="2"/>
    <n v="2005"/>
    <x v="1"/>
  </r>
  <r>
    <n v="10115"/>
    <s v="S24_1444"/>
    <x v="7"/>
    <x v="5"/>
    <x v="0"/>
    <x v="0"/>
    <s v="Medium"/>
    <n v="2"/>
    <n v="47"/>
    <n v="69.36"/>
    <n v="57"/>
    <n v="3259.92"/>
    <n v="580.91999999999996"/>
    <x v="194"/>
    <x v="0"/>
    <n v="2"/>
    <n v="4"/>
    <n v="2003"/>
    <x v="1"/>
  </r>
  <r>
    <n v="10141"/>
    <s v="S24_1444"/>
    <x v="38"/>
    <x v="30"/>
    <x v="14"/>
    <x v="1"/>
    <s v="Small"/>
    <n v="2"/>
    <n v="20"/>
    <n v="54.33"/>
    <n v="57"/>
    <n v="1086.5999999999999"/>
    <n v="-53.4"/>
    <x v="195"/>
    <x v="0"/>
    <n v="3"/>
    <n v="8"/>
    <n v="2003"/>
    <x v="1"/>
  </r>
  <r>
    <n v="10246"/>
    <s v="S24_1444"/>
    <x v="26"/>
    <x v="21"/>
    <x v="8"/>
    <x v="1"/>
    <s v="Small"/>
    <n v="2"/>
    <n v="44"/>
    <n v="52.6"/>
    <n v="57"/>
    <n v="2314.4"/>
    <n v="-193.6"/>
    <x v="43"/>
    <x v="0"/>
    <n v="2"/>
    <n v="5"/>
    <n v="2004"/>
    <x v="1"/>
  </r>
  <r>
    <n v="10271"/>
    <s v="S24_1444"/>
    <x v="43"/>
    <x v="34"/>
    <x v="0"/>
    <x v="0"/>
    <s v="Small"/>
    <n v="2"/>
    <n v="45"/>
    <n v="64.739999999999995"/>
    <n v="57"/>
    <n v="2913.3"/>
    <n v="348.3"/>
    <x v="44"/>
    <x v="0"/>
    <n v="3"/>
    <n v="7"/>
    <n v="2004"/>
    <x v="1"/>
  </r>
  <r>
    <n v="10305"/>
    <s v="S24_1444"/>
    <x v="87"/>
    <x v="36"/>
    <x v="0"/>
    <x v="0"/>
    <s v="Small"/>
    <n v="2"/>
    <n v="45"/>
    <n v="61.85"/>
    <n v="57"/>
    <n v="2783.25"/>
    <n v="218.25"/>
    <x v="196"/>
    <x v="0"/>
    <n v="4"/>
    <n v="10"/>
    <n v="2004"/>
    <x v="1"/>
  </r>
  <r>
    <n v="10383"/>
    <s v="S24_1444"/>
    <x v="26"/>
    <x v="21"/>
    <x v="8"/>
    <x v="1"/>
    <s v="Small"/>
    <n v="2"/>
    <n v="22"/>
    <n v="91.76"/>
    <n v="57"/>
    <n v="2018.72"/>
    <n v="764.72"/>
    <x v="132"/>
    <x v="0"/>
    <n v="1"/>
    <n v="2"/>
    <n v="2005"/>
    <x v="1"/>
  </r>
  <r>
    <n v="10394"/>
    <s v="S24_1444"/>
    <x v="26"/>
    <x v="21"/>
    <x v="8"/>
    <x v="1"/>
    <s v="Small"/>
    <n v="2"/>
    <n v="31"/>
    <n v="50.29"/>
    <n v="57"/>
    <n v="1558.99"/>
    <n v="-208.01"/>
    <x v="133"/>
    <x v="0"/>
    <n v="1"/>
    <n v="3"/>
    <n v="2005"/>
    <x v="1"/>
  </r>
  <r>
    <n v="10412"/>
    <s v="S24_1444"/>
    <x v="26"/>
    <x v="21"/>
    <x v="8"/>
    <x v="1"/>
    <s v="Small"/>
    <n v="2"/>
    <n v="21"/>
    <n v="52.6"/>
    <n v="57"/>
    <n v="1104.5999999999999"/>
    <n v="-92.4"/>
    <x v="197"/>
    <x v="0"/>
    <n v="2"/>
    <n v="5"/>
    <n v="2005"/>
    <x v="1"/>
  </r>
  <r>
    <n v="10168"/>
    <s v="S24_1578"/>
    <x v="0"/>
    <x v="0"/>
    <x v="0"/>
    <x v="0"/>
    <s v="Medium"/>
    <n v="2"/>
    <n v="50"/>
    <n v="100"/>
    <n v="112"/>
    <n v="5747.5"/>
    <n v="147.5"/>
    <x v="0"/>
    <x v="0"/>
    <n v="4"/>
    <n v="10"/>
    <n v="2003"/>
    <x v="0"/>
  </r>
  <r>
    <n v="10188"/>
    <s v="S24_1578"/>
    <x v="1"/>
    <x v="1"/>
    <x v="1"/>
    <x v="1"/>
    <s v="Small"/>
    <n v="2"/>
    <n v="25"/>
    <n v="100"/>
    <n v="112"/>
    <n v="2535.75"/>
    <n v="-264.25"/>
    <x v="1"/>
    <x v="0"/>
    <n v="4"/>
    <n v="11"/>
    <n v="2003"/>
    <x v="0"/>
  </r>
  <r>
    <n v="10223"/>
    <s v="S24_1578"/>
    <x v="2"/>
    <x v="2"/>
    <x v="2"/>
    <x v="2"/>
    <s v="Small"/>
    <n v="2"/>
    <n v="32"/>
    <n v="91.29"/>
    <n v="112"/>
    <n v="2921.28"/>
    <n v="-662.72"/>
    <x v="2"/>
    <x v="0"/>
    <n v="1"/>
    <n v="2"/>
    <n v="2004"/>
    <x v="0"/>
  </r>
  <r>
    <n v="10275"/>
    <s v="S24_1578"/>
    <x v="3"/>
    <x v="3"/>
    <x v="3"/>
    <x v="1"/>
    <s v="Small"/>
    <n v="2"/>
    <n v="21"/>
    <n v="100"/>
    <n v="112"/>
    <n v="2153.7600000000002"/>
    <n v="-198.24"/>
    <x v="3"/>
    <x v="0"/>
    <n v="3"/>
    <n v="7"/>
    <n v="2004"/>
    <x v="0"/>
  </r>
  <r>
    <n v="10318"/>
    <s v="S24_1578"/>
    <x v="4"/>
    <x v="4"/>
    <x v="0"/>
    <x v="0"/>
    <s v="Medium"/>
    <n v="2"/>
    <n v="48"/>
    <n v="100"/>
    <n v="112"/>
    <n v="6437.28"/>
    <n v="1061.28"/>
    <x v="4"/>
    <x v="0"/>
    <n v="4"/>
    <n v="11"/>
    <n v="2004"/>
    <x v="0"/>
  </r>
  <r>
    <n v="10362"/>
    <s v="S24_1578"/>
    <x v="0"/>
    <x v="0"/>
    <x v="0"/>
    <x v="0"/>
    <s v="Medium"/>
    <n v="2"/>
    <n v="50"/>
    <n v="96.92"/>
    <n v="112"/>
    <n v="4846"/>
    <n v="-754"/>
    <x v="29"/>
    <x v="0"/>
    <n v="1"/>
    <n v="1"/>
    <n v="2005"/>
    <x v="0"/>
  </r>
  <r>
    <n v="10353"/>
    <s v="S24_1785"/>
    <x v="61"/>
    <x v="27"/>
    <x v="0"/>
    <x v="0"/>
    <s v="Small"/>
    <n v="2"/>
    <n v="28"/>
    <n v="71.73"/>
    <n v="109"/>
    <n v="2008.44"/>
    <n v="-1043.56"/>
    <x v="89"/>
    <x v="0"/>
    <n v="4"/>
    <n v="12"/>
    <n v="2004"/>
    <x v="4"/>
  </r>
  <r>
    <n v="10124"/>
    <s v="S24_1937"/>
    <x v="83"/>
    <x v="65"/>
    <x v="0"/>
    <x v="0"/>
    <s v="Small"/>
    <n v="2"/>
    <n v="45"/>
    <n v="37.840000000000003"/>
    <n v="33"/>
    <n v="1702.8"/>
    <n v="217.8"/>
    <x v="58"/>
    <x v="0"/>
    <n v="2"/>
    <n v="5"/>
    <n v="2003"/>
    <x v="3"/>
  </r>
  <r>
    <n v="10389"/>
    <s v="S24_2000"/>
    <x v="51"/>
    <x v="42"/>
    <x v="4"/>
    <x v="1"/>
    <s v="Medium"/>
    <n v="2"/>
    <n v="49"/>
    <n v="81.400000000000006"/>
    <n v="76"/>
    <n v="3988.6"/>
    <n v="264.60000000000002"/>
    <x v="150"/>
    <x v="0"/>
    <n v="1"/>
    <n v="3"/>
    <n v="2005"/>
    <x v="0"/>
  </r>
  <r>
    <n v="10293"/>
    <s v="S24_2011"/>
    <x v="46"/>
    <x v="37"/>
    <x v="12"/>
    <x v="1"/>
    <s v="Small"/>
    <n v="2"/>
    <n v="21"/>
    <n v="100"/>
    <n v="122"/>
    <n v="2941.89"/>
    <n v="379.89"/>
    <x v="249"/>
    <x v="0"/>
    <n v="3"/>
    <n v="9"/>
    <n v="2004"/>
    <x v="5"/>
  </r>
  <r>
    <n v="10101"/>
    <s v="S24_2022"/>
    <x v="27"/>
    <x v="22"/>
    <x v="9"/>
    <x v="1"/>
    <s v="Small"/>
    <n v="2"/>
    <n v="46"/>
    <n v="53.76"/>
    <n v="44"/>
    <n v="2472.96"/>
    <n v="448.96"/>
    <x v="91"/>
    <x v="0"/>
    <n v="1"/>
    <n v="1"/>
    <n v="2003"/>
    <x v="3"/>
  </r>
  <r>
    <n v="10110"/>
    <s v="S24_2022"/>
    <x v="62"/>
    <x v="50"/>
    <x v="15"/>
    <x v="1"/>
    <s v="Small"/>
    <n v="2"/>
    <n v="39"/>
    <n v="44.35"/>
    <n v="44"/>
    <n v="1729.65"/>
    <n v="13.65"/>
    <x v="92"/>
    <x v="0"/>
    <n v="1"/>
    <n v="3"/>
    <n v="2003"/>
    <x v="3"/>
  </r>
  <r>
    <n v="10214"/>
    <s v="S24_2022"/>
    <x v="63"/>
    <x v="21"/>
    <x v="8"/>
    <x v="1"/>
    <s v="Small"/>
    <n v="2"/>
    <n v="49"/>
    <n v="47.94"/>
    <n v="44"/>
    <n v="2349.06"/>
    <n v="193.06"/>
    <x v="93"/>
    <x v="0"/>
    <n v="1"/>
    <n v="1"/>
    <n v="2004"/>
    <x v="3"/>
  </r>
  <r>
    <n v="10255"/>
    <s v="S24_2022"/>
    <x v="59"/>
    <x v="48"/>
    <x v="3"/>
    <x v="1"/>
    <s v="Small"/>
    <n v="2"/>
    <n v="37"/>
    <n v="45.7"/>
    <n v="44"/>
    <n v="1690.9"/>
    <n v="62.9"/>
    <x v="94"/>
    <x v="0"/>
    <n v="2"/>
    <n v="6"/>
    <n v="2004"/>
    <x v="3"/>
  </r>
  <r>
    <n v="10421"/>
    <s v="S24_2022"/>
    <x v="43"/>
    <x v="34"/>
    <x v="0"/>
    <x v="0"/>
    <s v="Small"/>
    <n v="2"/>
    <n v="40"/>
    <n v="45.7"/>
    <n v="44"/>
    <n v="1828"/>
    <n v="68"/>
    <x v="97"/>
    <x v="2"/>
    <n v="2"/>
    <n v="5"/>
    <n v="2005"/>
    <x v="3"/>
  </r>
  <r>
    <n v="10324"/>
    <s v="S24_2300"/>
    <x v="28"/>
    <x v="5"/>
    <x v="0"/>
    <x v="0"/>
    <s v="Medium"/>
    <n v="2"/>
    <n v="31"/>
    <n v="100"/>
    <n v="127"/>
    <n v="3820.44"/>
    <n v="-116.56"/>
    <x v="33"/>
    <x v="0"/>
    <n v="4"/>
    <n v="11"/>
    <n v="2004"/>
    <x v="2"/>
  </r>
  <r>
    <n v="10121"/>
    <s v="S24_2360"/>
    <x v="82"/>
    <x v="64"/>
    <x v="3"/>
    <x v="1"/>
    <s v="Small"/>
    <n v="2"/>
    <n v="32"/>
    <n v="76.88"/>
    <n v="69"/>
    <n v="2460.16"/>
    <n v="252.16"/>
    <x v="225"/>
    <x v="0"/>
    <n v="2"/>
    <n v="5"/>
    <n v="2003"/>
    <x v="0"/>
  </r>
  <r>
    <n v="10309"/>
    <s v="S24_2360"/>
    <x v="39"/>
    <x v="31"/>
    <x v="1"/>
    <x v="1"/>
    <s v="Small"/>
    <n v="2"/>
    <n v="24"/>
    <n v="56.1"/>
    <n v="69"/>
    <n v="1346.4"/>
    <n v="-309.60000000000002"/>
    <x v="14"/>
    <x v="0"/>
    <n v="4"/>
    <n v="10"/>
    <n v="2004"/>
    <x v="0"/>
  </r>
  <r>
    <n v="10192"/>
    <s v="S24_2766"/>
    <x v="8"/>
    <x v="7"/>
    <x v="0"/>
    <x v="0"/>
    <s v="Medium"/>
    <n v="2"/>
    <n v="46"/>
    <n v="83.6"/>
    <n v="90"/>
    <n v="3845.6"/>
    <n v="-294.39999999999998"/>
    <x v="34"/>
    <x v="0"/>
    <n v="4"/>
    <n v="11"/>
    <n v="2003"/>
    <x v="1"/>
  </r>
  <r>
    <n v="10368"/>
    <s v="S24_2766"/>
    <x v="43"/>
    <x v="34"/>
    <x v="0"/>
    <x v="0"/>
    <s v="Medium"/>
    <n v="2"/>
    <n v="40"/>
    <n v="100"/>
    <n v="90"/>
    <n v="4107.2"/>
    <n v="507.2"/>
    <x v="184"/>
    <x v="0"/>
    <n v="1"/>
    <n v="1"/>
    <n v="2005"/>
    <x v="1"/>
  </r>
  <r>
    <n v="10175"/>
    <s v="S24_2840"/>
    <x v="42"/>
    <x v="33"/>
    <x v="15"/>
    <x v="1"/>
    <s v="Small"/>
    <n v="2"/>
    <n v="37"/>
    <n v="31.12"/>
    <n v="35"/>
    <n v="1151.44"/>
    <n v="-143.56"/>
    <x v="21"/>
    <x v="0"/>
    <n v="4"/>
    <n v="11"/>
    <n v="2003"/>
    <x v="1"/>
  </r>
  <r>
    <n v="10229"/>
    <s v="S24_2840"/>
    <x v="43"/>
    <x v="34"/>
    <x v="0"/>
    <x v="0"/>
    <s v="Small"/>
    <n v="2"/>
    <n v="33"/>
    <n v="32.880000000000003"/>
    <n v="35"/>
    <n v="1085.04"/>
    <n v="-69.959999999999994"/>
    <x v="48"/>
    <x v="0"/>
    <n v="1"/>
    <n v="3"/>
    <n v="2004"/>
    <x v="1"/>
  </r>
  <r>
    <n v="10281"/>
    <s v="S24_2840"/>
    <x v="4"/>
    <x v="4"/>
    <x v="0"/>
    <x v="0"/>
    <s v="Small"/>
    <n v="2"/>
    <n v="20"/>
    <n v="40.659999999999997"/>
    <n v="35"/>
    <n v="813.2"/>
    <n v="113.2"/>
    <x v="49"/>
    <x v="0"/>
    <n v="3"/>
    <n v="8"/>
    <n v="2004"/>
    <x v="1"/>
  </r>
  <r>
    <n v="10335"/>
    <s v="S24_2840"/>
    <x v="43"/>
    <x v="34"/>
    <x v="0"/>
    <x v="0"/>
    <s v="Small"/>
    <n v="2"/>
    <n v="33"/>
    <n v="37.130000000000003"/>
    <n v="35"/>
    <n v="1225.29"/>
    <n v="70.290000000000006"/>
    <x v="87"/>
    <x v="0"/>
    <n v="4"/>
    <n v="11"/>
    <n v="2004"/>
    <x v="1"/>
  </r>
  <r>
    <n v="10167"/>
    <s v="S24_2841"/>
    <x v="51"/>
    <x v="42"/>
    <x v="4"/>
    <x v="1"/>
    <s v="Small"/>
    <n v="2"/>
    <n v="21"/>
    <n v="69.88"/>
    <n v="68"/>
    <n v="1467.48"/>
    <n v="39.479999999999997"/>
    <x v="68"/>
    <x v="3"/>
    <n v="4"/>
    <n v="10"/>
    <n v="2003"/>
    <x v="4"/>
  </r>
  <r>
    <n v="10186"/>
    <s v="S24_2841"/>
    <x v="52"/>
    <x v="33"/>
    <x v="15"/>
    <x v="1"/>
    <s v="Small"/>
    <n v="2"/>
    <n v="22"/>
    <n v="69.2"/>
    <n v="68"/>
    <n v="1522.4"/>
    <n v="26.4"/>
    <x v="69"/>
    <x v="0"/>
    <n v="4"/>
    <n v="11"/>
    <n v="2003"/>
    <x v="4"/>
  </r>
  <r>
    <n v="10274"/>
    <s v="S24_2841"/>
    <x v="53"/>
    <x v="25"/>
    <x v="0"/>
    <x v="0"/>
    <s v="Small"/>
    <n v="2"/>
    <n v="40"/>
    <n v="65.08"/>
    <n v="68"/>
    <n v="2603.1999999999998"/>
    <n v="-116.8"/>
    <x v="70"/>
    <x v="0"/>
    <n v="3"/>
    <n v="7"/>
    <n v="2004"/>
    <x v="4"/>
  </r>
  <r>
    <n v="10307"/>
    <s v="S24_2841"/>
    <x v="18"/>
    <x v="8"/>
    <x v="0"/>
    <x v="0"/>
    <s v="Small"/>
    <n v="2"/>
    <n v="25"/>
    <n v="75.36"/>
    <n v="68"/>
    <n v="1884"/>
    <n v="184"/>
    <x v="71"/>
    <x v="0"/>
    <n v="4"/>
    <n v="10"/>
    <n v="2004"/>
    <x v="4"/>
  </r>
  <r>
    <n v="10400"/>
    <s v="S24_2841"/>
    <x v="55"/>
    <x v="44"/>
    <x v="0"/>
    <x v="0"/>
    <s v="Small"/>
    <n v="2"/>
    <n v="24"/>
    <n v="61.66"/>
    <n v="68"/>
    <n v="1479.84"/>
    <n v="-152.16"/>
    <x v="74"/>
    <x v="0"/>
    <n v="2"/>
    <n v="4"/>
    <n v="2005"/>
    <x v="4"/>
  </r>
  <r>
    <n v="10161"/>
    <s v="S24_2887"/>
    <x v="69"/>
    <x v="56"/>
    <x v="10"/>
    <x v="1"/>
    <s v="Small"/>
    <n v="2"/>
    <n v="25"/>
    <n v="100"/>
    <n v="117"/>
    <n v="2759.75"/>
    <n v="-165.25"/>
    <x v="142"/>
    <x v="0"/>
    <n v="4"/>
    <n v="10"/>
    <n v="2003"/>
    <x v="1"/>
  </r>
  <r>
    <n v="10267"/>
    <s v="S24_2887"/>
    <x v="34"/>
    <x v="5"/>
    <x v="0"/>
    <x v="0"/>
    <s v="Medium"/>
    <n v="2"/>
    <n v="43"/>
    <n v="100"/>
    <n v="117"/>
    <n v="4645.72"/>
    <n v="-385.28"/>
    <x v="143"/>
    <x v="0"/>
    <n v="3"/>
    <n v="7"/>
    <n v="2004"/>
    <x v="1"/>
  </r>
  <r>
    <n v="10279"/>
    <s v="S24_2887"/>
    <x v="26"/>
    <x v="21"/>
    <x v="8"/>
    <x v="1"/>
    <s v="Medium"/>
    <n v="2"/>
    <n v="48"/>
    <n v="100"/>
    <n v="117"/>
    <n v="5580.96"/>
    <n v="-35.04"/>
    <x v="144"/>
    <x v="0"/>
    <n v="3"/>
    <n v="8"/>
    <n v="2004"/>
    <x v="1"/>
  </r>
  <r>
    <n v="10160"/>
    <s v="S24_2972"/>
    <x v="70"/>
    <x v="57"/>
    <x v="0"/>
    <x v="0"/>
    <s v="Small"/>
    <n v="2"/>
    <n v="42"/>
    <n v="37"/>
    <n v="37"/>
    <n v="1554"/>
    <n v="0"/>
    <x v="112"/>
    <x v="0"/>
    <n v="4"/>
    <n v="10"/>
    <n v="2003"/>
    <x v="1"/>
  </r>
  <r>
    <n v="10203"/>
    <s v="S24_2972"/>
    <x v="26"/>
    <x v="21"/>
    <x v="8"/>
    <x v="1"/>
    <s v="Small"/>
    <n v="2"/>
    <n v="21"/>
    <n v="37"/>
    <n v="37"/>
    <n v="777"/>
    <n v="0"/>
    <x v="86"/>
    <x v="0"/>
    <n v="4"/>
    <n v="12"/>
    <n v="2003"/>
    <x v="1"/>
  </r>
  <r>
    <n v="10239"/>
    <s v="S24_2972"/>
    <x v="71"/>
    <x v="58"/>
    <x v="14"/>
    <x v="1"/>
    <s v="Small"/>
    <n v="2"/>
    <n v="20"/>
    <n v="44.56"/>
    <n v="37"/>
    <n v="891.2"/>
    <n v="151.19999999999999"/>
    <x v="113"/>
    <x v="0"/>
    <n v="2"/>
    <n v="4"/>
    <n v="2004"/>
    <x v="1"/>
  </r>
  <r>
    <n v="10367"/>
    <s v="S24_2972"/>
    <x v="22"/>
    <x v="18"/>
    <x v="0"/>
    <x v="0"/>
    <s v="Medium"/>
    <n v="2"/>
    <n v="36"/>
    <n v="100"/>
    <n v="37"/>
    <n v="5018.3999999999996"/>
    <n v="3686.4"/>
    <x v="66"/>
    <x v="4"/>
    <n v="1"/>
    <n v="1"/>
    <n v="2005"/>
    <x v="1"/>
  </r>
  <r>
    <n v="10405"/>
    <s v="S24_2972"/>
    <x v="59"/>
    <x v="48"/>
    <x v="3"/>
    <x v="1"/>
    <s v="Small"/>
    <n v="2"/>
    <n v="47"/>
    <n v="44.56"/>
    <n v="37"/>
    <n v="2094.3200000000002"/>
    <n v="355.32"/>
    <x v="115"/>
    <x v="0"/>
    <n v="2"/>
    <n v="4"/>
    <n v="2005"/>
    <x v="1"/>
  </r>
  <r>
    <n v="10154"/>
    <s v="S24_3151"/>
    <x v="33"/>
    <x v="27"/>
    <x v="0"/>
    <x v="0"/>
    <s v="Small"/>
    <n v="2"/>
    <n v="31"/>
    <n v="91.17"/>
    <n v="88"/>
    <n v="2826.27"/>
    <n v="98.27"/>
    <x v="235"/>
    <x v="0"/>
    <n v="4"/>
    <n v="10"/>
    <n v="2003"/>
    <x v="3"/>
  </r>
  <r>
    <n v="10177"/>
    <s v="S24_3151"/>
    <x v="37"/>
    <x v="21"/>
    <x v="8"/>
    <x v="1"/>
    <s v="Medium"/>
    <n v="2"/>
    <n v="45"/>
    <n v="72.58"/>
    <n v="88"/>
    <n v="3266.1"/>
    <n v="-693.9"/>
    <x v="236"/>
    <x v="0"/>
    <n v="4"/>
    <n v="11"/>
    <n v="2003"/>
    <x v="3"/>
  </r>
  <r>
    <n v="10185"/>
    <s v="S24_3151"/>
    <x v="49"/>
    <x v="40"/>
    <x v="0"/>
    <x v="0"/>
    <s v="Small"/>
    <n v="2"/>
    <n v="33"/>
    <n v="74.349999999999994"/>
    <n v="88"/>
    <n v="2453.5500000000002"/>
    <n v="-450.45"/>
    <x v="69"/>
    <x v="0"/>
    <n v="4"/>
    <n v="11"/>
    <n v="2003"/>
    <x v="3"/>
  </r>
  <r>
    <n v="10208"/>
    <s v="S24_3151"/>
    <x v="73"/>
    <x v="59"/>
    <x v="3"/>
    <x v="1"/>
    <s v="Small"/>
    <n v="2"/>
    <n v="20"/>
    <n v="89.4"/>
    <n v="88"/>
    <n v="1788"/>
    <n v="28"/>
    <x v="237"/>
    <x v="0"/>
    <n v="1"/>
    <n v="1"/>
    <n v="2004"/>
    <x v="3"/>
  </r>
  <r>
    <n v="10233"/>
    <s v="S24_3151"/>
    <x v="24"/>
    <x v="19"/>
    <x v="0"/>
    <x v="0"/>
    <s v="Medium"/>
    <n v="2"/>
    <n v="40"/>
    <n v="94.71"/>
    <n v="88"/>
    <n v="3788.4"/>
    <n v="268.39999999999998"/>
    <x v="238"/>
    <x v="0"/>
    <n v="1"/>
    <n v="3"/>
    <n v="2004"/>
    <x v="3"/>
  </r>
  <r>
    <n v="10306"/>
    <s v="S24_3151"/>
    <x v="62"/>
    <x v="50"/>
    <x v="15"/>
    <x v="1"/>
    <s v="Small"/>
    <n v="2"/>
    <n v="31"/>
    <n v="84.08"/>
    <n v="88"/>
    <n v="2606.48"/>
    <n v="-121.52"/>
    <x v="71"/>
    <x v="0"/>
    <n v="4"/>
    <n v="10"/>
    <n v="2004"/>
    <x v="3"/>
  </r>
  <r>
    <n v="10384"/>
    <s v="S24_3151"/>
    <x v="21"/>
    <x v="17"/>
    <x v="0"/>
    <x v="0"/>
    <s v="Medium"/>
    <n v="2"/>
    <n v="43"/>
    <n v="97.87"/>
    <n v="88"/>
    <n v="4208.41"/>
    <n v="424.41"/>
    <x v="230"/>
    <x v="0"/>
    <n v="1"/>
    <n v="2"/>
    <n v="2005"/>
    <x v="3"/>
  </r>
  <r>
    <n v="10172"/>
    <s v="S24_3191"/>
    <x v="25"/>
    <x v="20"/>
    <x v="0"/>
    <x v="0"/>
    <s v="Small"/>
    <n v="2"/>
    <n v="24"/>
    <n v="81.33"/>
    <n v="85"/>
    <n v="1951.92"/>
    <n v="-88.08"/>
    <x v="80"/>
    <x v="0"/>
    <n v="4"/>
    <n v="11"/>
    <n v="2003"/>
    <x v="1"/>
  </r>
  <r>
    <n v="10212"/>
    <s v="S24_3191"/>
    <x v="26"/>
    <x v="21"/>
    <x v="8"/>
    <x v="1"/>
    <s v="Small"/>
    <n v="2"/>
    <n v="27"/>
    <n v="79.62"/>
    <n v="85"/>
    <n v="2149.7399999999998"/>
    <n v="-145.26"/>
    <x v="173"/>
    <x v="0"/>
    <n v="1"/>
    <n v="1"/>
    <n v="2004"/>
    <x v="1"/>
  </r>
  <r>
    <n v="10321"/>
    <s v="S24_3191"/>
    <x v="78"/>
    <x v="40"/>
    <x v="0"/>
    <x v="0"/>
    <s v="Medium"/>
    <n v="2"/>
    <n v="39"/>
    <n v="84.75"/>
    <n v="85"/>
    <n v="3305.25"/>
    <n v="-9.75"/>
    <x v="8"/>
    <x v="0"/>
    <n v="4"/>
    <n v="11"/>
    <n v="2004"/>
    <x v="1"/>
  </r>
  <r>
    <n v="10346"/>
    <s v="S24_3191"/>
    <x v="83"/>
    <x v="65"/>
    <x v="0"/>
    <x v="0"/>
    <s v="Medium"/>
    <n v="2"/>
    <n v="24"/>
    <n v="100"/>
    <n v="85"/>
    <n v="3325.92"/>
    <n v="1285.92"/>
    <x v="9"/>
    <x v="0"/>
    <n v="4"/>
    <n v="11"/>
    <n v="2004"/>
    <x v="1"/>
  </r>
  <r>
    <n v="10191"/>
    <s v="S24_3371"/>
    <x v="29"/>
    <x v="23"/>
    <x v="9"/>
    <x v="1"/>
    <s v="Small"/>
    <n v="2"/>
    <n v="48"/>
    <n v="60.01"/>
    <n v="61"/>
    <n v="2880.48"/>
    <n v="-47.52"/>
    <x v="34"/>
    <x v="0"/>
    <n v="4"/>
    <n v="11"/>
    <n v="2003"/>
    <x v="1"/>
  </r>
  <r>
    <n v="10238"/>
    <s v="S24_3371"/>
    <x v="30"/>
    <x v="24"/>
    <x v="10"/>
    <x v="1"/>
    <s v="Small"/>
    <n v="2"/>
    <n v="47"/>
    <n v="62.45"/>
    <n v="61"/>
    <n v="2935.15"/>
    <n v="68.150000000000006"/>
    <x v="35"/>
    <x v="0"/>
    <n v="2"/>
    <n v="4"/>
    <n v="2004"/>
    <x v="1"/>
  </r>
  <r>
    <n v="10276"/>
    <s v="S24_3371"/>
    <x v="31"/>
    <x v="25"/>
    <x v="0"/>
    <x v="0"/>
    <s v="Small"/>
    <n v="2"/>
    <n v="20"/>
    <n v="61.23"/>
    <n v="61"/>
    <n v="1224.5999999999999"/>
    <n v="4.5999999999999996"/>
    <x v="36"/>
    <x v="0"/>
    <n v="3"/>
    <n v="8"/>
    <n v="2004"/>
    <x v="1"/>
  </r>
  <r>
    <n v="10320"/>
    <s v="S24_3371"/>
    <x v="6"/>
    <x v="6"/>
    <x v="4"/>
    <x v="1"/>
    <s v="Small"/>
    <n v="2"/>
    <n v="26"/>
    <n v="61.23"/>
    <n v="61"/>
    <n v="1591.98"/>
    <n v="5.98"/>
    <x v="37"/>
    <x v="0"/>
    <n v="4"/>
    <n v="11"/>
    <n v="2004"/>
    <x v="1"/>
  </r>
  <r>
    <n v="10209"/>
    <s v="S24_3420"/>
    <x v="70"/>
    <x v="57"/>
    <x v="0"/>
    <x v="0"/>
    <s v="Small"/>
    <n v="2"/>
    <n v="36"/>
    <n v="77.59"/>
    <n v="65"/>
    <n v="2793.24"/>
    <n v="453.24"/>
    <x v="175"/>
    <x v="0"/>
    <n v="1"/>
    <n v="1"/>
    <n v="2004"/>
    <x v="3"/>
  </r>
  <r>
    <n v="10249"/>
    <s v="S24_3420"/>
    <x v="45"/>
    <x v="36"/>
    <x v="0"/>
    <x v="0"/>
    <s v="Small"/>
    <n v="2"/>
    <n v="25"/>
    <n v="69.7"/>
    <n v="65"/>
    <n v="1742.5"/>
    <n v="117.5"/>
    <x v="176"/>
    <x v="0"/>
    <n v="2"/>
    <n v="5"/>
    <n v="2004"/>
    <x v="3"/>
  </r>
  <r>
    <n v="10328"/>
    <s v="S24_3420"/>
    <x v="67"/>
    <x v="54"/>
    <x v="12"/>
    <x v="1"/>
    <s v="Small"/>
    <n v="2"/>
    <n v="20"/>
    <n v="72.98"/>
    <n v="65"/>
    <n v="1459.6"/>
    <n v="159.6"/>
    <x v="177"/>
    <x v="0"/>
    <n v="4"/>
    <n v="11"/>
    <n v="2004"/>
    <x v="3"/>
  </r>
  <r>
    <n v="10415"/>
    <s v="S24_3420"/>
    <x v="65"/>
    <x v="52"/>
    <x v="2"/>
    <x v="2"/>
    <s v="Small"/>
    <n v="2"/>
    <n v="18"/>
    <n v="69.7"/>
    <n v="65"/>
    <n v="1254.5999999999999"/>
    <n v="84.6"/>
    <x v="179"/>
    <x v="1"/>
    <n v="2"/>
    <n v="5"/>
    <n v="2005"/>
    <x v="3"/>
  </r>
  <r>
    <n v="10226"/>
    <s v="S24_3432"/>
    <x v="80"/>
    <x v="63"/>
    <x v="0"/>
    <x v="0"/>
    <s v="Medium"/>
    <n v="2"/>
    <n v="48"/>
    <n v="92.09"/>
    <n v="107"/>
    <n v="4420.32"/>
    <n v="-715.68"/>
    <x v="145"/>
    <x v="0"/>
    <n v="1"/>
    <n v="2"/>
    <n v="2004"/>
    <x v="1"/>
  </r>
  <r>
    <n v="10301"/>
    <s v="S24_3432"/>
    <x v="60"/>
    <x v="49"/>
    <x v="1"/>
    <x v="1"/>
    <s v="Small"/>
    <n v="2"/>
    <n v="22"/>
    <n v="96.37"/>
    <n v="107"/>
    <n v="2120.14"/>
    <n v="-233.86"/>
    <x v="146"/>
    <x v="0"/>
    <n v="4"/>
    <n v="10"/>
    <n v="2003"/>
    <x v="1"/>
  </r>
  <r>
    <n v="10248"/>
    <s v="S24_3816"/>
    <x v="5"/>
    <x v="5"/>
    <x v="0"/>
    <x v="0"/>
    <s v="Small"/>
    <n v="2"/>
    <n v="23"/>
    <n v="76.31"/>
    <n v="83"/>
    <n v="1755.13"/>
    <n v="-153.87"/>
    <x v="105"/>
    <x v="3"/>
    <n v="2"/>
    <n v="5"/>
    <n v="2004"/>
    <x v="3"/>
  </r>
  <r>
    <n v="10326"/>
    <s v="S24_3816"/>
    <x v="6"/>
    <x v="6"/>
    <x v="4"/>
    <x v="1"/>
    <s v="Small"/>
    <n v="2"/>
    <n v="20"/>
    <n v="92.25"/>
    <n v="83"/>
    <n v="1845"/>
    <n v="185"/>
    <x v="227"/>
    <x v="0"/>
    <n v="4"/>
    <n v="11"/>
    <n v="2004"/>
    <x v="3"/>
  </r>
  <r>
    <n v="10385"/>
    <s v="S24_3816"/>
    <x v="43"/>
    <x v="34"/>
    <x v="0"/>
    <x v="0"/>
    <s v="Medium"/>
    <n v="2"/>
    <n v="37"/>
    <n v="85.54"/>
    <n v="83"/>
    <n v="3164.98"/>
    <n v="93.98"/>
    <x v="228"/>
    <x v="0"/>
    <n v="1"/>
    <n v="2"/>
    <n v="2005"/>
    <x v="3"/>
  </r>
  <r>
    <n v="10414"/>
    <s v="S24_3816"/>
    <x v="16"/>
    <x v="14"/>
    <x v="0"/>
    <x v="0"/>
    <s v="Medium"/>
    <n v="2"/>
    <n v="51"/>
    <n v="76.31"/>
    <n v="83"/>
    <n v="3891.81"/>
    <n v="-341.19"/>
    <x v="106"/>
    <x v="5"/>
    <n v="2"/>
    <n v="5"/>
    <n v="2005"/>
    <x v="3"/>
  </r>
  <r>
    <n v="10135"/>
    <s v="S24_3856"/>
    <x v="43"/>
    <x v="34"/>
    <x v="0"/>
    <x v="0"/>
    <s v="Medium"/>
    <n v="2"/>
    <n v="47"/>
    <n v="100"/>
    <n v="140"/>
    <n v="6336.07"/>
    <n v="-243.93"/>
    <x v="180"/>
    <x v="0"/>
    <n v="3"/>
    <n v="7"/>
    <n v="2003"/>
    <x v="1"/>
  </r>
  <r>
    <n v="10147"/>
    <s v="S24_3856"/>
    <x v="53"/>
    <x v="25"/>
    <x v="0"/>
    <x v="0"/>
    <s v="Small"/>
    <n v="2"/>
    <n v="23"/>
    <n v="100"/>
    <n v="140"/>
    <n v="2906.97"/>
    <n v="-313.02999999999997"/>
    <x v="181"/>
    <x v="0"/>
    <n v="3"/>
    <n v="9"/>
    <n v="2003"/>
    <x v="1"/>
  </r>
  <r>
    <n v="10119"/>
    <s v="S24_3949"/>
    <x v="32"/>
    <x v="26"/>
    <x v="11"/>
    <x v="1"/>
    <s v="Small"/>
    <n v="2"/>
    <n v="28"/>
    <n v="70.290000000000006"/>
    <n v="68"/>
    <n v="1968.12"/>
    <n v="64.12"/>
    <x v="247"/>
    <x v="0"/>
    <n v="2"/>
    <n v="4"/>
    <n v="2003"/>
    <x v="4"/>
  </r>
  <r>
    <n v="10398"/>
    <s v="S24_3949"/>
    <x v="82"/>
    <x v="64"/>
    <x v="3"/>
    <x v="1"/>
    <s v="Small"/>
    <n v="2"/>
    <n v="41"/>
    <n v="68.239999999999995"/>
    <n v="68"/>
    <n v="2797.84"/>
    <n v="9.84"/>
    <x v="248"/>
    <x v="0"/>
    <n v="1"/>
    <n v="3"/>
    <n v="2005"/>
    <x v="4"/>
  </r>
  <r>
    <n v="10204"/>
    <s v="S24_3969"/>
    <x v="34"/>
    <x v="5"/>
    <x v="0"/>
    <x v="0"/>
    <s v="Small"/>
    <n v="2"/>
    <n v="39"/>
    <n v="33.229999999999997"/>
    <n v="41"/>
    <n v="1295.97"/>
    <n v="-303.02999999999997"/>
    <x v="86"/>
    <x v="0"/>
    <n v="4"/>
    <n v="12"/>
    <n v="2003"/>
    <x v="3"/>
  </r>
  <r>
    <n v="10184"/>
    <s v="S24_4048"/>
    <x v="86"/>
    <x v="68"/>
    <x v="8"/>
    <x v="1"/>
    <s v="Medium"/>
    <n v="2"/>
    <n v="49"/>
    <n v="100"/>
    <n v="118"/>
    <n v="5795.72"/>
    <n v="13.72"/>
    <x v="69"/>
    <x v="0"/>
    <n v="4"/>
    <n v="11"/>
    <n v="2003"/>
    <x v="1"/>
  </r>
  <r>
    <n v="10195"/>
    <s v="S24_4048"/>
    <x v="13"/>
    <x v="11"/>
    <x v="0"/>
    <x v="0"/>
    <s v="Medium"/>
    <n v="2"/>
    <n v="34"/>
    <n v="100"/>
    <n v="118"/>
    <n v="3699.88"/>
    <n v="-312.12"/>
    <x v="169"/>
    <x v="0"/>
    <n v="4"/>
    <n v="11"/>
    <n v="2003"/>
    <x v="1"/>
  </r>
  <r>
    <n v="10349"/>
    <s v="S24_4048"/>
    <x v="34"/>
    <x v="5"/>
    <x v="0"/>
    <x v="0"/>
    <s v="Medium"/>
    <n v="2"/>
    <n v="23"/>
    <n v="100"/>
    <n v="118"/>
    <n v="3182.97"/>
    <n v="468.97"/>
    <x v="216"/>
    <x v="0"/>
    <n v="4"/>
    <n v="12"/>
    <n v="2004"/>
    <x v="1"/>
  </r>
  <r>
    <n v="10269"/>
    <s v="S24_4258"/>
    <x v="32"/>
    <x v="26"/>
    <x v="11"/>
    <x v="1"/>
    <s v="Medium"/>
    <n v="2"/>
    <n v="48"/>
    <n v="97.39"/>
    <n v="97"/>
    <n v="4674.72"/>
    <n v="18.72"/>
    <x v="104"/>
    <x v="0"/>
    <n v="3"/>
    <n v="7"/>
    <n v="2004"/>
    <x v="3"/>
  </r>
  <r>
    <n v="10348"/>
    <s v="S24_4258"/>
    <x v="63"/>
    <x v="21"/>
    <x v="8"/>
    <x v="1"/>
    <s v="Small"/>
    <n v="2"/>
    <n v="39"/>
    <n v="50.31"/>
    <n v="97"/>
    <n v="1962.09"/>
    <n v="-1820.91"/>
    <x v="156"/>
    <x v="0"/>
    <n v="4"/>
    <n v="11"/>
    <n v="2004"/>
    <x v="3"/>
  </r>
  <r>
    <n v="10284"/>
    <s v="S24_4278"/>
    <x v="60"/>
    <x v="49"/>
    <x v="1"/>
    <x v="1"/>
    <s v="Small"/>
    <n v="2"/>
    <n v="21"/>
    <n v="71"/>
    <n v="72"/>
    <n v="1491"/>
    <n v="-21"/>
    <x v="88"/>
    <x v="0"/>
    <n v="3"/>
    <n v="8"/>
    <n v="2004"/>
    <x v="4"/>
  </r>
  <r>
    <n v="10375"/>
    <s v="S24_4278"/>
    <x v="3"/>
    <x v="3"/>
    <x v="3"/>
    <x v="1"/>
    <s v="Large"/>
    <n v="2"/>
    <n v="43"/>
    <n v="100"/>
    <n v="72"/>
    <n v="10039.6"/>
    <n v="6943.6"/>
    <x v="234"/>
    <x v="0"/>
    <n v="1"/>
    <n v="2"/>
    <n v="2005"/>
    <x v="4"/>
  </r>
  <r>
    <n v="10319"/>
    <s v="S24_4620"/>
    <x v="72"/>
    <x v="5"/>
    <x v="0"/>
    <x v="0"/>
    <s v="Medium"/>
    <n v="2"/>
    <n v="43"/>
    <n v="85.69"/>
    <n v="80"/>
    <n v="3684.67"/>
    <n v="244.67"/>
    <x v="37"/>
    <x v="0"/>
    <n v="4"/>
    <n v="11"/>
    <n v="2004"/>
    <x v="1"/>
  </r>
  <r>
    <n v="10331"/>
    <s v="S24_4620"/>
    <x v="9"/>
    <x v="8"/>
    <x v="0"/>
    <x v="0"/>
    <s v="Medium"/>
    <n v="2"/>
    <n v="41"/>
    <n v="100"/>
    <n v="80"/>
    <n v="5715.4"/>
    <n v="2435.4"/>
    <x v="95"/>
    <x v="0"/>
    <n v="4"/>
    <n v="11"/>
    <n v="2004"/>
    <x v="1"/>
  </r>
  <r>
    <n v="10378"/>
    <s v="S24_4620"/>
    <x v="26"/>
    <x v="21"/>
    <x v="8"/>
    <x v="1"/>
    <s v="Medium"/>
    <n v="2"/>
    <n v="41"/>
    <n v="100"/>
    <n v="80"/>
    <n v="4894.17"/>
    <n v="1614.17"/>
    <x v="84"/>
    <x v="0"/>
    <n v="1"/>
    <n v="2"/>
    <n v="2005"/>
    <x v="1"/>
  </r>
  <r>
    <n v="10250"/>
    <s v="S32_1374"/>
    <x v="55"/>
    <x v="44"/>
    <x v="0"/>
    <x v="0"/>
    <s v="Medium"/>
    <n v="2"/>
    <n v="31"/>
    <n v="100"/>
    <n v="99"/>
    <n v="3282.28"/>
    <n v="213.28"/>
    <x v="161"/>
    <x v="0"/>
    <n v="2"/>
    <n v="5"/>
    <n v="2004"/>
    <x v="0"/>
  </r>
  <r>
    <n v="10297"/>
    <s v="S32_1374"/>
    <x v="36"/>
    <x v="29"/>
    <x v="13"/>
    <x v="1"/>
    <s v="Small"/>
    <n v="2"/>
    <n v="26"/>
    <n v="100"/>
    <n v="99"/>
    <n v="2856.88"/>
    <n v="282.88"/>
    <x v="162"/>
    <x v="0"/>
    <n v="3"/>
    <n v="9"/>
    <n v="2004"/>
    <x v="0"/>
  </r>
  <r>
    <n v="10340"/>
    <s v="S32_1374"/>
    <x v="88"/>
    <x v="69"/>
    <x v="8"/>
    <x v="1"/>
    <s v="Medium"/>
    <n v="2"/>
    <n v="55"/>
    <n v="100"/>
    <n v="99"/>
    <n v="6482.85"/>
    <n v="1037.8499999999999"/>
    <x v="38"/>
    <x v="0"/>
    <n v="4"/>
    <n v="11"/>
    <n v="2004"/>
    <x v="0"/>
  </r>
  <r>
    <n v="10363"/>
    <s v="S32_1374"/>
    <x v="38"/>
    <x v="30"/>
    <x v="14"/>
    <x v="1"/>
    <s v="Medium"/>
    <n v="2"/>
    <n v="50"/>
    <n v="100"/>
    <n v="99"/>
    <n v="6576.5"/>
    <n v="1626.5"/>
    <x v="190"/>
    <x v="0"/>
    <n v="1"/>
    <n v="1"/>
    <n v="2005"/>
    <x v="0"/>
  </r>
  <r>
    <n v="10416"/>
    <s v="S32_1374"/>
    <x v="35"/>
    <x v="28"/>
    <x v="12"/>
    <x v="1"/>
    <s v="Medium"/>
    <n v="2"/>
    <n v="45"/>
    <n v="100"/>
    <n v="99"/>
    <n v="4764.6000000000004"/>
    <n v="309.60000000000002"/>
    <x v="163"/>
    <x v="0"/>
    <n v="2"/>
    <n v="5"/>
    <n v="2005"/>
    <x v="0"/>
  </r>
  <r>
    <n v="10224"/>
    <s v="S32_2206"/>
    <x v="75"/>
    <x v="61"/>
    <x v="3"/>
    <x v="1"/>
    <s v="Small"/>
    <n v="2"/>
    <n v="43"/>
    <n v="39.43"/>
    <n v="40"/>
    <n v="1695.49"/>
    <n v="-24.51"/>
    <x v="124"/>
    <x v="0"/>
    <n v="1"/>
    <n v="2"/>
    <n v="2004"/>
    <x v="0"/>
  </r>
  <r>
    <n v="10237"/>
    <s v="S32_2206"/>
    <x v="28"/>
    <x v="5"/>
    <x v="0"/>
    <x v="0"/>
    <s v="Small"/>
    <n v="2"/>
    <n v="26"/>
    <n v="40.229999999999997"/>
    <n v="40"/>
    <n v="1045.98"/>
    <n v="5.98"/>
    <x v="125"/>
    <x v="0"/>
    <n v="2"/>
    <n v="4"/>
    <n v="2004"/>
    <x v="0"/>
  </r>
  <r>
    <n v="10403"/>
    <s v="S32_2206"/>
    <x v="50"/>
    <x v="41"/>
    <x v="15"/>
    <x v="1"/>
    <s v="Small"/>
    <n v="2"/>
    <n v="30"/>
    <n v="40.229999999999997"/>
    <n v="40"/>
    <n v="1206.9000000000001"/>
    <n v="6.9"/>
    <x v="128"/>
    <x v="0"/>
    <n v="2"/>
    <n v="4"/>
    <n v="2005"/>
    <x v="0"/>
  </r>
  <r>
    <n v="10114"/>
    <s v="S32_2509"/>
    <x v="40"/>
    <x v="9"/>
    <x v="3"/>
    <x v="1"/>
    <s v="Small"/>
    <n v="2"/>
    <n v="28"/>
    <n v="55.73"/>
    <n v="54"/>
    <n v="1560.44"/>
    <n v="48.44"/>
    <x v="174"/>
    <x v="0"/>
    <n v="2"/>
    <n v="4"/>
    <n v="2003"/>
    <x v="2"/>
  </r>
  <r>
    <n v="10371"/>
    <s v="S32_2509"/>
    <x v="43"/>
    <x v="34"/>
    <x v="0"/>
    <x v="0"/>
    <s v="Small"/>
    <n v="2"/>
    <n v="20"/>
    <n v="66.47"/>
    <n v="54"/>
    <n v="1329.4"/>
    <n v="249.4"/>
    <x v="207"/>
    <x v="0"/>
    <n v="1"/>
    <n v="1"/>
    <n v="2005"/>
    <x v="2"/>
  </r>
  <r>
    <n v="10152"/>
    <s v="S32_3207"/>
    <x v="14"/>
    <x v="12"/>
    <x v="2"/>
    <x v="2"/>
    <s v="Small"/>
    <n v="2"/>
    <n v="33"/>
    <n v="50.95"/>
    <n v="62"/>
    <n v="1681.35"/>
    <n v="-364.65"/>
    <x v="130"/>
    <x v="0"/>
    <n v="3"/>
    <n v="9"/>
    <n v="2003"/>
    <x v="6"/>
  </r>
  <r>
    <n v="10207"/>
    <s v="S32_3207"/>
    <x v="77"/>
    <x v="14"/>
    <x v="0"/>
    <x v="0"/>
    <s v="Small"/>
    <n v="2"/>
    <n v="45"/>
    <n v="56.55"/>
    <n v="62"/>
    <n v="2544.75"/>
    <n v="-245.25"/>
    <x v="131"/>
    <x v="0"/>
    <n v="4"/>
    <n v="12"/>
    <n v="2003"/>
    <x v="6"/>
  </r>
  <r>
    <n v="10325"/>
    <s v="S32_3207"/>
    <x v="39"/>
    <x v="31"/>
    <x v="1"/>
    <x v="1"/>
    <s v="Medium"/>
    <n v="2"/>
    <n v="28"/>
    <n v="100"/>
    <n v="62"/>
    <n v="5377.4"/>
    <n v="3641.4"/>
    <x v="33"/>
    <x v="0"/>
    <n v="4"/>
    <n v="11"/>
    <n v="2004"/>
    <x v="6"/>
  </r>
  <r>
    <n v="10206"/>
    <s v="S32_3522"/>
    <x v="90"/>
    <x v="71"/>
    <x v="6"/>
    <x v="0"/>
    <s v="Small"/>
    <n v="2"/>
    <n v="36"/>
    <n v="58.82"/>
    <n v="64"/>
    <n v="2117.52"/>
    <n v="-186.48"/>
    <x v="240"/>
    <x v="0"/>
    <n v="4"/>
    <n v="12"/>
    <n v="2003"/>
    <x v="2"/>
  </r>
  <r>
    <n v="10258"/>
    <s v="S32_3522"/>
    <x v="41"/>
    <x v="32"/>
    <x v="5"/>
    <x v="2"/>
    <s v="Small"/>
    <n v="2"/>
    <n v="20"/>
    <n v="61.41"/>
    <n v="64"/>
    <n v="1228.2"/>
    <n v="-51.8"/>
    <x v="147"/>
    <x v="0"/>
    <n v="2"/>
    <n v="6"/>
    <n v="2004"/>
    <x v="2"/>
  </r>
  <r>
    <n v="10304"/>
    <s v="S32_3522"/>
    <x v="20"/>
    <x v="16"/>
    <x v="3"/>
    <x v="1"/>
    <s v="Small"/>
    <n v="2"/>
    <n v="36"/>
    <n v="73.040000000000006"/>
    <n v="64"/>
    <n v="2629.44"/>
    <n v="325.44"/>
    <x v="241"/>
    <x v="0"/>
    <n v="4"/>
    <n v="10"/>
    <n v="2004"/>
    <x v="2"/>
  </r>
  <r>
    <n v="10358"/>
    <s v="S32_3522"/>
    <x v="26"/>
    <x v="21"/>
    <x v="8"/>
    <x v="1"/>
    <s v="Medium"/>
    <n v="2"/>
    <n v="36"/>
    <n v="100"/>
    <n v="64"/>
    <n v="5669.64"/>
    <n v="3365.64"/>
    <x v="54"/>
    <x v="0"/>
    <n v="4"/>
    <n v="12"/>
    <n v="2004"/>
    <x v="2"/>
  </r>
  <r>
    <n v="10424"/>
    <s v="S32_3522"/>
    <x v="26"/>
    <x v="21"/>
    <x v="8"/>
    <x v="1"/>
    <s v="Small"/>
    <n v="2"/>
    <n v="44"/>
    <n v="61.41"/>
    <n v="64"/>
    <n v="2702.04"/>
    <n v="-113.96"/>
    <x v="148"/>
    <x v="2"/>
    <n v="2"/>
    <n v="5"/>
    <n v="2005"/>
    <x v="2"/>
  </r>
  <r>
    <n v="10262"/>
    <s v="S32_4289"/>
    <x v="26"/>
    <x v="21"/>
    <x v="8"/>
    <x v="1"/>
    <s v="Medium"/>
    <n v="2"/>
    <n v="40"/>
    <n v="79.11"/>
    <n v="68"/>
    <n v="3164.4"/>
    <n v="444.4"/>
    <x v="155"/>
    <x v="3"/>
    <n v="2"/>
    <n v="6"/>
    <n v="2004"/>
    <x v="3"/>
  </r>
  <r>
    <n v="10316"/>
    <s v="S32_4289"/>
    <x v="84"/>
    <x v="66"/>
    <x v="15"/>
    <x v="1"/>
    <s v="Small"/>
    <n v="2"/>
    <n v="24"/>
    <n v="59.16"/>
    <n v="68"/>
    <n v="1419.84"/>
    <n v="-212.16"/>
    <x v="156"/>
    <x v="0"/>
    <n v="4"/>
    <n v="11"/>
    <n v="2004"/>
    <x v="3"/>
  </r>
  <r>
    <n v="10361"/>
    <s v="S32_4289"/>
    <x v="64"/>
    <x v="51"/>
    <x v="2"/>
    <x v="2"/>
    <s v="Medium"/>
    <n v="2"/>
    <n v="49"/>
    <n v="72.33"/>
    <n v="68"/>
    <n v="3544.17"/>
    <n v="212.17"/>
    <x v="201"/>
    <x v="0"/>
    <n v="4"/>
    <n v="12"/>
    <n v="2004"/>
    <x v="3"/>
  </r>
  <r>
    <n v="10259"/>
    <s v="S50_1392"/>
    <x v="81"/>
    <x v="15"/>
    <x v="7"/>
    <x v="2"/>
    <s v="Medium"/>
    <n v="2"/>
    <n v="29"/>
    <n v="100"/>
    <n v="115"/>
    <n v="3054.57"/>
    <n v="-280.43"/>
    <x v="147"/>
    <x v="0"/>
    <n v="2"/>
    <n v="6"/>
    <n v="2004"/>
    <x v="2"/>
  </r>
  <r>
    <n v="10359"/>
    <s v="S50_1392"/>
    <x v="82"/>
    <x v="64"/>
    <x v="3"/>
    <x v="1"/>
    <s v="Medium"/>
    <n v="2"/>
    <n v="46"/>
    <n v="100"/>
    <n v="115"/>
    <n v="4896.7"/>
    <n v="-393.3"/>
    <x v="218"/>
    <x v="0"/>
    <n v="4"/>
    <n v="12"/>
    <n v="2004"/>
    <x v="2"/>
  </r>
  <r>
    <n v="10425"/>
    <s v="S50_1392"/>
    <x v="3"/>
    <x v="3"/>
    <x v="3"/>
    <x v="1"/>
    <s v="Small"/>
    <n v="2"/>
    <n v="18"/>
    <n v="100"/>
    <n v="115"/>
    <n v="1895.94"/>
    <n v="-174.06"/>
    <x v="148"/>
    <x v="2"/>
    <n v="2"/>
    <n v="5"/>
    <n v="2005"/>
    <x v="2"/>
  </r>
  <r>
    <n v="10104"/>
    <s v="S50_1514"/>
    <x v="26"/>
    <x v="21"/>
    <x v="8"/>
    <x v="1"/>
    <s v="Small"/>
    <n v="2"/>
    <n v="32"/>
    <n v="53.31"/>
    <n v="58"/>
    <n v="1705.92"/>
    <n v="-150.08000000000001"/>
    <x v="31"/>
    <x v="0"/>
    <n v="1"/>
    <n v="1"/>
    <n v="2003"/>
    <x v="6"/>
  </r>
  <r>
    <n v="10230"/>
    <s v="S50_1514"/>
    <x v="27"/>
    <x v="22"/>
    <x v="9"/>
    <x v="1"/>
    <s v="Small"/>
    <n v="2"/>
    <n v="43"/>
    <n v="52.14"/>
    <n v="58"/>
    <n v="2242.02"/>
    <n v="-251.98"/>
    <x v="32"/>
    <x v="0"/>
    <n v="1"/>
    <n v="3"/>
    <n v="2004"/>
    <x v="6"/>
  </r>
  <r>
    <n v="10145"/>
    <s v="S50_4713"/>
    <x v="22"/>
    <x v="18"/>
    <x v="0"/>
    <x v="0"/>
    <s v="Medium"/>
    <n v="2"/>
    <n v="38"/>
    <n v="81.36"/>
    <n v="81"/>
    <n v="3091.68"/>
    <n v="13.68"/>
    <x v="213"/>
    <x v="0"/>
    <n v="3"/>
    <n v="8"/>
    <n v="2003"/>
    <x v="0"/>
  </r>
  <r>
    <n v="10190"/>
    <s v="S50_4713"/>
    <x v="26"/>
    <x v="21"/>
    <x v="8"/>
    <x v="1"/>
    <s v="Small"/>
    <n v="2"/>
    <n v="40"/>
    <n v="66.72"/>
    <n v="81"/>
    <n v="2668.8"/>
    <n v="-571.20000000000005"/>
    <x v="214"/>
    <x v="0"/>
    <n v="4"/>
    <n v="11"/>
    <n v="2003"/>
    <x v="0"/>
  </r>
  <r>
    <n v="10285"/>
    <s v="S50_4713"/>
    <x v="87"/>
    <x v="36"/>
    <x v="0"/>
    <x v="0"/>
    <s v="Medium"/>
    <n v="2"/>
    <n v="39"/>
    <n v="78.92"/>
    <n v="81"/>
    <n v="3077.88"/>
    <n v="-81.12"/>
    <x v="215"/>
    <x v="0"/>
    <n v="3"/>
    <n v="8"/>
    <n v="2004"/>
    <x v="0"/>
  </r>
  <r>
    <n v="10365"/>
    <s v="S50_4713"/>
    <x v="49"/>
    <x v="40"/>
    <x v="0"/>
    <x v="0"/>
    <s v="Medium"/>
    <n v="2"/>
    <n v="44"/>
    <n v="100"/>
    <n v="81"/>
    <n v="4984.32"/>
    <n v="1420.32"/>
    <x v="57"/>
    <x v="0"/>
    <n v="1"/>
    <n v="1"/>
    <n v="2005"/>
    <x v="0"/>
  </r>
  <r>
    <n v="10142"/>
    <s v="S700_1138"/>
    <x v="43"/>
    <x v="34"/>
    <x v="0"/>
    <x v="0"/>
    <s v="Small"/>
    <n v="2"/>
    <n v="41"/>
    <n v="64"/>
    <n v="66"/>
    <n v="2624"/>
    <n v="-82"/>
    <x v="182"/>
    <x v="0"/>
    <n v="3"/>
    <n v="8"/>
    <n v="2003"/>
    <x v="5"/>
  </r>
  <r>
    <n v="10315"/>
    <s v="S700_1138"/>
    <x v="3"/>
    <x v="3"/>
    <x v="3"/>
    <x v="1"/>
    <s v="Small"/>
    <n v="2"/>
    <n v="41"/>
    <n v="62"/>
    <n v="66"/>
    <n v="2542"/>
    <n v="-164"/>
    <x v="183"/>
    <x v="0"/>
    <n v="4"/>
    <n v="10"/>
    <n v="2004"/>
    <x v="5"/>
  </r>
  <r>
    <n v="10143"/>
    <s v="S700_1691"/>
    <x v="49"/>
    <x v="40"/>
    <x v="0"/>
    <x v="0"/>
    <s v="Medium"/>
    <n v="2"/>
    <n v="36"/>
    <n v="100"/>
    <n v="91"/>
    <n v="3945.96"/>
    <n v="669.96"/>
    <x v="221"/>
    <x v="0"/>
    <n v="3"/>
    <n v="8"/>
    <n v="2003"/>
    <x v="4"/>
  </r>
  <r>
    <n v="10156"/>
    <s v="S700_1691"/>
    <x v="26"/>
    <x v="21"/>
    <x v="8"/>
    <x v="1"/>
    <s v="Medium"/>
    <n v="2"/>
    <n v="48"/>
    <n v="100"/>
    <n v="91"/>
    <n v="4954.08"/>
    <n v="586.08000000000004"/>
    <x v="222"/>
    <x v="0"/>
    <n v="4"/>
    <n v="10"/>
    <n v="2003"/>
    <x v="4"/>
  </r>
  <r>
    <n v="10199"/>
    <s v="S700_1691"/>
    <x v="79"/>
    <x v="62"/>
    <x v="0"/>
    <x v="0"/>
    <s v="Medium"/>
    <n v="2"/>
    <n v="48"/>
    <n v="83.12"/>
    <n v="91"/>
    <n v="3989.76"/>
    <n v="-378.24"/>
    <x v="26"/>
    <x v="0"/>
    <n v="4"/>
    <n v="12"/>
    <n v="2003"/>
    <x v="4"/>
  </r>
  <r>
    <n v="10296"/>
    <s v="S700_1691"/>
    <x v="91"/>
    <x v="72"/>
    <x v="9"/>
    <x v="1"/>
    <s v="Medium"/>
    <n v="2"/>
    <n v="42"/>
    <n v="100"/>
    <n v="91"/>
    <n v="4296.6000000000004"/>
    <n v="474.6"/>
    <x v="223"/>
    <x v="0"/>
    <n v="3"/>
    <n v="9"/>
    <n v="2004"/>
    <x v="4"/>
  </r>
  <r>
    <n v="10388"/>
    <s v="S700_1691"/>
    <x v="78"/>
    <x v="40"/>
    <x v="0"/>
    <x v="0"/>
    <s v="Large"/>
    <n v="2"/>
    <n v="46"/>
    <n v="100"/>
    <n v="91"/>
    <n v="10066.6"/>
    <n v="5880.6"/>
    <x v="150"/>
    <x v="0"/>
    <n v="1"/>
    <n v="3"/>
    <n v="2005"/>
    <x v="4"/>
  </r>
  <r>
    <n v="10196"/>
    <s v="S700_1938"/>
    <x v="68"/>
    <x v="55"/>
    <x v="0"/>
    <x v="0"/>
    <s v="Medium"/>
    <n v="2"/>
    <n v="50"/>
    <n v="94.4"/>
    <n v="86"/>
    <n v="4720"/>
    <n v="420"/>
    <x v="108"/>
    <x v="0"/>
    <n v="4"/>
    <n v="11"/>
    <n v="2003"/>
    <x v="5"/>
  </r>
  <r>
    <n v="10282"/>
    <s v="S700_1938"/>
    <x v="43"/>
    <x v="34"/>
    <x v="0"/>
    <x v="0"/>
    <s v="Medium"/>
    <n v="2"/>
    <n v="43"/>
    <n v="86.61"/>
    <n v="86"/>
    <n v="3724.23"/>
    <n v="26.23"/>
    <x v="109"/>
    <x v="0"/>
    <n v="3"/>
    <n v="8"/>
    <n v="2004"/>
    <x v="5"/>
  </r>
  <r>
    <n v="10314"/>
    <s v="S700_1938"/>
    <x v="69"/>
    <x v="56"/>
    <x v="10"/>
    <x v="1"/>
    <s v="Small"/>
    <n v="2"/>
    <n v="23"/>
    <n v="76.22"/>
    <n v="86"/>
    <n v="1753.06"/>
    <n v="-224.94"/>
    <x v="110"/>
    <x v="0"/>
    <n v="4"/>
    <n v="10"/>
    <n v="2004"/>
    <x v="5"/>
  </r>
  <r>
    <n v="10372"/>
    <s v="S700_1938"/>
    <x v="41"/>
    <x v="32"/>
    <x v="5"/>
    <x v="2"/>
    <s v="Medium"/>
    <n v="2"/>
    <n v="44"/>
    <n v="100"/>
    <n v="86"/>
    <n v="4496.8"/>
    <n v="712.8"/>
    <x v="46"/>
    <x v="0"/>
    <n v="1"/>
    <n v="1"/>
    <n v="2005"/>
    <x v="5"/>
  </r>
  <r>
    <n v="10197"/>
    <s v="S700_2047"/>
    <x v="88"/>
    <x v="69"/>
    <x v="8"/>
    <x v="1"/>
    <s v="Small"/>
    <n v="2"/>
    <n v="24"/>
    <n v="90.52"/>
    <n v="90"/>
    <n v="2172.48"/>
    <n v="12.48"/>
    <x v="108"/>
    <x v="0"/>
    <n v="4"/>
    <n v="11"/>
    <n v="2003"/>
    <x v="5"/>
  </r>
  <r>
    <n v="10283"/>
    <s v="S700_2047"/>
    <x v="89"/>
    <x v="70"/>
    <x v="6"/>
    <x v="0"/>
    <s v="Small"/>
    <n v="2"/>
    <n v="20"/>
    <n v="94.14"/>
    <n v="90"/>
    <n v="1882.8"/>
    <n v="82.8"/>
    <x v="109"/>
    <x v="0"/>
    <n v="3"/>
    <n v="8"/>
    <n v="2004"/>
    <x v="5"/>
  </r>
  <r>
    <n v="10155"/>
    <s v="S700_2466"/>
    <x v="44"/>
    <x v="35"/>
    <x v="14"/>
    <x v="1"/>
    <s v="Small"/>
    <n v="2"/>
    <n v="20"/>
    <n v="100"/>
    <n v="99"/>
    <n v="2353.4"/>
    <n v="373.4"/>
    <x v="75"/>
    <x v="0"/>
    <n v="4"/>
    <n v="10"/>
    <n v="2003"/>
    <x v="4"/>
  </r>
  <r>
    <n v="10352"/>
    <s v="S700_2466"/>
    <x v="76"/>
    <x v="25"/>
    <x v="0"/>
    <x v="0"/>
    <s v="Medium"/>
    <n v="2"/>
    <n v="49"/>
    <n v="100"/>
    <n v="99"/>
    <n v="4935.28"/>
    <n v="84.28"/>
    <x v="73"/>
    <x v="0"/>
    <n v="4"/>
    <n v="12"/>
    <n v="2004"/>
    <x v="4"/>
  </r>
  <r>
    <n v="10261"/>
    <s v="S700_2610"/>
    <x v="15"/>
    <x v="13"/>
    <x v="6"/>
    <x v="0"/>
    <s v="Medium"/>
    <n v="2"/>
    <n v="44"/>
    <n v="68.67"/>
    <n v="72"/>
    <n v="3021.48"/>
    <n v="-146.52000000000001"/>
    <x v="16"/>
    <x v="0"/>
    <n v="2"/>
    <n v="6"/>
    <n v="2004"/>
    <x v="5"/>
  </r>
  <r>
    <n v="10295"/>
    <s v="S700_2610"/>
    <x v="16"/>
    <x v="14"/>
    <x v="0"/>
    <x v="0"/>
    <s v="Small"/>
    <n v="2"/>
    <n v="44"/>
    <n v="58.55"/>
    <n v="72"/>
    <n v="2576.1999999999998"/>
    <n v="-591.79999999999995"/>
    <x v="17"/>
    <x v="0"/>
    <n v="3"/>
    <n v="9"/>
    <n v="2004"/>
    <x v="5"/>
  </r>
  <r>
    <n v="10336"/>
    <s v="S700_2824"/>
    <x v="40"/>
    <x v="9"/>
    <x v="3"/>
    <x v="1"/>
    <s v="Large"/>
    <n v="2"/>
    <n v="46"/>
    <n v="100"/>
    <n v="101"/>
    <n v="9558.7999999999993"/>
    <n v="4912.8"/>
    <x v="45"/>
    <x v="0"/>
    <n v="4"/>
    <n v="11"/>
    <n v="2004"/>
    <x v="1"/>
  </r>
  <r>
    <n v="10133"/>
    <s v="S700_2834"/>
    <x v="26"/>
    <x v="21"/>
    <x v="8"/>
    <x v="1"/>
    <s v="Small"/>
    <n v="2"/>
    <n v="27"/>
    <n v="99.67"/>
    <n v="118"/>
    <n v="2691.09"/>
    <n v="-494.91"/>
    <x v="209"/>
    <x v="0"/>
    <n v="2"/>
    <n v="6"/>
    <n v="2003"/>
    <x v="4"/>
  </r>
  <r>
    <n v="10235"/>
    <s v="S700_2834"/>
    <x v="89"/>
    <x v="70"/>
    <x v="6"/>
    <x v="0"/>
    <s v="Small"/>
    <n v="2"/>
    <n v="25"/>
    <n v="96.11"/>
    <n v="118"/>
    <n v="2402.75"/>
    <n v="-547.25"/>
    <x v="210"/>
    <x v="0"/>
    <n v="2"/>
    <n v="4"/>
    <n v="2004"/>
    <x v="4"/>
  </r>
  <r>
    <n v="10401"/>
    <s v="S700_2834"/>
    <x v="24"/>
    <x v="19"/>
    <x v="0"/>
    <x v="0"/>
    <s v="Small"/>
    <n v="2"/>
    <n v="21"/>
    <n v="96.11"/>
    <n v="118"/>
    <n v="2018.31"/>
    <n v="-459.69"/>
    <x v="212"/>
    <x v="5"/>
    <n v="2"/>
    <n v="4"/>
    <n v="2005"/>
    <x v="4"/>
  </r>
  <r>
    <n v="10153"/>
    <s v="S700_3505"/>
    <x v="26"/>
    <x v="21"/>
    <x v="8"/>
    <x v="1"/>
    <s v="Medium"/>
    <n v="2"/>
    <n v="50"/>
    <n v="88.15"/>
    <n v="100"/>
    <n v="4407.5"/>
    <n v="-592.5"/>
    <x v="226"/>
    <x v="0"/>
    <n v="3"/>
    <n v="9"/>
    <n v="2003"/>
    <x v="5"/>
  </r>
  <r>
    <n v="10327"/>
    <s v="S700_3505"/>
    <x v="30"/>
    <x v="24"/>
    <x v="10"/>
    <x v="1"/>
    <s v="Medium"/>
    <n v="2"/>
    <n v="43"/>
    <n v="80"/>
    <n v="100"/>
    <n v="3440"/>
    <n v="-860"/>
    <x v="239"/>
    <x v="4"/>
    <n v="4"/>
    <n v="11"/>
    <n v="2004"/>
    <x v="5"/>
  </r>
  <r>
    <n v="10373"/>
    <s v="S700_3505"/>
    <x v="71"/>
    <x v="58"/>
    <x v="14"/>
    <x v="1"/>
    <s v="Medium"/>
    <n v="2"/>
    <n v="34"/>
    <n v="96.34"/>
    <n v="100"/>
    <n v="3275.56"/>
    <n v="-124.44"/>
    <x v="250"/>
    <x v="0"/>
    <n v="1"/>
    <n v="1"/>
    <n v="2005"/>
    <x v="5"/>
  </r>
  <r>
    <n v="10386"/>
    <s v="S700_3505"/>
    <x v="26"/>
    <x v="21"/>
    <x v="8"/>
    <x v="1"/>
    <s v="Medium"/>
    <n v="2"/>
    <n v="45"/>
    <n v="92.08"/>
    <n v="100"/>
    <n v="4143.6000000000004"/>
    <n v="-356.4"/>
    <x v="178"/>
    <x v="4"/>
    <n v="1"/>
    <n v="3"/>
    <n v="2005"/>
    <x v="5"/>
  </r>
  <r>
    <n v="10232"/>
    <s v="S700_3962"/>
    <x v="84"/>
    <x v="66"/>
    <x v="15"/>
    <x v="1"/>
    <s v="Small"/>
    <n v="2"/>
    <n v="35"/>
    <n v="82.43"/>
    <n v="99"/>
    <n v="2885.05"/>
    <n v="-579.95000000000005"/>
    <x v="244"/>
    <x v="0"/>
    <n v="1"/>
    <n v="3"/>
    <n v="2004"/>
    <x v="5"/>
  </r>
  <r>
    <n v="10397"/>
    <s v="S700_3962"/>
    <x v="57"/>
    <x v="46"/>
    <x v="3"/>
    <x v="1"/>
    <s v="Medium"/>
    <n v="2"/>
    <n v="36"/>
    <n v="100"/>
    <n v="99"/>
    <n v="3789.72"/>
    <n v="225.72"/>
    <x v="251"/>
    <x v="0"/>
    <n v="1"/>
    <n v="3"/>
    <n v="2005"/>
    <x v="5"/>
  </r>
  <r>
    <n v="10131"/>
    <s v="S700_4002"/>
    <x v="61"/>
    <x v="27"/>
    <x v="0"/>
    <x v="0"/>
    <s v="Small"/>
    <n v="2"/>
    <n v="26"/>
    <n v="85.13"/>
    <n v="74"/>
    <n v="2213.38"/>
    <n v="289.38"/>
    <x v="129"/>
    <x v="0"/>
    <n v="2"/>
    <n v="6"/>
    <n v="2003"/>
    <x v="4"/>
  </r>
  <r>
    <n v="10178"/>
    <s v="S700_4002"/>
    <x v="57"/>
    <x v="46"/>
    <x v="3"/>
    <x v="1"/>
    <s v="Medium"/>
    <n v="2"/>
    <n v="45"/>
    <n v="76.25"/>
    <n v="74"/>
    <n v="3431.25"/>
    <n v="101.25"/>
    <x v="231"/>
    <x v="0"/>
    <n v="4"/>
    <n v="11"/>
    <n v="2003"/>
    <x v="4"/>
  </r>
  <r>
    <n v="10198"/>
    <s v="S700_4002"/>
    <x v="85"/>
    <x v="67"/>
    <x v="18"/>
    <x v="2"/>
    <s v="Small"/>
    <n v="2"/>
    <n v="40"/>
    <n v="63.67"/>
    <n v="74"/>
    <n v="2546.8000000000002"/>
    <n v="-413.2"/>
    <x v="232"/>
    <x v="0"/>
    <n v="4"/>
    <n v="11"/>
    <n v="2003"/>
    <x v="4"/>
  </r>
  <r>
    <n v="10222"/>
    <s v="S700_4002"/>
    <x v="80"/>
    <x v="63"/>
    <x v="0"/>
    <x v="0"/>
    <s v="Medium"/>
    <n v="2"/>
    <n v="43"/>
    <n v="74.03"/>
    <n v="74"/>
    <n v="3183.29"/>
    <n v="1.29"/>
    <x v="233"/>
    <x v="0"/>
    <n v="1"/>
    <n v="2"/>
    <n v="2004"/>
    <x v="4"/>
  </r>
  <r>
    <n v="10117"/>
    <s v="S72_3212"/>
    <x v="17"/>
    <x v="15"/>
    <x v="7"/>
    <x v="2"/>
    <s v="Small"/>
    <n v="2"/>
    <n v="50"/>
    <n v="43.68"/>
    <n v="54"/>
    <n v="2184"/>
    <n v="-516"/>
    <x v="246"/>
    <x v="0"/>
    <n v="2"/>
    <n v="4"/>
    <n v="2003"/>
    <x v="5"/>
  </r>
  <r>
    <n v="10215"/>
    <s v="S10_1949"/>
    <x v="79"/>
    <x v="62"/>
    <x v="0"/>
    <x v="0"/>
    <s v="Medium"/>
    <n v="3"/>
    <n v="35"/>
    <n v="100"/>
    <n v="214"/>
    <n v="6075.3"/>
    <n v="-1414.7"/>
    <x v="139"/>
    <x v="0"/>
    <n v="1"/>
    <n v="1"/>
    <n v="2004"/>
    <x v="1"/>
  </r>
  <r>
    <n v="10312"/>
    <s v="S10_1949"/>
    <x v="43"/>
    <x v="34"/>
    <x v="0"/>
    <x v="0"/>
    <s v="Large"/>
    <n v="3"/>
    <n v="48"/>
    <n v="100"/>
    <n v="214"/>
    <n v="11623.7"/>
    <n v="1351.7"/>
    <x v="140"/>
    <x v="0"/>
    <n v="4"/>
    <n v="10"/>
    <n v="2004"/>
    <x v="1"/>
  </r>
  <r>
    <n v="10333"/>
    <s v="S10_1949"/>
    <x v="23"/>
    <x v="17"/>
    <x v="0"/>
    <x v="0"/>
    <s v="Medium"/>
    <n v="3"/>
    <n v="26"/>
    <n v="100"/>
    <n v="214"/>
    <n v="3003"/>
    <n v="-2561"/>
    <x v="200"/>
    <x v="0"/>
    <n v="4"/>
    <n v="11"/>
    <n v="2004"/>
    <x v="1"/>
  </r>
  <r>
    <n v="10381"/>
    <s v="S10_1949"/>
    <x v="21"/>
    <x v="17"/>
    <x v="0"/>
    <x v="0"/>
    <s v="Large"/>
    <n v="3"/>
    <n v="36"/>
    <n v="100"/>
    <n v="214"/>
    <n v="8254.7999999999993"/>
    <n v="550.79999999999995"/>
    <x v="23"/>
    <x v="0"/>
    <n v="1"/>
    <n v="2"/>
    <n v="2005"/>
    <x v="1"/>
  </r>
  <r>
    <n v="10120"/>
    <s v="S10_2016"/>
    <x v="2"/>
    <x v="2"/>
    <x v="2"/>
    <x v="2"/>
    <s v="Small"/>
    <n v="3"/>
    <n v="29"/>
    <n v="96.34"/>
    <n v="118"/>
    <n v="2793.86"/>
    <n v="-628.14"/>
    <x v="149"/>
    <x v="0"/>
    <n v="2"/>
    <n v="4"/>
    <n v="2003"/>
    <x v="0"/>
  </r>
  <r>
    <n v="10168"/>
    <s v="S10_4698"/>
    <x v="0"/>
    <x v="0"/>
    <x v="0"/>
    <x v="0"/>
    <s v="Medium"/>
    <n v="3"/>
    <n v="20"/>
    <n v="100"/>
    <n v="193"/>
    <n v="4183"/>
    <n v="323"/>
    <x v="0"/>
    <x v="0"/>
    <n v="4"/>
    <n v="10"/>
    <n v="2003"/>
    <x v="0"/>
  </r>
  <r>
    <n v="10188"/>
    <s v="S10_4698"/>
    <x v="1"/>
    <x v="1"/>
    <x v="1"/>
    <x v="1"/>
    <s v="Large"/>
    <n v="3"/>
    <n v="45"/>
    <n v="100"/>
    <n v="193"/>
    <n v="8714.7000000000007"/>
    <n v="29.7"/>
    <x v="1"/>
    <x v="0"/>
    <n v="4"/>
    <n v="11"/>
    <n v="2003"/>
    <x v="0"/>
  </r>
  <r>
    <n v="10223"/>
    <s v="S10_4698"/>
    <x v="2"/>
    <x v="2"/>
    <x v="2"/>
    <x v="2"/>
    <s v="Large"/>
    <n v="3"/>
    <n v="49"/>
    <n v="100"/>
    <n v="193"/>
    <n v="9774.0300000000007"/>
    <n v="317.02999999999997"/>
    <x v="2"/>
    <x v="0"/>
    <n v="1"/>
    <n v="2"/>
    <n v="2004"/>
    <x v="0"/>
  </r>
  <r>
    <n v="10275"/>
    <s v="S10_4698"/>
    <x v="3"/>
    <x v="3"/>
    <x v="3"/>
    <x v="1"/>
    <s v="Medium"/>
    <n v="3"/>
    <n v="36"/>
    <n v="100"/>
    <n v="193"/>
    <n v="6901.92"/>
    <n v="-46.08"/>
    <x v="3"/>
    <x v="0"/>
    <n v="3"/>
    <n v="7"/>
    <n v="2004"/>
    <x v="0"/>
  </r>
  <r>
    <n v="10318"/>
    <s v="S10_4698"/>
    <x v="4"/>
    <x v="4"/>
    <x v="0"/>
    <x v="0"/>
    <s v="Large"/>
    <n v="3"/>
    <n v="37"/>
    <n v="100"/>
    <n v="193"/>
    <n v="7667.14"/>
    <n v="526.14"/>
    <x v="4"/>
    <x v="0"/>
    <n v="4"/>
    <n v="11"/>
    <n v="2004"/>
    <x v="0"/>
  </r>
  <r>
    <n v="10329"/>
    <s v="S10_4698"/>
    <x v="5"/>
    <x v="5"/>
    <x v="0"/>
    <x v="0"/>
    <s v="Medium"/>
    <n v="3"/>
    <n v="26"/>
    <n v="100"/>
    <n v="193"/>
    <n v="5868.2"/>
    <n v="850.2"/>
    <x v="5"/>
    <x v="0"/>
    <n v="4"/>
    <n v="11"/>
    <n v="2004"/>
    <x v="0"/>
  </r>
  <r>
    <n v="10339"/>
    <s v="S10_4698"/>
    <x v="41"/>
    <x v="32"/>
    <x v="5"/>
    <x v="2"/>
    <s v="Small"/>
    <n v="3"/>
    <n v="39"/>
    <n v="76.67"/>
    <n v="193"/>
    <n v="2990.13"/>
    <n v="-4536.87"/>
    <x v="90"/>
    <x v="0"/>
    <n v="4"/>
    <n v="11"/>
    <n v="2004"/>
    <x v="0"/>
  </r>
  <r>
    <n v="10248"/>
    <s v="S10_4757"/>
    <x v="5"/>
    <x v="5"/>
    <x v="0"/>
    <x v="0"/>
    <s v="Small"/>
    <n v="3"/>
    <n v="20"/>
    <n v="100"/>
    <n v="136"/>
    <n v="2910.4"/>
    <n v="190.4"/>
    <x v="105"/>
    <x v="3"/>
    <n v="2"/>
    <n v="5"/>
    <n v="2004"/>
    <x v="1"/>
  </r>
  <r>
    <n v="10373"/>
    <s v="S10_4757"/>
    <x v="71"/>
    <x v="58"/>
    <x v="14"/>
    <x v="1"/>
    <s v="Medium"/>
    <n v="3"/>
    <n v="39"/>
    <n v="100"/>
    <n v="136"/>
    <n v="4046.25"/>
    <n v="-1257.75"/>
    <x v="250"/>
    <x v="0"/>
    <n v="1"/>
    <n v="1"/>
    <n v="2005"/>
    <x v="1"/>
  </r>
  <r>
    <n v="10414"/>
    <s v="S10_4757"/>
    <x v="16"/>
    <x v="14"/>
    <x v="0"/>
    <x v="0"/>
    <s v="Small"/>
    <n v="3"/>
    <n v="19"/>
    <n v="100"/>
    <n v="136"/>
    <n v="2764.88"/>
    <n v="180.88"/>
    <x v="106"/>
    <x v="5"/>
    <n v="2"/>
    <n v="5"/>
    <n v="2005"/>
    <x v="1"/>
  </r>
  <r>
    <n v="10191"/>
    <s v="S12_1099"/>
    <x v="29"/>
    <x v="23"/>
    <x v="9"/>
    <x v="1"/>
    <s v="Medium"/>
    <n v="3"/>
    <n v="21"/>
    <n v="100"/>
    <n v="194"/>
    <n v="3840.9"/>
    <n v="-233.1"/>
    <x v="34"/>
    <x v="0"/>
    <n v="4"/>
    <n v="11"/>
    <n v="2003"/>
    <x v="1"/>
  </r>
  <r>
    <n v="10238"/>
    <s v="S12_1099"/>
    <x v="30"/>
    <x v="24"/>
    <x v="10"/>
    <x v="1"/>
    <s v="Medium"/>
    <n v="3"/>
    <n v="28"/>
    <n v="100"/>
    <n v="194"/>
    <n v="5774.72"/>
    <n v="342.72"/>
    <x v="35"/>
    <x v="0"/>
    <n v="2"/>
    <n v="4"/>
    <n v="2004"/>
    <x v="1"/>
  </r>
  <r>
    <n v="10276"/>
    <s v="S12_1099"/>
    <x v="31"/>
    <x v="25"/>
    <x v="0"/>
    <x v="0"/>
    <s v="Large"/>
    <n v="3"/>
    <n v="50"/>
    <n v="100"/>
    <n v="194"/>
    <n v="9631"/>
    <n v="-69"/>
    <x v="36"/>
    <x v="0"/>
    <n v="3"/>
    <n v="8"/>
    <n v="2004"/>
    <x v="1"/>
  </r>
  <r>
    <n v="10320"/>
    <s v="S12_1099"/>
    <x v="6"/>
    <x v="6"/>
    <x v="4"/>
    <x v="1"/>
    <s v="Medium"/>
    <n v="3"/>
    <n v="31"/>
    <n v="100"/>
    <n v="194"/>
    <n v="6876.11"/>
    <n v="862.11"/>
    <x v="37"/>
    <x v="0"/>
    <n v="4"/>
    <n v="11"/>
    <n v="2004"/>
    <x v="1"/>
  </r>
  <r>
    <n v="10363"/>
    <s v="S12_1099"/>
    <x v="38"/>
    <x v="30"/>
    <x v="14"/>
    <x v="1"/>
    <s v="Small"/>
    <n v="3"/>
    <n v="33"/>
    <n v="85.39"/>
    <n v="194"/>
    <n v="2817.87"/>
    <n v="-3584.13"/>
    <x v="190"/>
    <x v="0"/>
    <n v="1"/>
    <n v="1"/>
    <n v="2005"/>
    <x v="1"/>
  </r>
  <r>
    <n v="10165"/>
    <s v="S12_1108"/>
    <x v="17"/>
    <x v="15"/>
    <x v="7"/>
    <x v="2"/>
    <s v="Large"/>
    <n v="3"/>
    <n v="44"/>
    <n v="100"/>
    <n v="207"/>
    <n v="8594.52"/>
    <n v="-513.48"/>
    <x v="116"/>
    <x v="0"/>
    <n v="4"/>
    <n v="10"/>
    <n v="2003"/>
    <x v="1"/>
  </r>
  <r>
    <n v="10206"/>
    <s v="S12_1666"/>
    <x v="90"/>
    <x v="71"/>
    <x v="6"/>
    <x v="0"/>
    <s v="Medium"/>
    <n v="3"/>
    <n v="28"/>
    <n v="100"/>
    <n v="136"/>
    <n v="4056.36"/>
    <n v="248.36"/>
    <x v="240"/>
    <x v="0"/>
    <n v="4"/>
    <n v="12"/>
    <n v="2003"/>
    <x v="2"/>
  </r>
  <r>
    <n v="10258"/>
    <s v="S12_1666"/>
    <x v="41"/>
    <x v="32"/>
    <x v="5"/>
    <x v="2"/>
    <s v="Medium"/>
    <n v="3"/>
    <n v="41"/>
    <n v="100"/>
    <n v="136"/>
    <n v="6668.24"/>
    <n v="1092.24"/>
    <x v="147"/>
    <x v="0"/>
    <n v="2"/>
    <n v="6"/>
    <n v="2004"/>
    <x v="2"/>
  </r>
  <r>
    <n v="10304"/>
    <s v="S12_1666"/>
    <x v="20"/>
    <x v="16"/>
    <x v="3"/>
    <x v="1"/>
    <s v="Medium"/>
    <n v="3"/>
    <n v="39"/>
    <n v="100"/>
    <n v="136"/>
    <n v="6396"/>
    <n v="1092"/>
    <x v="241"/>
    <x v="0"/>
    <n v="4"/>
    <n v="10"/>
    <n v="2004"/>
    <x v="2"/>
  </r>
  <r>
    <n v="10347"/>
    <s v="S12_1666"/>
    <x v="2"/>
    <x v="2"/>
    <x v="2"/>
    <x v="2"/>
    <s v="Medium"/>
    <n v="3"/>
    <n v="29"/>
    <n v="100"/>
    <n v="136"/>
    <n v="3586.43"/>
    <n v="-357.57"/>
    <x v="9"/>
    <x v="0"/>
    <n v="4"/>
    <n v="11"/>
    <n v="2004"/>
    <x v="2"/>
  </r>
  <r>
    <n v="10424"/>
    <s v="S12_1666"/>
    <x v="26"/>
    <x v="21"/>
    <x v="8"/>
    <x v="1"/>
    <s v="Large"/>
    <n v="3"/>
    <n v="49"/>
    <n v="100"/>
    <n v="136"/>
    <n v="7969.36"/>
    <n v="1305.3599999999999"/>
    <x v="148"/>
    <x v="2"/>
    <n v="2"/>
    <n v="5"/>
    <n v="2005"/>
    <x v="2"/>
  </r>
  <r>
    <n v="10127"/>
    <s v="S12_3148"/>
    <x v="34"/>
    <x v="5"/>
    <x v="0"/>
    <x v="0"/>
    <s v="Large"/>
    <n v="3"/>
    <n v="46"/>
    <n v="100"/>
    <n v="151"/>
    <n v="7366.44"/>
    <n v="420.44"/>
    <x v="40"/>
    <x v="0"/>
    <n v="2"/>
    <n v="6"/>
    <n v="2003"/>
    <x v="1"/>
  </r>
  <r>
    <n v="10176"/>
    <s v="S12_3148"/>
    <x v="35"/>
    <x v="28"/>
    <x v="12"/>
    <x v="1"/>
    <s v="Large"/>
    <n v="3"/>
    <n v="47"/>
    <n v="100"/>
    <n v="151"/>
    <n v="8378.69"/>
    <n v="1281.69"/>
    <x v="21"/>
    <x v="0"/>
    <n v="4"/>
    <n v="11"/>
    <n v="2003"/>
    <x v="1"/>
  </r>
  <r>
    <n v="10220"/>
    <s v="S12_3148"/>
    <x v="36"/>
    <x v="29"/>
    <x v="13"/>
    <x v="1"/>
    <s v="Medium"/>
    <n v="3"/>
    <n v="30"/>
    <n v="100"/>
    <n v="151"/>
    <n v="4713.6000000000004"/>
    <n v="183.6"/>
    <x v="41"/>
    <x v="0"/>
    <n v="1"/>
    <n v="2"/>
    <n v="2004"/>
    <x v="1"/>
  </r>
  <r>
    <n v="10247"/>
    <s v="S12_3148"/>
    <x v="38"/>
    <x v="30"/>
    <x v="14"/>
    <x v="1"/>
    <s v="Medium"/>
    <n v="3"/>
    <n v="25"/>
    <n v="100"/>
    <n v="151"/>
    <n v="4381.25"/>
    <n v="606.25"/>
    <x v="43"/>
    <x v="0"/>
    <n v="2"/>
    <n v="5"/>
    <n v="2004"/>
    <x v="1"/>
  </r>
  <r>
    <n v="10272"/>
    <s v="S12_3148"/>
    <x v="4"/>
    <x v="4"/>
    <x v="0"/>
    <x v="0"/>
    <s v="Medium"/>
    <n v="3"/>
    <n v="27"/>
    <n v="100"/>
    <n v="151"/>
    <n v="4283.01"/>
    <n v="206.01"/>
    <x v="44"/>
    <x v="0"/>
    <n v="3"/>
    <n v="7"/>
    <n v="2004"/>
    <x v="1"/>
  </r>
  <r>
    <n v="10413"/>
    <s v="S12_3148"/>
    <x v="25"/>
    <x v="20"/>
    <x v="0"/>
    <x v="0"/>
    <s v="Large"/>
    <n v="3"/>
    <n v="47"/>
    <n v="100"/>
    <n v="151"/>
    <n v="8236.75"/>
    <n v="1139.75"/>
    <x v="47"/>
    <x v="0"/>
    <n v="2"/>
    <n v="5"/>
    <n v="2005"/>
    <x v="1"/>
  </r>
  <r>
    <n v="10300"/>
    <s v="S12_3380"/>
    <x v="27"/>
    <x v="22"/>
    <x v="9"/>
    <x v="1"/>
    <s v="Medium"/>
    <n v="3"/>
    <n v="29"/>
    <n v="100"/>
    <n v="117"/>
    <n v="3984.6"/>
    <n v="591.6"/>
    <x v="77"/>
    <x v="0"/>
    <n v="4"/>
    <n v="10"/>
    <n v="2003"/>
    <x v="1"/>
  </r>
  <r>
    <n v="10396"/>
    <s v="S12_3891"/>
    <x v="43"/>
    <x v="34"/>
    <x v="0"/>
    <x v="0"/>
    <s v="Medium"/>
    <n v="3"/>
    <n v="33"/>
    <n v="100"/>
    <n v="173"/>
    <n v="6109.29"/>
    <n v="400.29"/>
    <x v="229"/>
    <x v="0"/>
    <n v="1"/>
    <n v="3"/>
    <n v="2005"/>
    <x v="1"/>
  </r>
  <r>
    <n v="10159"/>
    <s v="S12_3990"/>
    <x v="21"/>
    <x v="17"/>
    <x v="0"/>
    <x v="0"/>
    <s v="Small"/>
    <n v="3"/>
    <n v="24"/>
    <n v="73.42"/>
    <n v="79"/>
    <n v="1762.08"/>
    <n v="-133.91999999999999"/>
    <x v="160"/>
    <x v="0"/>
    <n v="4"/>
    <n v="10"/>
    <n v="2003"/>
    <x v="1"/>
  </r>
  <r>
    <n v="10169"/>
    <s v="S12_3990"/>
    <x v="47"/>
    <x v="38"/>
    <x v="2"/>
    <x v="2"/>
    <s v="Small"/>
    <n v="3"/>
    <n v="36"/>
    <n v="63.84"/>
    <n v="79"/>
    <n v="2298.2399999999998"/>
    <n v="-545.76"/>
    <x v="185"/>
    <x v="0"/>
    <n v="4"/>
    <n v="11"/>
    <n v="2003"/>
    <x v="1"/>
  </r>
  <r>
    <n v="10211"/>
    <s v="S12_3990"/>
    <x v="11"/>
    <x v="9"/>
    <x v="3"/>
    <x v="1"/>
    <s v="Small"/>
    <n v="3"/>
    <n v="28"/>
    <n v="92.57"/>
    <n v="79"/>
    <n v="2591.96"/>
    <n v="379.96"/>
    <x v="186"/>
    <x v="0"/>
    <n v="1"/>
    <n v="1"/>
    <n v="2004"/>
    <x v="1"/>
  </r>
  <r>
    <n v="10151"/>
    <s v="S12_4473"/>
    <x v="71"/>
    <x v="58"/>
    <x v="14"/>
    <x v="1"/>
    <s v="Medium"/>
    <n v="3"/>
    <n v="24"/>
    <n v="100"/>
    <n v="118"/>
    <n v="3327.6"/>
    <n v="495.6"/>
    <x v="224"/>
    <x v="0"/>
    <n v="3"/>
    <n v="9"/>
    <n v="2003"/>
    <x v="2"/>
  </r>
  <r>
    <n v="10336"/>
    <s v="S12_4473"/>
    <x v="40"/>
    <x v="9"/>
    <x v="3"/>
    <x v="1"/>
    <s v="Medium"/>
    <n v="3"/>
    <n v="38"/>
    <n v="100"/>
    <n v="118"/>
    <n v="6372.6"/>
    <n v="1888.6"/>
    <x v="45"/>
    <x v="0"/>
    <n v="4"/>
    <n v="11"/>
    <n v="2004"/>
    <x v="2"/>
  </r>
  <r>
    <n v="10108"/>
    <s v="S12_4675"/>
    <x v="85"/>
    <x v="67"/>
    <x v="18"/>
    <x v="2"/>
    <s v="Medium"/>
    <n v="3"/>
    <n v="36"/>
    <n v="100"/>
    <n v="115"/>
    <n v="3731.04"/>
    <n v="-408.96"/>
    <x v="189"/>
    <x v="0"/>
    <n v="1"/>
    <n v="3"/>
    <n v="2003"/>
    <x v="1"/>
  </r>
  <r>
    <n v="10170"/>
    <s v="S12_4675"/>
    <x v="74"/>
    <x v="60"/>
    <x v="11"/>
    <x v="1"/>
    <s v="Medium"/>
    <n v="3"/>
    <n v="41"/>
    <n v="100"/>
    <n v="115"/>
    <n v="4391.1000000000004"/>
    <n v="-323.89999999999998"/>
    <x v="185"/>
    <x v="0"/>
    <n v="4"/>
    <n v="11"/>
    <n v="2003"/>
    <x v="1"/>
  </r>
  <r>
    <n v="10174"/>
    <s v="S18_1097"/>
    <x v="14"/>
    <x v="12"/>
    <x v="2"/>
    <x v="2"/>
    <s v="Medium"/>
    <n v="3"/>
    <n v="48"/>
    <n v="93.34"/>
    <n v="116"/>
    <n v="4480.32"/>
    <n v="-1087.68"/>
    <x v="21"/>
    <x v="0"/>
    <n v="4"/>
    <n v="11"/>
    <n v="2003"/>
    <x v="2"/>
  </r>
  <r>
    <n v="10240"/>
    <s v="S18_1129"/>
    <x v="12"/>
    <x v="10"/>
    <x v="5"/>
    <x v="2"/>
    <s v="Medium"/>
    <n v="3"/>
    <n v="41"/>
    <n v="100"/>
    <n v="141"/>
    <n v="5628.89"/>
    <n v="-152.11000000000001"/>
    <x v="83"/>
    <x v="0"/>
    <n v="2"/>
    <n v="4"/>
    <n v="2004"/>
    <x v="1"/>
  </r>
  <r>
    <n v="10406"/>
    <s v="S18_1129"/>
    <x v="30"/>
    <x v="24"/>
    <x v="10"/>
    <x v="1"/>
    <s v="Large"/>
    <n v="3"/>
    <n v="61"/>
    <n v="100"/>
    <n v="141"/>
    <n v="8374.69"/>
    <n v="-226.31"/>
    <x v="123"/>
    <x v="1"/>
    <n v="2"/>
    <n v="4"/>
    <n v="2005"/>
    <x v="1"/>
  </r>
  <r>
    <n v="10182"/>
    <s v="S18_1342"/>
    <x v="43"/>
    <x v="34"/>
    <x v="0"/>
    <x v="0"/>
    <s v="Small"/>
    <n v="3"/>
    <n v="25"/>
    <n v="87.33"/>
    <n v="102"/>
    <n v="2183.25"/>
    <n v="-366.75"/>
    <x v="117"/>
    <x v="0"/>
    <n v="4"/>
    <n v="11"/>
    <n v="2003"/>
    <x v="3"/>
  </r>
  <r>
    <n v="10227"/>
    <s v="S18_1342"/>
    <x v="73"/>
    <x v="59"/>
    <x v="3"/>
    <x v="1"/>
    <s v="Small"/>
    <n v="3"/>
    <n v="25"/>
    <n v="100"/>
    <n v="102"/>
    <n v="2953.75"/>
    <n v="403.75"/>
    <x v="118"/>
    <x v="0"/>
    <n v="1"/>
    <n v="3"/>
    <n v="2004"/>
    <x v="3"/>
  </r>
  <r>
    <n v="10346"/>
    <s v="S18_1342"/>
    <x v="83"/>
    <x v="65"/>
    <x v="0"/>
    <x v="0"/>
    <s v="Small"/>
    <n v="3"/>
    <n v="42"/>
    <n v="36.11"/>
    <n v="102"/>
    <n v="1516.62"/>
    <n v="-2767.38"/>
    <x v="9"/>
    <x v="0"/>
    <n v="4"/>
    <n v="11"/>
    <n v="2004"/>
    <x v="3"/>
  </r>
  <r>
    <n v="10149"/>
    <s v="S18_1367"/>
    <x v="58"/>
    <x v="47"/>
    <x v="0"/>
    <x v="0"/>
    <s v="Small"/>
    <n v="3"/>
    <n v="30"/>
    <n v="58.22"/>
    <n v="53"/>
    <n v="1746.6"/>
    <n v="156.6"/>
    <x v="198"/>
    <x v="0"/>
    <n v="3"/>
    <n v="9"/>
    <n v="2003"/>
    <x v="3"/>
  </r>
  <r>
    <n v="10391"/>
    <s v="S18_1367"/>
    <x v="47"/>
    <x v="38"/>
    <x v="2"/>
    <x v="2"/>
    <s v="Medium"/>
    <n v="3"/>
    <n v="42"/>
    <n v="100"/>
    <n v="53"/>
    <n v="4998"/>
    <n v="2772"/>
    <x v="165"/>
    <x v="0"/>
    <n v="1"/>
    <n v="3"/>
    <n v="2005"/>
    <x v="3"/>
  </r>
  <r>
    <n v="10119"/>
    <s v="S18_1662"/>
    <x v="32"/>
    <x v="26"/>
    <x v="11"/>
    <x v="1"/>
    <s v="Medium"/>
    <n v="3"/>
    <n v="43"/>
    <n v="100"/>
    <n v="157"/>
    <n v="6916.12"/>
    <n v="165.12"/>
    <x v="247"/>
    <x v="0"/>
    <n v="2"/>
    <n v="4"/>
    <n v="2003"/>
    <x v="4"/>
  </r>
  <r>
    <n v="10100"/>
    <s v="S18_1749"/>
    <x v="8"/>
    <x v="7"/>
    <x v="0"/>
    <x v="0"/>
    <s v="Medium"/>
    <n v="3"/>
    <n v="30"/>
    <n v="100"/>
    <n v="170"/>
    <n v="5151"/>
    <n v="51"/>
    <x v="191"/>
    <x v="0"/>
    <n v="1"/>
    <n v="1"/>
    <n v="2003"/>
    <x v="3"/>
  </r>
  <r>
    <n v="10367"/>
    <s v="S18_1749"/>
    <x v="22"/>
    <x v="18"/>
    <x v="0"/>
    <x v="0"/>
    <s v="Medium"/>
    <n v="3"/>
    <n v="37"/>
    <n v="100"/>
    <n v="170"/>
    <n v="4703.8100000000004"/>
    <n v="-1586.19"/>
    <x v="66"/>
    <x v="4"/>
    <n v="1"/>
    <n v="1"/>
    <n v="2005"/>
    <x v="3"/>
  </r>
  <r>
    <n v="10135"/>
    <s v="S18_1889"/>
    <x v="43"/>
    <x v="34"/>
    <x v="0"/>
    <x v="0"/>
    <s v="Medium"/>
    <n v="3"/>
    <n v="48"/>
    <n v="79.31"/>
    <n v="77"/>
    <n v="3806.88"/>
    <n v="110.88"/>
    <x v="180"/>
    <x v="0"/>
    <n v="3"/>
    <n v="7"/>
    <n v="2003"/>
    <x v="1"/>
  </r>
  <r>
    <n v="10147"/>
    <s v="S18_1889"/>
    <x v="53"/>
    <x v="25"/>
    <x v="0"/>
    <x v="0"/>
    <s v="Small"/>
    <n v="3"/>
    <n v="26"/>
    <n v="82.39"/>
    <n v="77"/>
    <n v="2142.14"/>
    <n v="140.13999999999999"/>
    <x v="181"/>
    <x v="0"/>
    <n v="3"/>
    <n v="9"/>
    <n v="2003"/>
    <x v="1"/>
  </r>
  <r>
    <n v="10389"/>
    <s v="S18_1889"/>
    <x v="51"/>
    <x v="42"/>
    <x v="4"/>
    <x v="1"/>
    <s v="Medium"/>
    <n v="3"/>
    <n v="49"/>
    <n v="79.22"/>
    <n v="77"/>
    <n v="3881.78"/>
    <n v="108.78"/>
    <x v="150"/>
    <x v="0"/>
    <n v="1"/>
    <n v="3"/>
    <n v="2005"/>
    <x v="1"/>
  </r>
  <r>
    <n v="10109"/>
    <s v="S18_1984"/>
    <x v="9"/>
    <x v="8"/>
    <x v="0"/>
    <x v="0"/>
    <s v="Medium"/>
    <n v="3"/>
    <n v="38"/>
    <n v="100"/>
    <n v="142"/>
    <n v="4432.7"/>
    <n v="-963.3"/>
    <x v="98"/>
    <x v="0"/>
    <n v="1"/>
    <n v="3"/>
    <n v="2003"/>
    <x v="1"/>
  </r>
  <r>
    <n v="10287"/>
    <s v="S18_1984"/>
    <x v="48"/>
    <x v="39"/>
    <x v="16"/>
    <x v="1"/>
    <s v="Medium"/>
    <n v="3"/>
    <n v="24"/>
    <n v="100"/>
    <n v="142"/>
    <n v="3516.48"/>
    <n v="108.48"/>
    <x v="99"/>
    <x v="0"/>
    <n v="3"/>
    <n v="8"/>
    <n v="2004"/>
    <x v="1"/>
  </r>
  <r>
    <n v="10342"/>
    <s v="S18_1984"/>
    <x v="2"/>
    <x v="2"/>
    <x v="2"/>
    <x v="2"/>
    <s v="Medium"/>
    <n v="3"/>
    <n v="22"/>
    <n v="100"/>
    <n v="142"/>
    <n v="3160.74"/>
    <n v="36.74"/>
    <x v="38"/>
    <x v="0"/>
    <n v="4"/>
    <n v="11"/>
    <n v="2004"/>
    <x v="1"/>
  </r>
  <r>
    <n v="10366"/>
    <s v="S18_1984"/>
    <x v="54"/>
    <x v="43"/>
    <x v="17"/>
    <x v="1"/>
    <s v="Medium"/>
    <n v="3"/>
    <n v="34"/>
    <n v="100"/>
    <n v="142"/>
    <n v="4207.84"/>
    <n v="-620.16"/>
    <x v="114"/>
    <x v="0"/>
    <n v="1"/>
    <n v="1"/>
    <n v="2005"/>
    <x v="1"/>
  </r>
  <r>
    <n v="10259"/>
    <s v="S18_2238"/>
    <x v="81"/>
    <x v="15"/>
    <x v="7"/>
    <x v="2"/>
    <s v="Medium"/>
    <n v="3"/>
    <n v="30"/>
    <n v="100"/>
    <n v="163"/>
    <n v="5697.9"/>
    <n v="807.9"/>
    <x v="147"/>
    <x v="0"/>
    <n v="2"/>
    <n v="6"/>
    <n v="2004"/>
    <x v="1"/>
  </r>
  <r>
    <n v="10425"/>
    <s v="S18_2238"/>
    <x v="3"/>
    <x v="3"/>
    <x v="3"/>
    <x v="1"/>
    <s v="Medium"/>
    <n v="3"/>
    <n v="28"/>
    <n v="100"/>
    <n v="163"/>
    <n v="5318.04"/>
    <n v="754.04"/>
    <x v="148"/>
    <x v="2"/>
    <n v="2"/>
    <n v="5"/>
    <n v="2005"/>
    <x v="1"/>
  </r>
  <r>
    <n v="10204"/>
    <s v="S18_2248"/>
    <x v="34"/>
    <x v="5"/>
    <x v="0"/>
    <x v="0"/>
    <s v="Small"/>
    <n v="3"/>
    <n v="23"/>
    <n v="71.44"/>
    <n v="60"/>
    <n v="1643.12"/>
    <n v="263.12"/>
    <x v="86"/>
    <x v="0"/>
    <n v="4"/>
    <n v="12"/>
    <n v="2003"/>
    <x v="3"/>
  </r>
  <r>
    <n v="10114"/>
    <s v="S18_2319"/>
    <x v="40"/>
    <x v="9"/>
    <x v="3"/>
    <x v="1"/>
    <s v="Medium"/>
    <n v="3"/>
    <n v="39"/>
    <n v="100"/>
    <n v="122"/>
    <n v="4164.42"/>
    <n v="-593.58000000000004"/>
    <x v="174"/>
    <x v="0"/>
    <n v="2"/>
    <n v="4"/>
    <n v="2003"/>
    <x v="2"/>
  </r>
  <r>
    <n v="10124"/>
    <s v="S18_2325"/>
    <x v="83"/>
    <x v="65"/>
    <x v="0"/>
    <x v="0"/>
    <s v="Medium"/>
    <n v="3"/>
    <n v="42"/>
    <n v="100"/>
    <n v="127"/>
    <n v="4431.84"/>
    <n v="-902.16"/>
    <x v="58"/>
    <x v="0"/>
    <n v="2"/>
    <n v="5"/>
    <n v="2003"/>
    <x v="3"/>
  </r>
  <r>
    <n v="10344"/>
    <s v="S18_2325"/>
    <x v="56"/>
    <x v="45"/>
    <x v="3"/>
    <x v="1"/>
    <s v="Medium"/>
    <n v="3"/>
    <n v="30"/>
    <n v="100"/>
    <n v="127"/>
    <n v="3928.2"/>
    <n v="118.2"/>
    <x v="76"/>
    <x v="0"/>
    <n v="4"/>
    <n v="11"/>
    <n v="2004"/>
    <x v="3"/>
  </r>
  <r>
    <n v="10356"/>
    <s v="S18_2325"/>
    <x v="19"/>
    <x v="9"/>
    <x v="3"/>
    <x v="1"/>
    <s v="Medium"/>
    <n v="3"/>
    <n v="29"/>
    <n v="100"/>
    <n v="127"/>
    <n v="3630.22"/>
    <n v="-52.78"/>
    <x v="96"/>
    <x v="0"/>
    <n v="4"/>
    <n v="12"/>
    <n v="2004"/>
    <x v="3"/>
  </r>
  <r>
    <n v="10133"/>
    <s v="S18_2581"/>
    <x v="26"/>
    <x v="21"/>
    <x v="8"/>
    <x v="1"/>
    <s v="Medium"/>
    <n v="3"/>
    <n v="49"/>
    <n v="69.27"/>
    <n v="84"/>
    <n v="3394.23"/>
    <n v="-721.77"/>
    <x v="209"/>
    <x v="0"/>
    <n v="2"/>
    <n v="6"/>
    <n v="2003"/>
    <x v="4"/>
  </r>
  <r>
    <n v="10235"/>
    <s v="S18_2581"/>
    <x v="89"/>
    <x v="70"/>
    <x v="6"/>
    <x v="0"/>
    <s v="Small"/>
    <n v="3"/>
    <n v="24"/>
    <n v="76.03"/>
    <n v="84"/>
    <n v="1824.72"/>
    <n v="-191.28"/>
    <x v="210"/>
    <x v="0"/>
    <n v="2"/>
    <n v="4"/>
    <n v="2004"/>
    <x v="4"/>
  </r>
  <r>
    <n v="10401"/>
    <s v="S18_2581"/>
    <x v="24"/>
    <x v="19"/>
    <x v="0"/>
    <x v="0"/>
    <s v="Medium"/>
    <n v="3"/>
    <n v="42"/>
    <n v="76.03"/>
    <n v="84"/>
    <n v="3193.26"/>
    <n v="-334.74"/>
    <x v="212"/>
    <x v="5"/>
    <n v="2"/>
    <n v="4"/>
    <n v="2005"/>
    <x v="4"/>
  </r>
  <r>
    <n v="10210"/>
    <s v="S18_2625"/>
    <x v="12"/>
    <x v="10"/>
    <x v="5"/>
    <x v="2"/>
    <s v="Small"/>
    <n v="3"/>
    <n v="40"/>
    <n v="49.67"/>
    <n v="60"/>
    <n v="1986.8"/>
    <n v="-413.2"/>
    <x v="13"/>
    <x v="0"/>
    <n v="1"/>
    <n v="1"/>
    <n v="2004"/>
    <x v="0"/>
  </r>
  <r>
    <n v="10308"/>
    <s v="S18_2625"/>
    <x v="13"/>
    <x v="11"/>
    <x v="0"/>
    <x v="0"/>
    <s v="Small"/>
    <n v="3"/>
    <n v="34"/>
    <n v="52.09"/>
    <n v="60"/>
    <n v="1771.06"/>
    <n v="-268.94"/>
    <x v="14"/>
    <x v="0"/>
    <n v="4"/>
    <n v="10"/>
    <n v="2004"/>
    <x v="0"/>
  </r>
  <r>
    <n v="10362"/>
    <s v="S18_2625"/>
    <x v="0"/>
    <x v="0"/>
    <x v="0"/>
    <x v="0"/>
    <s v="Small"/>
    <n v="3"/>
    <n v="23"/>
    <n v="49.67"/>
    <n v="60"/>
    <n v="1142.4100000000001"/>
    <n v="-237.59"/>
    <x v="29"/>
    <x v="0"/>
    <n v="1"/>
    <n v="1"/>
    <n v="2005"/>
    <x v="0"/>
  </r>
  <r>
    <n v="10162"/>
    <s v="S18_2795"/>
    <x v="21"/>
    <x v="17"/>
    <x v="0"/>
    <x v="0"/>
    <s v="Large"/>
    <n v="3"/>
    <n v="48"/>
    <n v="100"/>
    <n v="168"/>
    <n v="7209.12"/>
    <n v="-854.88"/>
    <x v="60"/>
    <x v="0"/>
    <n v="4"/>
    <n v="10"/>
    <n v="2003"/>
    <x v="3"/>
  </r>
  <r>
    <n v="10205"/>
    <s v="S18_2795"/>
    <x v="26"/>
    <x v="21"/>
    <x v="8"/>
    <x v="1"/>
    <s v="Large"/>
    <n v="3"/>
    <n v="40"/>
    <n v="100"/>
    <n v="168"/>
    <n v="7492.4"/>
    <n v="772.4"/>
    <x v="61"/>
    <x v="0"/>
    <n v="4"/>
    <n v="12"/>
    <n v="2003"/>
    <x v="3"/>
  </r>
  <r>
    <n v="10289"/>
    <s v="S18_2795"/>
    <x v="1"/>
    <x v="1"/>
    <x v="1"/>
    <x v="1"/>
    <s v="Large"/>
    <n v="3"/>
    <n v="43"/>
    <n v="100"/>
    <n v="168"/>
    <n v="8272.34"/>
    <n v="1048.3399999999999"/>
    <x v="63"/>
    <x v="0"/>
    <n v="3"/>
    <n v="9"/>
    <n v="2004"/>
    <x v="3"/>
  </r>
  <r>
    <n v="10123"/>
    <s v="S18_2870"/>
    <x v="10"/>
    <x v="3"/>
    <x v="3"/>
    <x v="1"/>
    <s v="Medium"/>
    <n v="3"/>
    <n v="46"/>
    <n v="100"/>
    <n v="132"/>
    <n v="5161.2"/>
    <n v="-910.8"/>
    <x v="151"/>
    <x v="0"/>
    <n v="2"/>
    <n v="5"/>
    <n v="2003"/>
    <x v="1"/>
  </r>
  <r>
    <n v="10137"/>
    <s v="S18_2870"/>
    <x v="82"/>
    <x v="64"/>
    <x v="3"/>
    <x v="1"/>
    <s v="Medium"/>
    <n v="3"/>
    <n v="37"/>
    <n v="100"/>
    <n v="132"/>
    <n v="4346.76"/>
    <n v="-537.24"/>
    <x v="152"/>
    <x v="0"/>
    <n v="3"/>
    <n v="7"/>
    <n v="2003"/>
    <x v="1"/>
  </r>
  <r>
    <n v="10181"/>
    <s v="S18_2870"/>
    <x v="1"/>
    <x v="1"/>
    <x v="1"/>
    <x v="1"/>
    <s v="Medium"/>
    <n v="3"/>
    <n v="27"/>
    <n v="100"/>
    <n v="132"/>
    <n v="3884.76"/>
    <n v="320.76"/>
    <x v="117"/>
    <x v="0"/>
    <n v="4"/>
    <n v="11"/>
    <n v="2003"/>
    <x v="1"/>
  </r>
  <r>
    <n v="10266"/>
    <s v="S18_2870"/>
    <x v="35"/>
    <x v="28"/>
    <x v="12"/>
    <x v="1"/>
    <s v="Small"/>
    <n v="3"/>
    <n v="20"/>
    <n v="100"/>
    <n v="132"/>
    <n v="2824.8"/>
    <n v="184.8"/>
    <x v="153"/>
    <x v="0"/>
    <n v="3"/>
    <n v="7"/>
    <n v="2004"/>
    <x v="1"/>
  </r>
  <r>
    <n v="10278"/>
    <s v="S18_2870"/>
    <x v="83"/>
    <x v="65"/>
    <x v="0"/>
    <x v="0"/>
    <s v="Medium"/>
    <n v="3"/>
    <n v="39"/>
    <n v="100"/>
    <n v="132"/>
    <n v="4324.32"/>
    <n v="-823.68"/>
    <x v="154"/>
    <x v="0"/>
    <n v="3"/>
    <n v="8"/>
    <n v="2004"/>
    <x v="1"/>
  </r>
  <r>
    <n v="10343"/>
    <s v="S18_2870"/>
    <x v="82"/>
    <x v="64"/>
    <x v="3"/>
    <x v="1"/>
    <s v="Small"/>
    <n v="3"/>
    <n v="25"/>
    <n v="52.32"/>
    <n v="132"/>
    <n v="1308"/>
    <n v="-1992"/>
    <x v="38"/>
    <x v="0"/>
    <n v="4"/>
    <n v="11"/>
    <n v="2004"/>
    <x v="1"/>
  </r>
  <r>
    <n v="10228"/>
    <s v="S18_2949"/>
    <x v="45"/>
    <x v="36"/>
    <x v="0"/>
    <x v="0"/>
    <s v="Small"/>
    <n v="3"/>
    <n v="24"/>
    <n v="100"/>
    <n v="101"/>
    <n v="2504.4"/>
    <n v="80.400000000000006"/>
    <x v="52"/>
    <x v="0"/>
    <n v="1"/>
    <n v="3"/>
    <n v="2004"/>
    <x v="3"/>
  </r>
  <r>
    <n v="10280"/>
    <s v="S18_2949"/>
    <x v="46"/>
    <x v="37"/>
    <x v="12"/>
    <x v="1"/>
    <s v="Medium"/>
    <n v="3"/>
    <n v="46"/>
    <n v="100"/>
    <n v="101"/>
    <n v="5126.24"/>
    <n v="480.24"/>
    <x v="53"/>
    <x v="0"/>
    <n v="3"/>
    <n v="8"/>
    <n v="2004"/>
    <x v="3"/>
  </r>
  <r>
    <n v="10139"/>
    <s v="S18_2957"/>
    <x v="64"/>
    <x v="51"/>
    <x v="2"/>
    <x v="2"/>
    <s v="Small"/>
    <n v="3"/>
    <n v="20"/>
    <n v="71.2"/>
    <n v="62"/>
    <n v="1424"/>
    <n v="184"/>
    <x v="100"/>
    <x v="0"/>
    <n v="3"/>
    <n v="7"/>
    <n v="2003"/>
    <x v="3"/>
  </r>
  <r>
    <n v="10193"/>
    <s v="S18_2957"/>
    <x v="65"/>
    <x v="52"/>
    <x v="2"/>
    <x v="2"/>
    <s v="Small"/>
    <n v="3"/>
    <n v="24"/>
    <n v="51.84"/>
    <n v="62"/>
    <n v="1244.1600000000001"/>
    <n v="-243.84"/>
    <x v="101"/>
    <x v="0"/>
    <n v="4"/>
    <n v="11"/>
    <n v="2003"/>
    <x v="3"/>
  </r>
  <r>
    <n v="10244"/>
    <s v="S18_2957"/>
    <x v="26"/>
    <x v="21"/>
    <x v="8"/>
    <x v="1"/>
    <s v="Small"/>
    <n v="3"/>
    <n v="24"/>
    <n v="58.09"/>
    <n v="62"/>
    <n v="1394.16"/>
    <n v="-93.84"/>
    <x v="102"/>
    <x v="0"/>
    <n v="2"/>
    <n v="4"/>
    <n v="2004"/>
    <x v="3"/>
  </r>
  <r>
    <n v="10257"/>
    <s v="S18_2957"/>
    <x v="55"/>
    <x v="44"/>
    <x v="0"/>
    <x v="0"/>
    <s v="Small"/>
    <n v="3"/>
    <n v="49"/>
    <n v="53.72"/>
    <n v="62"/>
    <n v="2632.28"/>
    <n v="-405.72"/>
    <x v="103"/>
    <x v="0"/>
    <n v="2"/>
    <n v="6"/>
    <n v="2004"/>
    <x v="3"/>
  </r>
  <r>
    <n v="10392"/>
    <s v="S18_2957"/>
    <x v="74"/>
    <x v="60"/>
    <x v="11"/>
    <x v="1"/>
    <s v="Small"/>
    <n v="3"/>
    <n v="37"/>
    <n v="59.96"/>
    <n v="62"/>
    <n v="2218.52"/>
    <n v="-75.48"/>
    <x v="119"/>
    <x v="0"/>
    <n v="1"/>
    <n v="3"/>
    <n v="2005"/>
    <x v="3"/>
  </r>
  <r>
    <n v="10423"/>
    <s v="S18_2957"/>
    <x v="66"/>
    <x v="53"/>
    <x v="17"/>
    <x v="1"/>
    <s v="Small"/>
    <n v="3"/>
    <n v="31"/>
    <n v="53.72"/>
    <n v="62"/>
    <n v="1665.32"/>
    <n v="-256.68"/>
    <x v="64"/>
    <x v="2"/>
    <n v="2"/>
    <n v="5"/>
    <n v="2005"/>
    <x v="3"/>
  </r>
  <r>
    <n v="10338"/>
    <s v="S18_3029"/>
    <x v="54"/>
    <x v="43"/>
    <x v="17"/>
    <x v="1"/>
    <s v="Small"/>
    <n v="3"/>
    <n v="28"/>
    <n v="82.58"/>
    <n v="86"/>
    <n v="2312.2399999999998"/>
    <n v="-95.76"/>
    <x v="72"/>
    <x v="0"/>
    <n v="4"/>
    <n v="11"/>
    <n v="2004"/>
    <x v="5"/>
  </r>
  <r>
    <n v="10163"/>
    <s v="S18_3136"/>
    <x v="7"/>
    <x v="5"/>
    <x v="0"/>
    <x v="0"/>
    <s v="Medium"/>
    <n v="3"/>
    <n v="40"/>
    <n v="100"/>
    <n v="104"/>
    <n v="4900.8"/>
    <n v="740.8"/>
    <x v="7"/>
    <x v="0"/>
    <n v="4"/>
    <n v="10"/>
    <n v="2003"/>
    <x v="3"/>
  </r>
  <r>
    <n v="10221"/>
    <s v="S18_3140"/>
    <x v="66"/>
    <x v="53"/>
    <x v="17"/>
    <x v="1"/>
    <s v="Medium"/>
    <n v="3"/>
    <n v="33"/>
    <n v="100"/>
    <n v="136"/>
    <n v="4417.38"/>
    <n v="-70.62"/>
    <x v="164"/>
    <x v="0"/>
    <n v="1"/>
    <n v="2"/>
    <n v="2004"/>
    <x v="3"/>
  </r>
  <r>
    <n v="10372"/>
    <s v="S18_3140"/>
    <x v="41"/>
    <x v="32"/>
    <x v="5"/>
    <x v="2"/>
    <s v="Medium"/>
    <n v="3"/>
    <n v="28"/>
    <n v="100"/>
    <n v="136"/>
    <n v="3862.88"/>
    <n v="54.88"/>
    <x v="46"/>
    <x v="0"/>
    <n v="1"/>
    <n v="1"/>
    <n v="2005"/>
    <x v="3"/>
  </r>
  <r>
    <n v="10122"/>
    <s v="S18_3232"/>
    <x v="56"/>
    <x v="45"/>
    <x v="3"/>
    <x v="1"/>
    <s v="Medium"/>
    <n v="3"/>
    <n v="25"/>
    <n v="100"/>
    <n v="169"/>
    <n v="3598.5"/>
    <n v="-626.5"/>
    <x v="78"/>
    <x v="0"/>
    <n v="2"/>
    <n v="5"/>
    <n v="2003"/>
    <x v="1"/>
  </r>
  <r>
    <n v="10136"/>
    <s v="S18_3232"/>
    <x v="57"/>
    <x v="46"/>
    <x v="3"/>
    <x v="1"/>
    <s v="Large"/>
    <n v="3"/>
    <n v="41"/>
    <n v="100"/>
    <n v="169"/>
    <n v="8331.61"/>
    <n v="1402.61"/>
    <x v="79"/>
    <x v="0"/>
    <n v="3"/>
    <n v="7"/>
    <n v="2003"/>
    <x v="1"/>
  </r>
  <r>
    <n v="10171"/>
    <s v="S18_3232"/>
    <x v="15"/>
    <x v="13"/>
    <x v="6"/>
    <x v="0"/>
    <s v="Medium"/>
    <n v="3"/>
    <n v="39"/>
    <n v="100"/>
    <n v="169"/>
    <n v="5481.45"/>
    <n v="-1109.55"/>
    <x v="80"/>
    <x v="0"/>
    <n v="4"/>
    <n v="11"/>
    <n v="2003"/>
    <x v="1"/>
  </r>
  <r>
    <n v="10310"/>
    <s v="S18_3232"/>
    <x v="29"/>
    <x v="23"/>
    <x v="9"/>
    <x v="1"/>
    <s v="Large"/>
    <n v="3"/>
    <n v="48"/>
    <n v="100"/>
    <n v="169"/>
    <n v="8940.9599999999991"/>
    <n v="828.96"/>
    <x v="81"/>
    <x v="0"/>
    <n v="4"/>
    <n v="10"/>
    <n v="2004"/>
    <x v="1"/>
  </r>
  <r>
    <n v="10313"/>
    <s v="S18_3232"/>
    <x v="90"/>
    <x v="71"/>
    <x v="6"/>
    <x v="0"/>
    <s v="Medium"/>
    <n v="3"/>
    <n v="25"/>
    <n v="100"/>
    <n v="169"/>
    <n v="4572.25"/>
    <n v="347.25"/>
    <x v="110"/>
    <x v="0"/>
    <n v="4"/>
    <n v="10"/>
    <n v="2004"/>
    <x v="1"/>
  </r>
  <r>
    <n v="10334"/>
    <s v="S18_3232"/>
    <x v="6"/>
    <x v="6"/>
    <x v="4"/>
    <x v="1"/>
    <s v="Small"/>
    <n v="3"/>
    <n v="20"/>
    <n v="100"/>
    <n v="169"/>
    <n v="2878.8"/>
    <n v="-501.2"/>
    <x v="87"/>
    <x v="5"/>
    <n v="4"/>
    <n v="11"/>
    <n v="2004"/>
    <x v="1"/>
  </r>
  <r>
    <n v="10377"/>
    <s v="S18_3232"/>
    <x v="44"/>
    <x v="35"/>
    <x v="14"/>
    <x v="1"/>
    <s v="Large"/>
    <n v="3"/>
    <n v="39"/>
    <n v="100"/>
    <n v="169"/>
    <n v="7264.53"/>
    <n v="673.53"/>
    <x v="51"/>
    <x v="0"/>
    <n v="1"/>
    <n v="2"/>
    <n v="2005"/>
    <x v="1"/>
  </r>
  <r>
    <n v="10196"/>
    <s v="S18_3259"/>
    <x v="68"/>
    <x v="55"/>
    <x v="0"/>
    <x v="0"/>
    <s v="Medium"/>
    <n v="3"/>
    <n v="35"/>
    <n v="100"/>
    <n v="100"/>
    <n v="3564.75"/>
    <n v="64.75"/>
    <x v="108"/>
    <x v="0"/>
    <n v="4"/>
    <n v="11"/>
    <n v="2003"/>
    <x v="6"/>
  </r>
  <r>
    <n v="10282"/>
    <s v="S18_3259"/>
    <x v="43"/>
    <x v="34"/>
    <x v="0"/>
    <x v="0"/>
    <s v="Medium"/>
    <n v="3"/>
    <n v="36"/>
    <n v="100"/>
    <n v="100"/>
    <n v="4174.92"/>
    <n v="574.91999999999996"/>
    <x v="109"/>
    <x v="0"/>
    <n v="3"/>
    <n v="8"/>
    <n v="2004"/>
    <x v="6"/>
  </r>
  <r>
    <n v="10314"/>
    <s v="S18_3259"/>
    <x v="69"/>
    <x v="56"/>
    <x v="10"/>
    <x v="1"/>
    <s v="Small"/>
    <n v="3"/>
    <n v="23"/>
    <n v="100"/>
    <n v="100"/>
    <n v="2481.6999999999998"/>
    <n v="181.7"/>
    <x v="110"/>
    <x v="0"/>
    <n v="4"/>
    <n v="10"/>
    <n v="2004"/>
    <x v="6"/>
  </r>
  <r>
    <n v="10357"/>
    <s v="S18_3320"/>
    <x v="43"/>
    <x v="34"/>
    <x v="0"/>
    <x v="0"/>
    <s v="Small"/>
    <n v="3"/>
    <n v="25"/>
    <n v="100"/>
    <n v="99"/>
    <n v="2604.25"/>
    <n v="129.25"/>
    <x v="54"/>
    <x v="0"/>
    <n v="4"/>
    <n v="12"/>
    <n v="2004"/>
    <x v="3"/>
  </r>
  <r>
    <n v="10330"/>
    <s v="S18_3482"/>
    <x v="85"/>
    <x v="67"/>
    <x v="18"/>
    <x v="2"/>
    <s v="Medium"/>
    <n v="3"/>
    <n v="37"/>
    <n v="100"/>
    <n v="146"/>
    <n v="4405.22"/>
    <n v="-996.78"/>
    <x v="172"/>
    <x v="0"/>
    <n v="4"/>
    <n v="11"/>
    <n v="2004"/>
    <x v="1"/>
  </r>
  <r>
    <n v="10253"/>
    <s v="S18_3685"/>
    <x v="50"/>
    <x v="41"/>
    <x v="15"/>
    <x v="1"/>
    <s v="Medium"/>
    <n v="3"/>
    <n v="31"/>
    <n v="100"/>
    <n v="141"/>
    <n v="4029.38"/>
    <n v="-341.62"/>
    <x v="65"/>
    <x v="3"/>
    <n v="2"/>
    <n v="6"/>
    <n v="2004"/>
    <x v="1"/>
  </r>
  <r>
    <n v="10419"/>
    <s v="S18_3685"/>
    <x v="32"/>
    <x v="26"/>
    <x v="11"/>
    <x v="1"/>
    <s v="Medium"/>
    <n v="3"/>
    <n v="43"/>
    <n v="100"/>
    <n v="141"/>
    <n v="5589.14"/>
    <n v="-473.86"/>
    <x v="67"/>
    <x v="0"/>
    <n v="2"/>
    <n v="5"/>
    <n v="2005"/>
    <x v="1"/>
  </r>
  <r>
    <n v="10180"/>
    <s v="S18_3782"/>
    <x v="75"/>
    <x v="61"/>
    <x v="3"/>
    <x v="1"/>
    <s v="Small"/>
    <n v="3"/>
    <n v="21"/>
    <n v="50.36"/>
    <n v="62"/>
    <n v="1057.56"/>
    <n v="-244.44"/>
    <x v="202"/>
    <x v="0"/>
    <n v="4"/>
    <n v="11"/>
    <n v="2003"/>
    <x v="0"/>
  </r>
  <r>
    <n v="10264"/>
    <s v="S18_3782"/>
    <x v="16"/>
    <x v="14"/>
    <x v="0"/>
    <x v="0"/>
    <s v="Small"/>
    <n v="3"/>
    <n v="48"/>
    <n v="54.71"/>
    <n v="62"/>
    <n v="2626.08"/>
    <n v="-349.92"/>
    <x v="203"/>
    <x v="0"/>
    <n v="2"/>
    <n v="6"/>
    <n v="2004"/>
    <x v="0"/>
  </r>
  <r>
    <n v="10299"/>
    <s v="S18_3782"/>
    <x v="44"/>
    <x v="35"/>
    <x v="14"/>
    <x v="1"/>
    <s v="Small"/>
    <n v="3"/>
    <n v="39"/>
    <n v="55.95"/>
    <n v="62"/>
    <n v="2182.0500000000002"/>
    <n v="-235.95"/>
    <x v="204"/>
    <x v="0"/>
    <n v="3"/>
    <n v="9"/>
    <n v="2004"/>
    <x v="0"/>
  </r>
  <r>
    <n v="10197"/>
    <s v="S18_3856"/>
    <x v="88"/>
    <x v="69"/>
    <x v="8"/>
    <x v="1"/>
    <s v="Small"/>
    <n v="3"/>
    <n v="22"/>
    <n v="100"/>
    <n v="105"/>
    <n v="2538.8000000000002"/>
    <n v="228.8"/>
    <x v="108"/>
    <x v="0"/>
    <n v="4"/>
    <n v="11"/>
    <n v="2003"/>
    <x v="3"/>
  </r>
  <r>
    <n v="10283"/>
    <s v="S18_3856"/>
    <x v="89"/>
    <x v="70"/>
    <x v="6"/>
    <x v="0"/>
    <s v="Medium"/>
    <n v="3"/>
    <n v="46"/>
    <n v="100"/>
    <n v="105"/>
    <n v="5795.54"/>
    <n v="965.54"/>
    <x v="109"/>
    <x v="0"/>
    <n v="3"/>
    <n v="8"/>
    <n v="2004"/>
    <x v="3"/>
  </r>
  <r>
    <n v="10104"/>
    <s v="S18_4027"/>
    <x v="26"/>
    <x v="21"/>
    <x v="8"/>
    <x v="1"/>
    <s v="Medium"/>
    <n v="3"/>
    <n v="38"/>
    <n v="100"/>
    <n v="143"/>
    <n v="5348.5"/>
    <n v="-85.5"/>
    <x v="31"/>
    <x v="0"/>
    <n v="1"/>
    <n v="1"/>
    <n v="2003"/>
    <x v="1"/>
  </r>
  <r>
    <n v="10230"/>
    <s v="S18_4027"/>
    <x v="27"/>
    <x v="22"/>
    <x v="9"/>
    <x v="1"/>
    <s v="Large"/>
    <n v="3"/>
    <n v="42"/>
    <n v="100"/>
    <n v="143"/>
    <n v="7238.28"/>
    <n v="1232.28"/>
    <x v="32"/>
    <x v="0"/>
    <n v="1"/>
    <n v="3"/>
    <n v="2004"/>
    <x v="1"/>
  </r>
  <r>
    <n v="10337"/>
    <s v="S18_4027"/>
    <x v="7"/>
    <x v="5"/>
    <x v="0"/>
    <x v="0"/>
    <s v="Medium"/>
    <n v="3"/>
    <n v="36"/>
    <n v="100"/>
    <n v="143"/>
    <n v="5679.36"/>
    <n v="531.36"/>
    <x v="245"/>
    <x v="0"/>
    <n v="4"/>
    <n v="11"/>
    <n v="2004"/>
    <x v="1"/>
  </r>
  <r>
    <n v="10241"/>
    <s v="S18_4409"/>
    <x v="59"/>
    <x v="48"/>
    <x v="3"/>
    <x v="1"/>
    <s v="Medium"/>
    <n v="3"/>
    <n v="42"/>
    <n v="90.19"/>
    <n v="92"/>
    <n v="3787.98"/>
    <n v="-76.02"/>
    <x v="83"/>
    <x v="0"/>
    <n v="2"/>
    <n v="4"/>
    <n v="2004"/>
    <x v="3"/>
  </r>
  <r>
    <n v="10407"/>
    <s v="S18_4409"/>
    <x v="55"/>
    <x v="44"/>
    <x v="0"/>
    <x v="0"/>
    <s v="Small"/>
    <n v="3"/>
    <n v="6"/>
    <n v="90.19"/>
    <n v="92"/>
    <n v="541.14"/>
    <n v="-10.86"/>
    <x v="85"/>
    <x v="5"/>
    <n v="2"/>
    <n v="4"/>
    <n v="2005"/>
    <x v="3"/>
  </r>
  <r>
    <n v="10293"/>
    <s v="S18_4522"/>
    <x v="46"/>
    <x v="37"/>
    <x v="12"/>
    <x v="1"/>
    <s v="Medium"/>
    <n v="3"/>
    <n v="49"/>
    <n v="100"/>
    <n v="87"/>
    <n v="4946.0600000000004"/>
    <n v="683.06"/>
    <x v="249"/>
    <x v="0"/>
    <n v="3"/>
    <n v="9"/>
    <n v="2004"/>
    <x v="3"/>
  </r>
  <r>
    <n v="10350"/>
    <s v="S18_4522"/>
    <x v="26"/>
    <x v="21"/>
    <x v="8"/>
    <x v="1"/>
    <s v="Medium"/>
    <n v="3"/>
    <n v="30"/>
    <n v="100"/>
    <n v="87"/>
    <n v="3023.1"/>
    <n v="413.1"/>
    <x v="111"/>
    <x v="0"/>
    <n v="4"/>
    <n v="12"/>
    <n v="2004"/>
    <x v="3"/>
  </r>
  <r>
    <n v="10164"/>
    <s v="S18_4600"/>
    <x v="74"/>
    <x v="60"/>
    <x v="11"/>
    <x v="1"/>
    <s v="Medium"/>
    <n v="3"/>
    <n v="45"/>
    <n v="100"/>
    <n v="121"/>
    <n v="5012.55"/>
    <n v="-432.45"/>
    <x v="138"/>
    <x v="4"/>
    <n v="4"/>
    <n v="10"/>
    <n v="2003"/>
    <x v="2"/>
  </r>
  <r>
    <n v="10245"/>
    <s v="S18_4600"/>
    <x v="68"/>
    <x v="55"/>
    <x v="0"/>
    <x v="0"/>
    <s v="Small"/>
    <n v="3"/>
    <n v="21"/>
    <n v="100"/>
    <n v="121"/>
    <n v="2390.2199999999998"/>
    <n v="-150.78"/>
    <x v="205"/>
    <x v="0"/>
    <n v="2"/>
    <n v="5"/>
    <n v="2004"/>
    <x v="2"/>
  </r>
  <r>
    <n v="10270"/>
    <s v="S18_4600"/>
    <x v="64"/>
    <x v="51"/>
    <x v="2"/>
    <x v="2"/>
    <s v="Medium"/>
    <n v="3"/>
    <n v="38"/>
    <n v="100"/>
    <n v="121"/>
    <n v="5383.08"/>
    <n v="785.08"/>
    <x v="206"/>
    <x v="0"/>
    <n v="3"/>
    <n v="7"/>
    <n v="2004"/>
    <x v="2"/>
  </r>
  <r>
    <n v="10411"/>
    <s v="S18_4600"/>
    <x v="15"/>
    <x v="13"/>
    <x v="6"/>
    <x v="0"/>
    <s v="Medium"/>
    <n v="3"/>
    <n v="46"/>
    <n v="100"/>
    <n v="121"/>
    <n v="5235.72"/>
    <n v="-330.28"/>
    <x v="208"/>
    <x v="0"/>
    <n v="2"/>
    <n v="5"/>
    <n v="2005"/>
    <x v="2"/>
  </r>
  <r>
    <n v="10113"/>
    <s v="S18_4668"/>
    <x v="43"/>
    <x v="34"/>
    <x v="0"/>
    <x v="0"/>
    <s v="Small"/>
    <n v="3"/>
    <n v="50"/>
    <n v="49.81"/>
    <n v="50"/>
    <n v="2490.5"/>
    <n v="-9.5"/>
    <x v="219"/>
    <x v="0"/>
    <n v="1"/>
    <n v="3"/>
    <n v="2003"/>
    <x v="3"/>
  </r>
  <r>
    <n v="10319"/>
    <s v="S18_4721"/>
    <x v="72"/>
    <x v="5"/>
    <x v="0"/>
    <x v="0"/>
    <s v="Large"/>
    <n v="3"/>
    <n v="45"/>
    <n v="100"/>
    <n v="148"/>
    <n v="7901.1"/>
    <n v="1241.0999999999999"/>
    <x v="37"/>
    <x v="0"/>
    <n v="4"/>
    <n v="11"/>
    <n v="2004"/>
    <x v="1"/>
  </r>
  <r>
    <n v="10390"/>
    <s v="S18_4721"/>
    <x v="43"/>
    <x v="34"/>
    <x v="0"/>
    <x v="0"/>
    <s v="Medium"/>
    <n v="3"/>
    <n v="49"/>
    <n v="100"/>
    <n v="148"/>
    <n v="6862.94"/>
    <n v="-389.06"/>
    <x v="122"/>
    <x v="0"/>
    <n v="1"/>
    <n v="3"/>
    <n v="2005"/>
    <x v="1"/>
  </r>
  <r>
    <n v="10302"/>
    <s v="S18_4933"/>
    <x v="50"/>
    <x v="41"/>
    <x v="15"/>
    <x v="1"/>
    <s v="Small"/>
    <n v="3"/>
    <n v="23"/>
    <n v="72.7"/>
    <n v="71"/>
    <n v="1672.1"/>
    <n v="39.1"/>
    <x v="75"/>
    <x v="0"/>
    <n v="4"/>
    <n v="10"/>
    <n v="2003"/>
    <x v="1"/>
  </r>
  <r>
    <n v="10332"/>
    <s v="S18_4933"/>
    <x v="62"/>
    <x v="50"/>
    <x v="15"/>
    <x v="1"/>
    <s v="Medium"/>
    <n v="3"/>
    <n v="21"/>
    <n v="100"/>
    <n v="71"/>
    <n v="3472.98"/>
    <n v="1981.98"/>
    <x v="95"/>
    <x v="0"/>
    <n v="4"/>
    <n v="11"/>
    <n v="2004"/>
    <x v="1"/>
  </r>
  <r>
    <n v="10172"/>
    <s v="S24_1046"/>
    <x v="25"/>
    <x v="20"/>
    <x v="0"/>
    <x v="0"/>
    <s v="Small"/>
    <n v="3"/>
    <n v="32"/>
    <n v="75.69"/>
    <n v="73"/>
    <n v="2422.08"/>
    <n v="86.08"/>
    <x v="80"/>
    <x v="0"/>
    <n v="4"/>
    <n v="11"/>
    <n v="2003"/>
    <x v="1"/>
  </r>
  <r>
    <n v="10212"/>
    <s v="S24_1046"/>
    <x v="26"/>
    <x v="21"/>
    <x v="8"/>
    <x v="1"/>
    <s v="Medium"/>
    <n v="3"/>
    <n v="41"/>
    <n v="82.31"/>
    <n v="73"/>
    <n v="3374.71"/>
    <n v="381.71"/>
    <x v="173"/>
    <x v="0"/>
    <n v="1"/>
    <n v="1"/>
    <n v="2004"/>
    <x v="1"/>
  </r>
  <r>
    <n v="10321"/>
    <s v="S24_1046"/>
    <x v="78"/>
    <x v="40"/>
    <x v="0"/>
    <x v="0"/>
    <s v="Small"/>
    <n v="3"/>
    <n v="30"/>
    <n v="70.55"/>
    <n v="73"/>
    <n v="2116.5"/>
    <n v="-73.5"/>
    <x v="8"/>
    <x v="0"/>
    <n v="4"/>
    <n v="11"/>
    <n v="2004"/>
    <x v="1"/>
  </r>
  <r>
    <n v="10380"/>
    <s v="S24_1046"/>
    <x v="26"/>
    <x v="21"/>
    <x v="8"/>
    <x v="1"/>
    <s v="Medium"/>
    <n v="3"/>
    <n v="34"/>
    <n v="100"/>
    <n v="73"/>
    <n v="3441.82"/>
    <n v="959.82"/>
    <x v="136"/>
    <x v="0"/>
    <n v="1"/>
    <n v="2"/>
    <n v="2005"/>
    <x v="1"/>
  </r>
  <r>
    <n v="10184"/>
    <s v="S24_1444"/>
    <x v="86"/>
    <x v="68"/>
    <x v="8"/>
    <x v="1"/>
    <s v="Small"/>
    <n v="3"/>
    <n v="31"/>
    <n v="60.11"/>
    <n v="57"/>
    <n v="1863.41"/>
    <n v="96.41"/>
    <x v="69"/>
    <x v="0"/>
    <n v="4"/>
    <n v="11"/>
    <n v="2003"/>
    <x v="1"/>
  </r>
  <r>
    <n v="10195"/>
    <s v="S24_1444"/>
    <x v="13"/>
    <x v="11"/>
    <x v="0"/>
    <x v="0"/>
    <s v="Small"/>
    <n v="3"/>
    <n v="44"/>
    <n v="66.47"/>
    <n v="57"/>
    <n v="2924.68"/>
    <n v="416.68"/>
    <x v="169"/>
    <x v="0"/>
    <n v="4"/>
    <n v="11"/>
    <n v="2003"/>
    <x v="1"/>
  </r>
  <r>
    <n v="10107"/>
    <s v="S24_1578"/>
    <x v="5"/>
    <x v="5"/>
    <x v="0"/>
    <x v="0"/>
    <s v="Small"/>
    <n v="3"/>
    <n v="25"/>
    <n v="100"/>
    <n v="112"/>
    <n v="2845.75"/>
    <n v="45.75"/>
    <x v="24"/>
    <x v="0"/>
    <n v="1"/>
    <n v="2"/>
    <n v="2003"/>
    <x v="0"/>
  </r>
  <r>
    <n v="10134"/>
    <s v="S24_1578"/>
    <x v="19"/>
    <x v="9"/>
    <x v="3"/>
    <x v="1"/>
    <s v="Medium"/>
    <n v="3"/>
    <n v="35"/>
    <n v="93.54"/>
    <n v="112"/>
    <n v="3273.9"/>
    <n v="-646.1"/>
    <x v="25"/>
    <x v="0"/>
    <n v="3"/>
    <n v="7"/>
    <n v="2003"/>
    <x v="0"/>
  </r>
  <r>
    <n v="10201"/>
    <s v="S24_1578"/>
    <x v="23"/>
    <x v="17"/>
    <x v="0"/>
    <x v="0"/>
    <s v="Medium"/>
    <n v="3"/>
    <n v="39"/>
    <n v="100"/>
    <n v="112"/>
    <n v="4351.2299999999996"/>
    <n v="-16.77"/>
    <x v="26"/>
    <x v="0"/>
    <n v="4"/>
    <n v="12"/>
    <n v="2003"/>
    <x v="0"/>
  </r>
  <r>
    <n v="10251"/>
    <s v="S24_1578"/>
    <x v="24"/>
    <x v="19"/>
    <x v="0"/>
    <x v="0"/>
    <s v="Small"/>
    <n v="3"/>
    <n v="26"/>
    <n v="100"/>
    <n v="112"/>
    <n v="2637.18"/>
    <n v="-274.82"/>
    <x v="27"/>
    <x v="0"/>
    <n v="2"/>
    <n v="5"/>
    <n v="2004"/>
    <x v="0"/>
  </r>
  <r>
    <n v="10263"/>
    <s v="S24_1578"/>
    <x v="25"/>
    <x v="20"/>
    <x v="0"/>
    <x v="0"/>
    <s v="Medium"/>
    <n v="3"/>
    <n v="42"/>
    <n v="100"/>
    <n v="112"/>
    <n v="4307.5200000000004"/>
    <n v="-396.48"/>
    <x v="28"/>
    <x v="0"/>
    <n v="2"/>
    <n v="6"/>
    <n v="2004"/>
    <x v="0"/>
  </r>
  <r>
    <n v="10417"/>
    <s v="S24_1578"/>
    <x v="26"/>
    <x v="21"/>
    <x v="8"/>
    <x v="1"/>
    <s v="Medium"/>
    <n v="3"/>
    <n v="35"/>
    <n v="100"/>
    <n v="112"/>
    <n v="3550.05"/>
    <n v="-369.95"/>
    <x v="30"/>
    <x v="1"/>
    <n v="2"/>
    <n v="5"/>
    <n v="2005"/>
    <x v="0"/>
  </r>
  <r>
    <n v="10226"/>
    <s v="S24_1628"/>
    <x v="80"/>
    <x v="63"/>
    <x v="0"/>
    <x v="0"/>
    <s v="Small"/>
    <n v="3"/>
    <n v="36"/>
    <n v="43.27"/>
    <n v="50"/>
    <n v="1557.72"/>
    <n v="-242.28"/>
    <x v="145"/>
    <x v="0"/>
    <n v="1"/>
    <n v="2"/>
    <n v="2004"/>
    <x v="1"/>
  </r>
  <r>
    <n v="10301"/>
    <s v="S24_1628"/>
    <x v="60"/>
    <x v="49"/>
    <x v="1"/>
    <x v="1"/>
    <s v="Small"/>
    <n v="3"/>
    <n v="22"/>
    <n v="51.32"/>
    <n v="50"/>
    <n v="1129.04"/>
    <n v="29.04"/>
    <x v="146"/>
    <x v="0"/>
    <n v="4"/>
    <n v="10"/>
    <n v="2003"/>
    <x v="1"/>
  </r>
  <r>
    <n v="10379"/>
    <s v="S24_1628"/>
    <x v="26"/>
    <x v="21"/>
    <x v="8"/>
    <x v="1"/>
    <s v="Medium"/>
    <n v="3"/>
    <n v="32"/>
    <n v="100"/>
    <n v="50"/>
    <n v="3970.56"/>
    <n v="2370.56"/>
    <x v="84"/>
    <x v="0"/>
    <n v="1"/>
    <n v="2"/>
    <n v="2005"/>
    <x v="1"/>
  </r>
  <r>
    <n v="10284"/>
    <s v="S24_1785"/>
    <x v="60"/>
    <x v="49"/>
    <x v="1"/>
    <x v="1"/>
    <s v="Small"/>
    <n v="3"/>
    <n v="22"/>
    <n v="100"/>
    <n v="109"/>
    <n v="2310.88"/>
    <n v="-87.12"/>
    <x v="88"/>
    <x v="0"/>
    <n v="3"/>
    <n v="8"/>
    <n v="2004"/>
    <x v="4"/>
  </r>
  <r>
    <n v="10374"/>
    <s v="S24_1785"/>
    <x v="14"/>
    <x v="12"/>
    <x v="2"/>
    <x v="2"/>
    <s v="Medium"/>
    <n v="3"/>
    <n v="46"/>
    <n v="94.1"/>
    <n v="109"/>
    <n v="4328.6000000000004"/>
    <n v="-685.4"/>
    <x v="15"/>
    <x v="0"/>
    <n v="1"/>
    <n v="2"/>
    <n v="2005"/>
    <x v="4"/>
  </r>
  <r>
    <n v="10101"/>
    <s v="S24_1937"/>
    <x v="27"/>
    <x v="22"/>
    <x v="9"/>
    <x v="1"/>
    <s v="Small"/>
    <n v="3"/>
    <n v="45"/>
    <n v="31.2"/>
    <n v="33"/>
    <n v="1404"/>
    <n v="-81"/>
    <x v="91"/>
    <x v="0"/>
    <n v="1"/>
    <n v="1"/>
    <n v="2003"/>
    <x v="3"/>
  </r>
  <r>
    <n v="10110"/>
    <s v="S24_1937"/>
    <x v="62"/>
    <x v="50"/>
    <x v="15"/>
    <x v="1"/>
    <s v="Small"/>
    <n v="3"/>
    <n v="20"/>
    <n v="35.51"/>
    <n v="33"/>
    <n v="710.2"/>
    <n v="50.2"/>
    <x v="92"/>
    <x v="0"/>
    <n v="1"/>
    <n v="3"/>
    <n v="2003"/>
    <x v="3"/>
  </r>
  <r>
    <n v="10214"/>
    <s v="S24_1937"/>
    <x v="63"/>
    <x v="21"/>
    <x v="8"/>
    <x v="1"/>
    <s v="Small"/>
    <n v="3"/>
    <n v="20"/>
    <n v="34.19"/>
    <n v="33"/>
    <n v="683.8"/>
    <n v="23.8"/>
    <x v="93"/>
    <x v="0"/>
    <n v="1"/>
    <n v="1"/>
    <n v="2004"/>
    <x v="3"/>
  </r>
  <r>
    <n v="10322"/>
    <s v="S24_1937"/>
    <x v="8"/>
    <x v="7"/>
    <x v="0"/>
    <x v="0"/>
    <s v="Small"/>
    <n v="3"/>
    <n v="20"/>
    <n v="100"/>
    <n v="33"/>
    <n v="2624"/>
    <n v="1964"/>
    <x v="8"/>
    <x v="0"/>
    <n v="4"/>
    <n v="11"/>
    <n v="2004"/>
    <x v="3"/>
  </r>
  <r>
    <n v="10236"/>
    <s v="S24_2000"/>
    <x v="9"/>
    <x v="8"/>
    <x v="0"/>
    <x v="0"/>
    <s v="Medium"/>
    <n v="3"/>
    <n v="36"/>
    <n v="87.6"/>
    <n v="76"/>
    <n v="3153.6"/>
    <n v="417.6"/>
    <x v="10"/>
    <x v="0"/>
    <n v="2"/>
    <n v="4"/>
    <n v="2004"/>
    <x v="0"/>
  </r>
  <r>
    <n v="10402"/>
    <s v="S24_2000"/>
    <x v="11"/>
    <x v="9"/>
    <x v="3"/>
    <x v="1"/>
    <s v="Medium"/>
    <n v="3"/>
    <n v="59"/>
    <n v="87.6"/>
    <n v="76"/>
    <n v="5168.3999999999996"/>
    <n v="684.4"/>
    <x v="12"/>
    <x v="0"/>
    <n v="2"/>
    <n v="4"/>
    <n v="2005"/>
    <x v="0"/>
  </r>
  <r>
    <n v="10117"/>
    <s v="S24_2011"/>
    <x v="17"/>
    <x v="15"/>
    <x v="7"/>
    <x v="2"/>
    <s v="Medium"/>
    <n v="3"/>
    <n v="41"/>
    <n v="100"/>
    <n v="122"/>
    <n v="5189.78"/>
    <n v="187.78"/>
    <x v="246"/>
    <x v="0"/>
    <n v="2"/>
    <n v="4"/>
    <n v="2003"/>
    <x v="5"/>
  </r>
  <r>
    <n v="10384"/>
    <s v="S24_2011"/>
    <x v="21"/>
    <x v="17"/>
    <x v="0"/>
    <x v="0"/>
    <s v="Small"/>
    <n v="3"/>
    <n v="28"/>
    <n v="80.540000000000006"/>
    <n v="122"/>
    <n v="2255.12"/>
    <n v="-1160.8800000000001"/>
    <x v="230"/>
    <x v="0"/>
    <n v="1"/>
    <n v="2"/>
    <n v="2005"/>
    <x v="5"/>
  </r>
  <r>
    <n v="10382"/>
    <s v="S24_2300"/>
    <x v="43"/>
    <x v="34"/>
    <x v="0"/>
    <x v="0"/>
    <s v="Small"/>
    <n v="3"/>
    <n v="20"/>
    <n v="100"/>
    <n v="127"/>
    <n v="2654.4"/>
    <n v="114.4"/>
    <x v="23"/>
    <x v="0"/>
    <n v="1"/>
    <n v="2"/>
    <n v="2005"/>
    <x v="2"/>
  </r>
  <r>
    <n v="10145"/>
    <s v="S24_2360"/>
    <x v="22"/>
    <x v="18"/>
    <x v="0"/>
    <x v="0"/>
    <s v="Small"/>
    <n v="3"/>
    <n v="27"/>
    <n v="60.95"/>
    <n v="69"/>
    <n v="1645.65"/>
    <n v="-217.35"/>
    <x v="213"/>
    <x v="0"/>
    <n v="3"/>
    <n v="8"/>
    <n v="2003"/>
    <x v="0"/>
  </r>
  <r>
    <n v="10190"/>
    <s v="S24_2360"/>
    <x v="26"/>
    <x v="21"/>
    <x v="8"/>
    <x v="1"/>
    <s v="Medium"/>
    <n v="3"/>
    <n v="42"/>
    <n v="76.19"/>
    <n v="69"/>
    <n v="3199.98"/>
    <n v="301.98"/>
    <x v="214"/>
    <x v="0"/>
    <n v="4"/>
    <n v="11"/>
    <n v="2003"/>
    <x v="0"/>
  </r>
  <r>
    <n v="10285"/>
    <s v="S24_2360"/>
    <x v="87"/>
    <x v="36"/>
    <x v="0"/>
    <x v="0"/>
    <s v="Small"/>
    <n v="3"/>
    <n v="38"/>
    <n v="59.56"/>
    <n v="69"/>
    <n v="2263.2800000000002"/>
    <n v="-358.72"/>
    <x v="215"/>
    <x v="0"/>
    <n v="3"/>
    <n v="8"/>
    <n v="2004"/>
    <x v="0"/>
  </r>
  <r>
    <n v="10355"/>
    <s v="S24_2360"/>
    <x v="26"/>
    <x v="21"/>
    <x v="8"/>
    <x v="1"/>
    <s v="Small"/>
    <n v="3"/>
    <n v="41"/>
    <n v="70.650000000000006"/>
    <n v="69"/>
    <n v="2896.65"/>
    <n v="67.650000000000006"/>
    <x v="127"/>
    <x v="0"/>
    <n v="4"/>
    <n v="12"/>
    <n v="2004"/>
    <x v="0"/>
  </r>
  <r>
    <n v="10161"/>
    <s v="S24_2766"/>
    <x v="69"/>
    <x v="56"/>
    <x v="10"/>
    <x v="1"/>
    <s v="Small"/>
    <n v="3"/>
    <n v="20"/>
    <n v="100"/>
    <n v="90"/>
    <n v="2144.6"/>
    <n v="344.6"/>
    <x v="142"/>
    <x v="0"/>
    <n v="4"/>
    <n v="10"/>
    <n v="2003"/>
    <x v="1"/>
  </r>
  <r>
    <n v="10267"/>
    <s v="S24_2766"/>
    <x v="34"/>
    <x v="5"/>
    <x v="0"/>
    <x v="0"/>
    <s v="Medium"/>
    <n v="3"/>
    <n v="38"/>
    <n v="87.24"/>
    <n v="90"/>
    <n v="3315.12"/>
    <n v="-104.88"/>
    <x v="143"/>
    <x v="0"/>
    <n v="3"/>
    <n v="7"/>
    <n v="2004"/>
    <x v="1"/>
  </r>
  <r>
    <n v="10279"/>
    <s v="S24_2766"/>
    <x v="26"/>
    <x v="21"/>
    <x v="8"/>
    <x v="1"/>
    <s v="Medium"/>
    <n v="3"/>
    <n v="49"/>
    <n v="79.97"/>
    <n v="90"/>
    <n v="3918.53"/>
    <n v="-491.47"/>
    <x v="144"/>
    <x v="0"/>
    <n v="3"/>
    <n v="8"/>
    <n v="2004"/>
    <x v="1"/>
  </r>
  <r>
    <n v="10219"/>
    <s v="S24_2840"/>
    <x v="58"/>
    <x v="47"/>
    <x v="0"/>
    <x v="0"/>
    <s v="Small"/>
    <n v="3"/>
    <n v="21"/>
    <n v="40.31"/>
    <n v="35"/>
    <n v="846.51"/>
    <n v="111.51"/>
    <x v="82"/>
    <x v="0"/>
    <n v="1"/>
    <n v="2"/>
    <n v="2004"/>
    <x v="1"/>
  </r>
  <r>
    <n v="10349"/>
    <s v="S24_2840"/>
    <x v="34"/>
    <x v="5"/>
    <x v="0"/>
    <x v="0"/>
    <s v="Small"/>
    <n v="3"/>
    <n v="36"/>
    <n v="37.130000000000003"/>
    <n v="35"/>
    <n v="1336.68"/>
    <n v="76.680000000000007"/>
    <x v="216"/>
    <x v="0"/>
    <n v="4"/>
    <n v="12"/>
    <n v="2004"/>
    <x v="1"/>
  </r>
  <r>
    <n v="10383"/>
    <s v="S24_2840"/>
    <x v="26"/>
    <x v="21"/>
    <x v="8"/>
    <x v="1"/>
    <s v="Medium"/>
    <n v="3"/>
    <n v="40"/>
    <n v="100"/>
    <n v="35"/>
    <n v="6089.6"/>
    <n v="4689.6000000000004"/>
    <x v="132"/>
    <x v="0"/>
    <n v="1"/>
    <n v="2"/>
    <n v="2005"/>
    <x v="1"/>
  </r>
  <r>
    <n v="10398"/>
    <s v="S24_2841"/>
    <x v="82"/>
    <x v="64"/>
    <x v="3"/>
    <x v="1"/>
    <s v="Small"/>
    <n v="3"/>
    <n v="28"/>
    <n v="57.55"/>
    <n v="68"/>
    <n v="1611.4"/>
    <n v="-292.60000000000002"/>
    <x v="248"/>
    <x v="0"/>
    <n v="1"/>
    <n v="3"/>
    <n v="2005"/>
    <x v="4"/>
  </r>
  <r>
    <n v="10148"/>
    <s v="S24_2887"/>
    <x v="47"/>
    <x v="38"/>
    <x v="2"/>
    <x v="2"/>
    <s v="Medium"/>
    <n v="3"/>
    <n v="34"/>
    <n v="100"/>
    <n v="117"/>
    <n v="4392.12"/>
    <n v="414.12"/>
    <x v="134"/>
    <x v="0"/>
    <n v="3"/>
    <n v="9"/>
    <n v="2003"/>
    <x v="1"/>
  </r>
  <r>
    <n v="10213"/>
    <s v="S24_2887"/>
    <x v="52"/>
    <x v="33"/>
    <x v="15"/>
    <x v="1"/>
    <s v="Small"/>
    <n v="3"/>
    <n v="27"/>
    <n v="100"/>
    <n v="117"/>
    <n v="2790.45"/>
    <n v="-368.55"/>
    <x v="135"/>
    <x v="0"/>
    <n v="1"/>
    <n v="1"/>
    <n v="2004"/>
    <x v="1"/>
  </r>
  <r>
    <n v="10311"/>
    <s v="S24_2887"/>
    <x v="26"/>
    <x v="21"/>
    <x v="8"/>
    <x v="1"/>
    <s v="Medium"/>
    <n v="3"/>
    <n v="43"/>
    <n v="100"/>
    <n v="117"/>
    <n v="4595.41"/>
    <n v="-435.59"/>
    <x v="81"/>
    <x v="0"/>
    <n v="4"/>
    <n v="10"/>
    <n v="2004"/>
    <x v="1"/>
  </r>
  <r>
    <n v="10225"/>
    <s v="S24_2972"/>
    <x v="48"/>
    <x v="39"/>
    <x v="16"/>
    <x v="1"/>
    <s v="Small"/>
    <n v="3"/>
    <n v="42"/>
    <n v="36.630000000000003"/>
    <n v="37"/>
    <n v="1538.46"/>
    <n v="-15.54"/>
    <x v="56"/>
    <x v="0"/>
    <n v="1"/>
    <n v="2"/>
    <n v="2004"/>
    <x v="1"/>
  </r>
  <r>
    <n v="10261"/>
    <s v="S24_3151"/>
    <x v="15"/>
    <x v="13"/>
    <x v="6"/>
    <x v="0"/>
    <s v="Small"/>
    <n v="3"/>
    <n v="22"/>
    <n v="91.17"/>
    <n v="88"/>
    <n v="2005.74"/>
    <n v="69.739999999999995"/>
    <x v="16"/>
    <x v="0"/>
    <n v="2"/>
    <n v="6"/>
    <n v="2004"/>
    <x v="3"/>
  </r>
  <r>
    <n v="10295"/>
    <s v="S24_3151"/>
    <x v="16"/>
    <x v="14"/>
    <x v="0"/>
    <x v="0"/>
    <s v="Medium"/>
    <n v="3"/>
    <n v="46"/>
    <n v="84.97"/>
    <n v="88"/>
    <n v="3908.62"/>
    <n v="-139.38"/>
    <x v="17"/>
    <x v="0"/>
    <n v="3"/>
    <n v="9"/>
    <n v="2004"/>
    <x v="3"/>
  </r>
  <r>
    <n v="10326"/>
    <s v="S24_3151"/>
    <x v="6"/>
    <x v="6"/>
    <x v="4"/>
    <x v="1"/>
    <s v="Medium"/>
    <n v="3"/>
    <n v="41"/>
    <n v="85.85"/>
    <n v="88"/>
    <n v="3519.85"/>
    <n v="-88.15"/>
    <x v="227"/>
    <x v="0"/>
    <n v="4"/>
    <n v="11"/>
    <n v="2004"/>
    <x v="3"/>
  </r>
  <r>
    <n v="10192"/>
    <s v="S24_3191"/>
    <x v="8"/>
    <x v="7"/>
    <x v="0"/>
    <x v="0"/>
    <s v="Small"/>
    <n v="3"/>
    <n v="32"/>
    <n v="72.77"/>
    <n v="85"/>
    <n v="2328.64"/>
    <n v="-391.36"/>
    <x v="34"/>
    <x v="0"/>
    <n v="4"/>
    <n v="11"/>
    <n v="2003"/>
    <x v="1"/>
  </r>
  <r>
    <n v="10167"/>
    <s v="S24_3420"/>
    <x v="51"/>
    <x v="42"/>
    <x v="4"/>
    <x v="1"/>
    <s v="Small"/>
    <n v="3"/>
    <n v="32"/>
    <n v="63.12"/>
    <n v="65"/>
    <n v="2019.84"/>
    <n v="-60.16"/>
    <x v="68"/>
    <x v="3"/>
    <n v="4"/>
    <n v="10"/>
    <n v="2003"/>
    <x v="3"/>
  </r>
  <r>
    <n v="10186"/>
    <s v="S24_3420"/>
    <x v="52"/>
    <x v="33"/>
    <x v="15"/>
    <x v="1"/>
    <s v="Small"/>
    <n v="3"/>
    <n v="21"/>
    <n v="69.040000000000006"/>
    <n v="65"/>
    <n v="1449.84"/>
    <n v="84.84"/>
    <x v="69"/>
    <x v="0"/>
    <n v="4"/>
    <n v="11"/>
    <n v="2003"/>
    <x v="3"/>
  </r>
  <r>
    <n v="10274"/>
    <s v="S24_3420"/>
    <x v="53"/>
    <x v="25"/>
    <x v="0"/>
    <x v="0"/>
    <s v="Small"/>
    <n v="3"/>
    <n v="24"/>
    <n v="72.33"/>
    <n v="65"/>
    <n v="1735.92"/>
    <n v="175.92"/>
    <x v="70"/>
    <x v="0"/>
    <n v="3"/>
    <n v="7"/>
    <n v="2004"/>
    <x v="3"/>
  </r>
  <r>
    <n v="10307"/>
    <s v="S24_3420"/>
    <x v="18"/>
    <x v="8"/>
    <x v="0"/>
    <x v="0"/>
    <s v="Small"/>
    <n v="3"/>
    <n v="22"/>
    <n v="71.67"/>
    <n v="65"/>
    <n v="1576.74"/>
    <n v="146.74"/>
    <x v="71"/>
    <x v="0"/>
    <n v="4"/>
    <n v="10"/>
    <n v="2004"/>
    <x v="3"/>
  </r>
  <r>
    <n v="10400"/>
    <s v="S24_3420"/>
    <x v="55"/>
    <x v="44"/>
    <x v="0"/>
    <x v="0"/>
    <s v="Small"/>
    <n v="3"/>
    <n v="38"/>
    <n v="57.2"/>
    <n v="65"/>
    <n v="2173.6"/>
    <n v="-296.39999999999998"/>
    <x v="74"/>
    <x v="0"/>
    <n v="2"/>
    <n v="4"/>
    <n v="2005"/>
    <x v="3"/>
  </r>
  <r>
    <n v="10273"/>
    <s v="S24_3816"/>
    <x v="66"/>
    <x v="53"/>
    <x v="17"/>
    <x v="1"/>
    <s v="Medium"/>
    <n v="3"/>
    <n v="48"/>
    <n v="83.02"/>
    <n v="83"/>
    <n v="3984.96"/>
    <n v="0.96"/>
    <x v="70"/>
    <x v="0"/>
    <n v="3"/>
    <n v="7"/>
    <n v="2004"/>
    <x v="3"/>
  </r>
  <r>
    <n v="10160"/>
    <s v="S24_3856"/>
    <x v="70"/>
    <x v="57"/>
    <x v="0"/>
    <x v="0"/>
    <s v="Medium"/>
    <n v="3"/>
    <n v="35"/>
    <n v="100"/>
    <n v="140"/>
    <n v="4767.7"/>
    <n v="-132.30000000000001"/>
    <x v="112"/>
    <x v="0"/>
    <n v="4"/>
    <n v="10"/>
    <n v="2003"/>
    <x v="1"/>
  </r>
  <r>
    <n v="10203"/>
    <s v="S24_3856"/>
    <x v="26"/>
    <x v="21"/>
    <x v="8"/>
    <x v="1"/>
    <s v="Medium"/>
    <n v="3"/>
    <n v="47"/>
    <n v="100"/>
    <n v="140"/>
    <n v="6996.42"/>
    <n v="416.42"/>
    <x v="86"/>
    <x v="0"/>
    <n v="4"/>
    <n v="12"/>
    <n v="2003"/>
    <x v="1"/>
  </r>
  <r>
    <n v="10239"/>
    <s v="S24_3856"/>
    <x v="71"/>
    <x v="58"/>
    <x v="14"/>
    <x v="1"/>
    <s v="Medium"/>
    <n v="3"/>
    <n v="29"/>
    <n v="100"/>
    <n v="140"/>
    <n v="4479.63"/>
    <n v="419.63"/>
    <x v="113"/>
    <x v="0"/>
    <n v="2"/>
    <n v="4"/>
    <n v="2004"/>
    <x v="1"/>
  </r>
  <r>
    <n v="10378"/>
    <s v="S24_3856"/>
    <x v="26"/>
    <x v="21"/>
    <x v="8"/>
    <x v="1"/>
    <s v="Small"/>
    <n v="3"/>
    <n v="33"/>
    <n v="53.27"/>
    <n v="140"/>
    <n v="1757.91"/>
    <n v="-2862.09"/>
    <x v="84"/>
    <x v="0"/>
    <n v="1"/>
    <n v="2"/>
    <n v="2005"/>
    <x v="1"/>
  </r>
  <r>
    <n v="10405"/>
    <s v="S24_3856"/>
    <x v="59"/>
    <x v="48"/>
    <x v="3"/>
    <x v="1"/>
    <s v="Large"/>
    <n v="3"/>
    <n v="76"/>
    <n v="100"/>
    <n v="140"/>
    <n v="11739.7"/>
    <n v="1099.7"/>
    <x v="115"/>
    <x v="0"/>
    <n v="2"/>
    <n v="4"/>
    <n v="2005"/>
    <x v="1"/>
  </r>
  <r>
    <n v="10131"/>
    <s v="S24_3949"/>
    <x v="61"/>
    <x v="27"/>
    <x v="0"/>
    <x v="0"/>
    <s v="Medium"/>
    <n v="3"/>
    <n v="50"/>
    <n v="81.89"/>
    <n v="68"/>
    <n v="4094.5"/>
    <n v="694.5"/>
    <x v="129"/>
    <x v="0"/>
    <n v="2"/>
    <n v="6"/>
    <n v="2003"/>
    <x v="4"/>
  </r>
  <r>
    <n v="10178"/>
    <s v="S24_3949"/>
    <x v="57"/>
    <x v="46"/>
    <x v="3"/>
    <x v="1"/>
    <s v="Small"/>
    <n v="3"/>
    <n v="30"/>
    <n v="72.33"/>
    <n v="68"/>
    <n v="2169.9"/>
    <n v="129.9"/>
    <x v="231"/>
    <x v="0"/>
    <n v="4"/>
    <n v="11"/>
    <n v="2003"/>
    <x v="4"/>
  </r>
  <r>
    <n v="10198"/>
    <s v="S24_3949"/>
    <x v="85"/>
    <x v="67"/>
    <x v="18"/>
    <x v="2"/>
    <s v="Small"/>
    <n v="3"/>
    <n v="43"/>
    <n v="66.19"/>
    <n v="68"/>
    <n v="2846.17"/>
    <n v="-77.83"/>
    <x v="232"/>
    <x v="0"/>
    <n v="4"/>
    <n v="11"/>
    <n v="2003"/>
    <x v="4"/>
  </r>
  <r>
    <n v="10222"/>
    <s v="S24_3949"/>
    <x v="80"/>
    <x v="63"/>
    <x v="0"/>
    <x v="0"/>
    <s v="Small"/>
    <n v="3"/>
    <n v="48"/>
    <n v="56.64"/>
    <n v="68"/>
    <n v="2718.72"/>
    <n v="-545.28"/>
    <x v="233"/>
    <x v="0"/>
    <n v="1"/>
    <n v="2"/>
    <n v="2004"/>
    <x v="4"/>
  </r>
  <r>
    <n v="10328"/>
    <s v="S24_3949"/>
    <x v="67"/>
    <x v="54"/>
    <x v="12"/>
    <x v="1"/>
    <s v="Small"/>
    <n v="3"/>
    <n v="35"/>
    <n v="76.430000000000007"/>
    <n v="68"/>
    <n v="2675.05"/>
    <n v="295.05"/>
    <x v="177"/>
    <x v="0"/>
    <n v="4"/>
    <n v="11"/>
    <n v="2004"/>
    <x v="4"/>
  </r>
  <r>
    <n v="10351"/>
    <s v="S24_3949"/>
    <x v="42"/>
    <x v="33"/>
    <x v="15"/>
    <x v="1"/>
    <s v="Small"/>
    <n v="3"/>
    <n v="34"/>
    <n v="59.37"/>
    <n v="68"/>
    <n v="2018.58"/>
    <n v="-293.42"/>
    <x v="73"/>
    <x v="0"/>
    <n v="4"/>
    <n v="12"/>
    <n v="2004"/>
    <x v="4"/>
  </r>
  <r>
    <n v="10288"/>
    <s v="S24_3969"/>
    <x v="81"/>
    <x v="15"/>
    <x v="7"/>
    <x v="2"/>
    <s v="Small"/>
    <n v="3"/>
    <n v="33"/>
    <n v="40.619999999999997"/>
    <n v="41"/>
    <n v="1340.46"/>
    <n v="-12.54"/>
    <x v="158"/>
    <x v="0"/>
    <n v="3"/>
    <n v="9"/>
    <n v="2004"/>
    <x v="3"/>
  </r>
  <r>
    <n v="10368"/>
    <s v="S24_3969"/>
    <x v="43"/>
    <x v="34"/>
    <x v="0"/>
    <x v="0"/>
    <s v="Small"/>
    <n v="3"/>
    <n v="46"/>
    <n v="37.340000000000003"/>
    <n v="41"/>
    <n v="1717.64"/>
    <n v="-168.36"/>
    <x v="184"/>
    <x v="0"/>
    <n v="1"/>
    <n v="1"/>
    <n v="2005"/>
    <x v="3"/>
  </r>
  <r>
    <n v="10420"/>
    <s v="S24_3969"/>
    <x v="64"/>
    <x v="51"/>
    <x v="2"/>
    <x v="2"/>
    <s v="Small"/>
    <n v="3"/>
    <n v="15"/>
    <n v="43.49"/>
    <n v="41"/>
    <n v="652.35"/>
    <n v="37.35"/>
    <x v="97"/>
    <x v="2"/>
    <n v="2"/>
    <n v="5"/>
    <n v="2005"/>
    <x v="3"/>
  </r>
  <r>
    <n v="10152"/>
    <s v="S24_4048"/>
    <x v="14"/>
    <x v="12"/>
    <x v="2"/>
    <x v="2"/>
    <s v="Small"/>
    <n v="3"/>
    <n v="23"/>
    <n v="100"/>
    <n v="118"/>
    <n v="2802.09"/>
    <n v="88.09"/>
    <x v="130"/>
    <x v="0"/>
    <n v="3"/>
    <n v="9"/>
    <n v="2003"/>
    <x v="1"/>
  </r>
  <r>
    <n v="10207"/>
    <s v="S24_4048"/>
    <x v="77"/>
    <x v="14"/>
    <x v="0"/>
    <x v="0"/>
    <s v="Small"/>
    <n v="3"/>
    <n v="28"/>
    <n v="100"/>
    <n v="118"/>
    <n v="2980.6"/>
    <n v="-323.39999999999998"/>
    <x v="131"/>
    <x v="0"/>
    <n v="4"/>
    <n v="12"/>
    <n v="2003"/>
    <x v="1"/>
  </r>
  <r>
    <n v="10111"/>
    <s v="S24_4258"/>
    <x v="23"/>
    <x v="17"/>
    <x v="0"/>
    <x v="0"/>
    <s v="Small"/>
    <n v="3"/>
    <n v="26"/>
    <n v="86.68"/>
    <n v="97"/>
    <n v="2253.6799999999998"/>
    <n v="-268.32"/>
    <x v="107"/>
    <x v="0"/>
    <n v="1"/>
    <n v="3"/>
    <n v="2003"/>
    <x v="3"/>
  </r>
  <r>
    <n v="10173"/>
    <s v="S24_4258"/>
    <x v="67"/>
    <x v="54"/>
    <x v="12"/>
    <x v="1"/>
    <s v="Small"/>
    <n v="3"/>
    <n v="22"/>
    <n v="100"/>
    <n v="97"/>
    <n v="2571.14"/>
    <n v="437.14"/>
    <x v="80"/>
    <x v="0"/>
    <n v="4"/>
    <n v="11"/>
    <n v="2003"/>
    <x v="3"/>
  </r>
  <r>
    <n v="10324"/>
    <s v="S24_4258"/>
    <x v="28"/>
    <x v="5"/>
    <x v="0"/>
    <x v="0"/>
    <s v="Medium"/>
    <n v="3"/>
    <n v="33"/>
    <n v="100"/>
    <n v="97"/>
    <n v="6267.69"/>
    <n v="3066.69"/>
    <x v="33"/>
    <x v="0"/>
    <n v="4"/>
    <n v="11"/>
    <n v="2004"/>
    <x v="3"/>
  </r>
  <r>
    <n v="10369"/>
    <s v="S24_4258"/>
    <x v="53"/>
    <x v="25"/>
    <x v="0"/>
    <x v="0"/>
    <s v="Medium"/>
    <n v="3"/>
    <n v="40"/>
    <n v="86.92"/>
    <n v="97"/>
    <n v="3476.8"/>
    <n v="-403.2"/>
    <x v="55"/>
    <x v="0"/>
    <n v="1"/>
    <n v="1"/>
    <n v="2005"/>
    <x v="3"/>
  </r>
  <r>
    <n v="10106"/>
    <s v="S24_4278"/>
    <x v="67"/>
    <x v="54"/>
    <x v="12"/>
    <x v="1"/>
    <s v="Small"/>
    <n v="3"/>
    <n v="26"/>
    <n v="63.76"/>
    <n v="72"/>
    <n v="1657.76"/>
    <n v="-214.24"/>
    <x v="242"/>
    <x v="0"/>
    <n v="1"/>
    <n v="2"/>
    <n v="2003"/>
    <x v="4"/>
  </r>
  <r>
    <n v="10353"/>
    <s v="S24_4278"/>
    <x v="61"/>
    <x v="27"/>
    <x v="0"/>
    <x v="0"/>
    <s v="Medium"/>
    <n v="3"/>
    <n v="35"/>
    <n v="89.9"/>
    <n v="72"/>
    <n v="3146.5"/>
    <n v="626.5"/>
    <x v="89"/>
    <x v="0"/>
    <n v="4"/>
    <n v="12"/>
    <n v="2004"/>
    <x v="4"/>
  </r>
  <r>
    <n v="10252"/>
    <s v="S24_4620"/>
    <x v="11"/>
    <x v="9"/>
    <x v="3"/>
    <x v="1"/>
    <s v="Medium"/>
    <n v="3"/>
    <n v="38"/>
    <n v="87.31"/>
    <n v="80"/>
    <n v="3317.78"/>
    <n v="277.77999999999997"/>
    <x v="120"/>
    <x v="0"/>
    <n v="2"/>
    <n v="5"/>
    <n v="2004"/>
    <x v="1"/>
  </r>
  <r>
    <n v="10103"/>
    <s v="S32_1268"/>
    <x v="39"/>
    <x v="31"/>
    <x v="1"/>
    <x v="1"/>
    <s v="Medium"/>
    <n v="3"/>
    <n v="31"/>
    <n v="100"/>
    <n v="96"/>
    <n v="3224.31"/>
    <n v="248.31"/>
    <x v="166"/>
    <x v="0"/>
    <n v="1"/>
    <n v="1"/>
    <n v="2003"/>
    <x v="2"/>
  </r>
  <r>
    <n v="10126"/>
    <s v="S32_1268"/>
    <x v="63"/>
    <x v="21"/>
    <x v="8"/>
    <x v="1"/>
    <s v="Medium"/>
    <n v="3"/>
    <n v="43"/>
    <n v="96.31"/>
    <n v="96"/>
    <n v="4141.33"/>
    <n v="13.33"/>
    <x v="167"/>
    <x v="0"/>
    <n v="2"/>
    <n v="5"/>
    <n v="2003"/>
    <x v="2"/>
  </r>
  <r>
    <n v="10140"/>
    <s v="S32_1268"/>
    <x v="0"/>
    <x v="0"/>
    <x v="0"/>
    <x v="0"/>
    <s v="Small"/>
    <n v="3"/>
    <n v="26"/>
    <n v="100"/>
    <n v="96"/>
    <n v="2829.58"/>
    <n v="333.58"/>
    <x v="168"/>
    <x v="0"/>
    <n v="3"/>
    <n v="7"/>
    <n v="2003"/>
    <x v="2"/>
  </r>
  <r>
    <n v="10194"/>
    <s v="S32_1268"/>
    <x v="73"/>
    <x v="59"/>
    <x v="3"/>
    <x v="1"/>
    <s v="Medium"/>
    <n v="3"/>
    <n v="37"/>
    <n v="97.27"/>
    <n v="96"/>
    <n v="3598.99"/>
    <n v="46.99"/>
    <x v="169"/>
    <x v="0"/>
    <n v="4"/>
    <n v="11"/>
    <n v="2003"/>
    <x v="2"/>
  </r>
  <r>
    <n v="10217"/>
    <s v="S32_1268"/>
    <x v="81"/>
    <x v="15"/>
    <x v="7"/>
    <x v="2"/>
    <s v="Small"/>
    <n v="3"/>
    <n v="21"/>
    <n v="100"/>
    <n v="96"/>
    <n v="2244.9"/>
    <n v="228.9"/>
    <x v="170"/>
    <x v="0"/>
    <n v="1"/>
    <n v="2"/>
    <n v="2004"/>
    <x v="2"/>
  </r>
  <r>
    <n v="10291"/>
    <s v="S32_1268"/>
    <x v="51"/>
    <x v="42"/>
    <x v="4"/>
    <x v="1"/>
    <s v="Small"/>
    <n v="3"/>
    <n v="26"/>
    <n v="83.79"/>
    <n v="96"/>
    <n v="2178.54"/>
    <n v="-317.45999999999998"/>
    <x v="171"/>
    <x v="0"/>
    <n v="3"/>
    <n v="9"/>
    <n v="2004"/>
    <x v="2"/>
  </r>
  <r>
    <n v="10348"/>
    <s v="S32_1268"/>
    <x v="63"/>
    <x v="21"/>
    <x v="8"/>
    <x v="1"/>
    <s v="Medium"/>
    <n v="3"/>
    <n v="42"/>
    <n v="100"/>
    <n v="96"/>
    <n v="6386.94"/>
    <n v="2354.94"/>
    <x v="156"/>
    <x v="0"/>
    <n v="4"/>
    <n v="11"/>
    <n v="2004"/>
    <x v="2"/>
  </r>
  <r>
    <n v="10375"/>
    <s v="S32_1374"/>
    <x v="3"/>
    <x v="3"/>
    <x v="3"/>
    <x v="1"/>
    <s v="Medium"/>
    <n v="3"/>
    <n v="37"/>
    <n v="100"/>
    <n v="99"/>
    <n v="6353.27"/>
    <n v="2690.27"/>
    <x v="234"/>
    <x v="0"/>
    <n v="1"/>
    <n v="2"/>
    <n v="2005"/>
    <x v="0"/>
  </r>
  <r>
    <n v="10331"/>
    <s v="S32_2206"/>
    <x v="9"/>
    <x v="8"/>
    <x v="0"/>
    <x v="0"/>
    <s v="Medium"/>
    <n v="3"/>
    <n v="28"/>
    <n v="100"/>
    <n v="40"/>
    <n v="4102.5600000000004"/>
    <n v="2982.56"/>
    <x v="95"/>
    <x v="0"/>
    <n v="4"/>
    <n v="11"/>
    <n v="2004"/>
    <x v="0"/>
  </r>
  <r>
    <n v="10175"/>
    <s v="S32_2509"/>
    <x v="42"/>
    <x v="33"/>
    <x v="15"/>
    <x v="1"/>
    <s v="Medium"/>
    <n v="3"/>
    <n v="50"/>
    <n v="63.31"/>
    <n v="54"/>
    <n v="3165.5"/>
    <n v="465.5"/>
    <x v="21"/>
    <x v="0"/>
    <n v="4"/>
    <n v="11"/>
    <n v="2003"/>
    <x v="2"/>
  </r>
  <r>
    <n v="10229"/>
    <s v="S32_2509"/>
    <x v="43"/>
    <x v="34"/>
    <x v="0"/>
    <x v="0"/>
    <s v="Small"/>
    <n v="3"/>
    <n v="23"/>
    <n v="54.11"/>
    <n v="54"/>
    <n v="1244.53"/>
    <n v="2.5299999999999998"/>
    <x v="48"/>
    <x v="0"/>
    <n v="1"/>
    <n v="3"/>
    <n v="2004"/>
    <x v="2"/>
  </r>
  <r>
    <n v="10281"/>
    <s v="S32_2509"/>
    <x v="4"/>
    <x v="4"/>
    <x v="0"/>
    <x v="0"/>
    <s v="Small"/>
    <n v="3"/>
    <n v="31"/>
    <n v="55.19"/>
    <n v="54"/>
    <n v="1710.89"/>
    <n v="36.89"/>
    <x v="49"/>
    <x v="0"/>
    <n v="3"/>
    <n v="8"/>
    <n v="2004"/>
    <x v="2"/>
  </r>
  <r>
    <n v="10325"/>
    <s v="S32_2509"/>
    <x v="39"/>
    <x v="31"/>
    <x v="1"/>
    <x v="1"/>
    <s v="Large"/>
    <n v="3"/>
    <n v="38"/>
    <n v="100"/>
    <n v="54"/>
    <n v="8844.1200000000008"/>
    <n v="6792.12"/>
    <x v="33"/>
    <x v="0"/>
    <n v="4"/>
    <n v="11"/>
    <n v="2004"/>
    <x v="2"/>
  </r>
  <r>
    <n v="10335"/>
    <s v="S32_2509"/>
    <x v="43"/>
    <x v="34"/>
    <x v="0"/>
    <x v="0"/>
    <s v="Small"/>
    <n v="3"/>
    <n v="40"/>
    <n v="60.6"/>
    <n v="54"/>
    <n v="2424"/>
    <n v="264"/>
    <x v="87"/>
    <x v="0"/>
    <n v="4"/>
    <n v="11"/>
    <n v="2004"/>
    <x v="2"/>
  </r>
  <r>
    <n v="10359"/>
    <s v="S32_2509"/>
    <x v="82"/>
    <x v="64"/>
    <x v="3"/>
    <x v="1"/>
    <s v="Medium"/>
    <n v="3"/>
    <n v="36"/>
    <n v="100"/>
    <n v="54"/>
    <n v="6358.68"/>
    <n v="4414.68"/>
    <x v="218"/>
    <x v="0"/>
    <n v="4"/>
    <n v="12"/>
    <n v="2004"/>
    <x v="2"/>
  </r>
  <r>
    <n v="10394"/>
    <s v="S32_2509"/>
    <x v="26"/>
    <x v="21"/>
    <x v="8"/>
    <x v="1"/>
    <s v="Small"/>
    <n v="3"/>
    <n v="36"/>
    <n v="62.77"/>
    <n v="54"/>
    <n v="2259.7199999999998"/>
    <n v="315.72000000000003"/>
    <x v="133"/>
    <x v="0"/>
    <n v="1"/>
    <n v="3"/>
    <n v="2005"/>
    <x v="2"/>
  </r>
  <r>
    <n v="10292"/>
    <s v="S32_3207"/>
    <x v="5"/>
    <x v="5"/>
    <x v="0"/>
    <x v="0"/>
    <s v="Small"/>
    <n v="3"/>
    <n v="31"/>
    <n v="67.73"/>
    <n v="62"/>
    <n v="2099.63"/>
    <n v="177.63"/>
    <x v="171"/>
    <x v="0"/>
    <n v="3"/>
    <n v="9"/>
    <n v="2004"/>
    <x v="6"/>
  </r>
  <r>
    <n v="10370"/>
    <s v="S32_3522"/>
    <x v="47"/>
    <x v="38"/>
    <x v="2"/>
    <x v="2"/>
    <s v="Medium"/>
    <n v="3"/>
    <n v="25"/>
    <n v="100"/>
    <n v="64"/>
    <n v="3160.25"/>
    <n v="1560.25"/>
    <x v="55"/>
    <x v="0"/>
    <n v="1"/>
    <n v="1"/>
    <n v="2005"/>
    <x v="2"/>
  </r>
  <r>
    <n v="10340"/>
    <s v="S32_4289"/>
    <x v="88"/>
    <x v="69"/>
    <x v="8"/>
    <x v="1"/>
    <s v="Small"/>
    <n v="3"/>
    <n v="39"/>
    <n v="59.16"/>
    <n v="68"/>
    <n v="2307.2399999999998"/>
    <n v="-344.76"/>
    <x v="38"/>
    <x v="0"/>
    <n v="4"/>
    <n v="11"/>
    <n v="2004"/>
    <x v="3"/>
  </r>
  <r>
    <n v="10121"/>
    <s v="S32_4485"/>
    <x v="82"/>
    <x v="64"/>
    <x v="3"/>
    <x v="1"/>
    <s v="Small"/>
    <n v="3"/>
    <n v="25"/>
    <n v="86.74"/>
    <n v="102"/>
    <n v="2168.5"/>
    <n v="-381.5"/>
    <x v="225"/>
    <x v="0"/>
    <n v="2"/>
    <n v="5"/>
    <n v="2003"/>
    <x v="0"/>
  </r>
  <r>
    <n v="10309"/>
    <s v="S32_4485"/>
    <x v="39"/>
    <x v="31"/>
    <x v="1"/>
    <x v="1"/>
    <s v="Medium"/>
    <n v="3"/>
    <n v="50"/>
    <n v="84.7"/>
    <n v="102"/>
    <n v="4235"/>
    <n v="-865"/>
    <x v="14"/>
    <x v="0"/>
    <n v="4"/>
    <n v="10"/>
    <n v="2004"/>
    <x v="0"/>
  </r>
  <r>
    <n v="10365"/>
    <s v="S32_4485"/>
    <x v="49"/>
    <x v="40"/>
    <x v="0"/>
    <x v="0"/>
    <s v="Medium"/>
    <n v="3"/>
    <n v="22"/>
    <n v="100"/>
    <n v="102"/>
    <n v="3425.18"/>
    <n v="1181.18"/>
    <x v="57"/>
    <x v="0"/>
    <n v="1"/>
    <n v="1"/>
    <n v="2005"/>
    <x v="0"/>
  </r>
  <r>
    <n v="10262"/>
    <s v="S50_1341"/>
    <x v="26"/>
    <x v="21"/>
    <x v="8"/>
    <x v="1"/>
    <s v="Small"/>
    <n v="3"/>
    <n v="49"/>
    <n v="37.97"/>
    <n v="43"/>
    <n v="1860.53"/>
    <n v="-246.47"/>
    <x v="155"/>
    <x v="3"/>
    <n v="2"/>
    <n v="6"/>
    <n v="2004"/>
    <x v="3"/>
  </r>
  <r>
    <n v="10316"/>
    <s v="S50_1341"/>
    <x v="84"/>
    <x v="66"/>
    <x v="15"/>
    <x v="1"/>
    <s v="Small"/>
    <n v="3"/>
    <n v="34"/>
    <n v="47.57"/>
    <n v="43"/>
    <n v="1617.38"/>
    <n v="155.38"/>
    <x v="156"/>
    <x v="0"/>
    <n v="4"/>
    <n v="11"/>
    <n v="2004"/>
    <x v="3"/>
  </r>
  <r>
    <n v="10361"/>
    <s v="S50_1341"/>
    <x v="64"/>
    <x v="51"/>
    <x v="2"/>
    <x v="2"/>
    <s v="Small"/>
    <n v="3"/>
    <n v="33"/>
    <n v="82.59"/>
    <n v="43"/>
    <n v="2725.47"/>
    <n v="1306.47"/>
    <x v="201"/>
    <x v="0"/>
    <n v="4"/>
    <n v="12"/>
    <n v="2004"/>
    <x v="3"/>
  </r>
  <r>
    <n v="10115"/>
    <s v="S50_1392"/>
    <x v="7"/>
    <x v="5"/>
    <x v="0"/>
    <x v="0"/>
    <s v="Small"/>
    <n v="3"/>
    <n v="27"/>
    <n v="100"/>
    <n v="115"/>
    <n v="2843.91"/>
    <n v="-261.08999999999997"/>
    <x v="194"/>
    <x v="0"/>
    <n v="2"/>
    <n v="4"/>
    <n v="2003"/>
    <x v="2"/>
  </r>
  <r>
    <n v="10141"/>
    <s v="S50_1392"/>
    <x v="38"/>
    <x v="30"/>
    <x v="14"/>
    <x v="1"/>
    <s v="Medium"/>
    <n v="3"/>
    <n v="44"/>
    <n v="100"/>
    <n v="115"/>
    <n v="5500.44"/>
    <n v="440.44"/>
    <x v="195"/>
    <x v="0"/>
    <n v="3"/>
    <n v="8"/>
    <n v="2003"/>
    <x v="2"/>
  </r>
  <r>
    <n v="10246"/>
    <s v="S50_1392"/>
    <x v="26"/>
    <x v="21"/>
    <x v="8"/>
    <x v="1"/>
    <s v="Small"/>
    <n v="3"/>
    <n v="22"/>
    <n v="100"/>
    <n v="115"/>
    <n v="2928.42"/>
    <n v="398.42"/>
    <x v="43"/>
    <x v="0"/>
    <n v="2"/>
    <n v="5"/>
    <n v="2004"/>
    <x v="2"/>
  </r>
  <r>
    <n v="10271"/>
    <s v="S50_1392"/>
    <x v="43"/>
    <x v="34"/>
    <x v="0"/>
    <x v="0"/>
    <s v="Medium"/>
    <n v="3"/>
    <n v="34"/>
    <n v="98.39"/>
    <n v="115"/>
    <n v="3345.26"/>
    <n v="-564.74"/>
    <x v="44"/>
    <x v="0"/>
    <n v="3"/>
    <n v="7"/>
    <n v="2004"/>
    <x v="2"/>
  </r>
  <r>
    <n v="10305"/>
    <s v="S50_1392"/>
    <x v="87"/>
    <x v="36"/>
    <x v="0"/>
    <x v="0"/>
    <s v="Medium"/>
    <n v="3"/>
    <n v="42"/>
    <n v="100"/>
    <n v="115"/>
    <n v="4618.32"/>
    <n v="-211.68"/>
    <x v="196"/>
    <x v="0"/>
    <n v="4"/>
    <n v="10"/>
    <n v="2004"/>
    <x v="2"/>
  </r>
  <r>
    <n v="10412"/>
    <s v="S50_1392"/>
    <x v="26"/>
    <x v="21"/>
    <x v="8"/>
    <x v="1"/>
    <s v="Medium"/>
    <n v="3"/>
    <n v="26"/>
    <n v="100"/>
    <n v="115"/>
    <n v="3460.86"/>
    <n v="470.86"/>
    <x v="197"/>
    <x v="0"/>
    <n v="2"/>
    <n v="5"/>
    <n v="2005"/>
    <x v="2"/>
  </r>
  <r>
    <n v="10395"/>
    <s v="S50_1514"/>
    <x v="19"/>
    <x v="9"/>
    <x v="3"/>
    <x v="1"/>
    <s v="Large"/>
    <n v="3"/>
    <n v="45"/>
    <n v="100"/>
    <n v="58"/>
    <n v="8977.0499999999993"/>
    <n v="6367.05"/>
    <x v="20"/>
    <x v="0"/>
    <n v="1"/>
    <n v="3"/>
    <n v="2005"/>
    <x v="6"/>
  </r>
  <r>
    <n v="10224"/>
    <s v="S50_4713"/>
    <x v="75"/>
    <x v="61"/>
    <x v="3"/>
    <x v="1"/>
    <s v="Medium"/>
    <n v="3"/>
    <n v="50"/>
    <n v="77.290000000000006"/>
    <n v="81"/>
    <n v="3864.5"/>
    <n v="-185.5"/>
    <x v="124"/>
    <x v="0"/>
    <n v="1"/>
    <n v="2"/>
    <n v="2004"/>
    <x v="0"/>
  </r>
  <r>
    <n v="10237"/>
    <s v="S50_4713"/>
    <x v="28"/>
    <x v="5"/>
    <x v="0"/>
    <x v="0"/>
    <s v="Small"/>
    <n v="3"/>
    <n v="20"/>
    <n v="68.34"/>
    <n v="81"/>
    <n v="1366.8"/>
    <n v="-253.2"/>
    <x v="125"/>
    <x v="0"/>
    <n v="2"/>
    <n v="4"/>
    <n v="2004"/>
    <x v="0"/>
  </r>
  <r>
    <n v="10341"/>
    <s v="S50_4713"/>
    <x v="32"/>
    <x v="26"/>
    <x v="11"/>
    <x v="1"/>
    <s v="Medium"/>
    <n v="3"/>
    <n v="38"/>
    <n v="100"/>
    <n v="81"/>
    <n v="4682.3599999999997"/>
    <n v="1604.36"/>
    <x v="38"/>
    <x v="0"/>
    <n v="4"/>
    <n v="11"/>
    <n v="2004"/>
    <x v="0"/>
  </r>
  <r>
    <n v="10403"/>
    <s v="S50_4713"/>
    <x v="50"/>
    <x v="41"/>
    <x v="15"/>
    <x v="1"/>
    <s v="Small"/>
    <n v="3"/>
    <n v="31"/>
    <n v="68.34"/>
    <n v="81"/>
    <n v="2118.54"/>
    <n v="-392.46"/>
    <x v="128"/>
    <x v="0"/>
    <n v="2"/>
    <n v="4"/>
    <n v="2005"/>
    <x v="0"/>
  </r>
  <r>
    <n v="10177"/>
    <s v="S700_1138"/>
    <x v="37"/>
    <x v="21"/>
    <x v="8"/>
    <x v="1"/>
    <s v="Small"/>
    <n v="3"/>
    <n v="24"/>
    <n v="76"/>
    <n v="66"/>
    <n v="1824"/>
    <n v="240"/>
    <x v="236"/>
    <x v="0"/>
    <n v="4"/>
    <n v="11"/>
    <n v="2003"/>
    <x v="5"/>
  </r>
  <r>
    <n v="10185"/>
    <s v="S700_1138"/>
    <x v="49"/>
    <x v="40"/>
    <x v="0"/>
    <x v="0"/>
    <s v="Small"/>
    <n v="3"/>
    <n v="21"/>
    <n v="54"/>
    <n v="66"/>
    <n v="1134"/>
    <n v="-252"/>
    <x v="69"/>
    <x v="0"/>
    <n v="4"/>
    <n v="11"/>
    <n v="2003"/>
    <x v="5"/>
  </r>
  <r>
    <n v="10208"/>
    <s v="S700_1138"/>
    <x v="73"/>
    <x v="59"/>
    <x v="3"/>
    <x v="1"/>
    <s v="Small"/>
    <n v="3"/>
    <n v="38"/>
    <n v="74.67"/>
    <n v="66"/>
    <n v="2837.46"/>
    <n v="329.46"/>
    <x v="237"/>
    <x v="0"/>
    <n v="1"/>
    <n v="1"/>
    <n v="2004"/>
    <x v="5"/>
  </r>
  <r>
    <n v="10233"/>
    <s v="S700_1138"/>
    <x v="24"/>
    <x v="19"/>
    <x v="0"/>
    <x v="0"/>
    <s v="Small"/>
    <n v="3"/>
    <n v="36"/>
    <n v="70.67"/>
    <n v="66"/>
    <n v="2544.12"/>
    <n v="168.12"/>
    <x v="238"/>
    <x v="0"/>
    <n v="1"/>
    <n v="3"/>
    <n v="2004"/>
    <x v="5"/>
  </r>
  <r>
    <n v="10306"/>
    <s v="S700_1138"/>
    <x v="62"/>
    <x v="50"/>
    <x v="15"/>
    <x v="1"/>
    <s v="Small"/>
    <n v="3"/>
    <n v="50"/>
    <n v="54"/>
    <n v="66"/>
    <n v="2700"/>
    <n v="-600"/>
    <x v="71"/>
    <x v="0"/>
    <n v="4"/>
    <n v="10"/>
    <n v="2004"/>
    <x v="5"/>
  </r>
  <r>
    <n v="10128"/>
    <s v="S700_1938"/>
    <x v="26"/>
    <x v="21"/>
    <x v="8"/>
    <x v="1"/>
    <s v="Medium"/>
    <n v="3"/>
    <n v="32"/>
    <n v="97"/>
    <n v="86"/>
    <n v="3104"/>
    <n v="352"/>
    <x v="137"/>
    <x v="0"/>
    <n v="2"/>
    <n v="6"/>
    <n v="2003"/>
    <x v="5"/>
  </r>
  <r>
    <n v="10166"/>
    <s v="S700_1938"/>
    <x v="78"/>
    <x v="40"/>
    <x v="0"/>
    <x v="0"/>
    <s v="Medium"/>
    <n v="3"/>
    <n v="29"/>
    <n v="100"/>
    <n v="86"/>
    <n v="3013.97"/>
    <n v="519.97"/>
    <x v="138"/>
    <x v="0"/>
    <n v="4"/>
    <n v="10"/>
    <n v="2003"/>
    <x v="5"/>
  </r>
  <r>
    <n v="10352"/>
    <s v="S700_2047"/>
    <x v="76"/>
    <x v="25"/>
    <x v="0"/>
    <x v="0"/>
    <s v="Small"/>
    <n v="3"/>
    <n v="23"/>
    <n v="100"/>
    <n v="90"/>
    <n v="2352.67"/>
    <n v="282.67"/>
    <x v="73"/>
    <x v="0"/>
    <n v="4"/>
    <n v="12"/>
    <n v="2004"/>
    <x v="5"/>
  </r>
  <r>
    <n v="10105"/>
    <s v="S700_2610"/>
    <x v="30"/>
    <x v="24"/>
    <x v="10"/>
    <x v="1"/>
    <s v="Small"/>
    <n v="3"/>
    <n v="31"/>
    <n v="65.77"/>
    <n v="72"/>
    <n v="2038.87"/>
    <n v="-193.13"/>
    <x v="187"/>
    <x v="0"/>
    <n v="1"/>
    <n v="2"/>
    <n v="2003"/>
    <x v="5"/>
  </r>
  <r>
    <n v="10129"/>
    <s v="S700_2610"/>
    <x v="42"/>
    <x v="33"/>
    <x v="15"/>
    <x v="1"/>
    <s v="Medium"/>
    <n v="3"/>
    <n v="45"/>
    <n v="85.29"/>
    <n v="72"/>
    <n v="3838.05"/>
    <n v="598.04999999999995"/>
    <x v="188"/>
    <x v="0"/>
    <n v="2"/>
    <n v="6"/>
    <n v="2003"/>
    <x v="5"/>
  </r>
  <r>
    <n v="10150"/>
    <s v="S700_2824"/>
    <x v="17"/>
    <x v="15"/>
    <x v="7"/>
    <x v="2"/>
    <s v="Small"/>
    <n v="3"/>
    <n v="20"/>
    <n v="100"/>
    <n v="101"/>
    <n v="2104"/>
    <n v="84"/>
    <x v="18"/>
    <x v="0"/>
    <n v="3"/>
    <n v="9"/>
    <n v="2003"/>
    <x v="1"/>
  </r>
  <r>
    <n v="10183"/>
    <s v="S700_2824"/>
    <x v="18"/>
    <x v="8"/>
    <x v="0"/>
    <x v="0"/>
    <s v="Small"/>
    <n v="3"/>
    <n v="23"/>
    <n v="86.99"/>
    <n v="101"/>
    <n v="2000.77"/>
    <n v="-322.23"/>
    <x v="19"/>
    <x v="0"/>
    <n v="4"/>
    <n v="11"/>
    <n v="2003"/>
    <x v="1"/>
  </r>
  <r>
    <n v="10358"/>
    <s v="S700_2824"/>
    <x v="26"/>
    <x v="21"/>
    <x v="8"/>
    <x v="1"/>
    <s v="Medium"/>
    <n v="3"/>
    <n v="27"/>
    <n v="100"/>
    <n v="101"/>
    <n v="3761.37"/>
    <n v="1034.3699999999999"/>
    <x v="54"/>
    <x v="0"/>
    <n v="4"/>
    <n v="12"/>
    <n v="2004"/>
    <x v="1"/>
  </r>
  <r>
    <n v="10371"/>
    <s v="S700_2824"/>
    <x v="43"/>
    <x v="34"/>
    <x v="0"/>
    <x v="0"/>
    <s v="Medium"/>
    <n v="3"/>
    <n v="34"/>
    <n v="100"/>
    <n v="101"/>
    <n v="4301.34"/>
    <n v="867.34"/>
    <x v="207"/>
    <x v="0"/>
    <n v="1"/>
    <n v="1"/>
    <n v="2005"/>
    <x v="1"/>
  </r>
  <r>
    <n v="10250"/>
    <s v="S700_2834"/>
    <x v="55"/>
    <x v="44"/>
    <x v="0"/>
    <x v="0"/>
    <s v="Medium"/>
    <n v="3"/>
    <n v="44"/>
    <n v="100"/>
    <n v="118"/>
    <n v="6055.72"/>
    <n v="863.72"/>
    <x v="161"/>
    <x v="0"/>
    <n v="2"/>
    <n v="5"/>
    <n v="2004"/>
    <x v="4"/>
  </r>
  <r>
    <n v="10297"/>
    <s v="S700_2834"/>
    <x v="36"/>
    <x v="29"/>
    <x v="13"/>
    <x v="1"/>
    <s v="Medium"/>
    <n v="3"/>
    <n v="35"/>
    <n v="100"/>
    <n v="118"/>
    <n v="3986.5"/>
    <n v="-143.5"/>
    <x v="162"/>
    <x v="0"/>
    <n v="3"/>
    <n v="9"/>
    <n v="2004"/>
    <x v="4"/>
  </r>
  <r>
    <n v="10388"/>
    <s v="S700_2834"/>
    <x v="78"/>
    <x v="40"/>
    <x v="0"/>
    <x v="0"/>
    <s v="Large"/>
    <n v="3"/>
    <n v="50"/>
    <n v="100"/>
    <n v="118"/>
    <n v="7154.5"/>
    <n v="1254.5"/>
    <x v="150"/>
    <x v="0"/>
    <n v="1"/>
    <n v="3"/>
    <n v="2005"/>
    <x v="4"/>
  </r>
  <r>
    <n v="10416"/>
    <s v="S700_2834"/>
    <x v="35"/>
    <x v="28"/>
    <x v="12"/>
    <x v="1"/>
    <s v="Medium"/>
    <n v="3"/>
    <n v="41"/>
    <n v="100"/>
    <n v="118"/>
    <n v="5642.83"/>
    <n v="804.83"/>
    <x v="163"/>
    <x v="0"/>
    <n v="2"/>
    <n v="5"/>
    <n v="2005"/>
    <x v="4"/>
  </r>
  <r>
    <n v="10143"/>
    <s v="S700_3167"/>
    <x v="49"/>
    <x v="40"/>
    <x v="0"/>
    <x v="0"/>
    <s v="Small"/>
    <n v="3"/>
    <n v="28"/>
    <n v="96"/>
    <n v="80"/>
    <n v="2688"/>
    <n v="448"/>
    <x v="221"/>
    <x v="0"/>
    <n v="3"/>
    <n v="8"/>
    <n v="2003"/>
    <x v="4"/>
  </r>
  <r>
    <n v="10199"/>
    <s v="S700_3167"/>
    <x v="79"/>
    <x v="62"/>
    <x v="0"/>
    <x v="0"/>
    <s v="Medium"/>
    <n v="3"/>
    <n v="38"/>
    <n v="82.4"/>
    <n v="80"/>
    <n v="3131.2"/>
    <n v="91.2"/>
    <x v="26"/>
    <x v="0"/>
    <n v="4"/>
    <n v="12"/>
    <n v="2003"/>
    <x v="4"/>
  </r>
  <r>
    <n v="10296"/>
    <s v="S700_3167"/>
    <x v="91"/>
    <x v="72"/>
    <x v="9"/>
    <x v="1"/>
    <s v="Small"/>
    <n v="3"/>
    <n v="22"/>
    <n v="80.8"/>
    <n v="80"/>
    <n v="1777.6"/>
    <n v="17.600000000000001"/>
    <x v="223"/>
    <x v="0"/>
    <n v="3"/>
    <n v="9"/>
    <n v="2004"/>
    <x v="4"/>
  </r>
  <r>
    <n v="10142"/>
    <s v="S700_3505"/>
    <x v="43"/>
    <x v="34"/>
    <x v="0"/>
    <x v="0"/>
    <s v="Small"/>
    <n v="3"/>
    <n v="21"/>
    <n v="100"/>
    <n v="100"/>
    <n v="2334.9899999999998"/>
    <n v="234.99"/>
    <x v="182"/>
    <x v="0"/>
    <n v="3"/>
    <n v="8"/>
    <n v="2003"/>
    <x v="5"/>
  </r>
  <r>
    <n v="10315"/>
    <s v="S700_3505"/>
    <x v="3"/>
    <x v="3"/>
    <x v="3"/>
    <x v="1"/>
    <s v="Small"/>
    <n v="3"/>
    <n v="31"/>
    <n v="86.15"/>
    <n v="100"/>
    <n v="2670.65"/>
    <n v="-429.35"/>
    <x v="183"/>
    <x v="0"/>
    <n v="4"/>
    <n v="10"/>
    <n v="2004"/>
    <x v="5"/>
  </r>
  <r>
    <n v="10397"/>
    <s v="S700_3505"/>
    <x v="57"/>
    <x v="46"/>
    <x v="3"/>
    <x v="1"/>
    <s v="Medium"/>
    <n v="3"/>
    <n v="48"/>
    <n v="100"/>
    <n v="100"/>
    <n v="5192.6400000000003"/>
    <n v="392.64"/>
    <x v="251"/>
    <x v="0"/>
    <n v="1"/>
    <n v="3"/>
    <n v="2005"/>
    <x v="5"/>
  </r>
  <r>
    <n v="10153"/>
    <s v="S700_3962"/>
    <x v="26"/>
    <x v="21"/>
    <x v="8"/>
    <x v="1"/>
    <s v="Small"/>
    <n v="3"/>
    <n v="20"/>
    <n v="100"/>
    <n v="99"/>
    <n v="2204.6"/>
    <n v="224.6"/>
    <x v="226"/>
    <x v="0"/>
    <n v="3"/>
    <n v="9"/>
    <n v="2003"/>
    <x v="5"/>
  </r>
  <r>
    <n v="10327"/>
    <s v="S700_3962"/>
    <x v="30"/>
    <x v="24"/>
    <x v="10"/>
    <x v="1"/>
    <s v="Medium"/>
    <n v="3"/>
    <n v="37"/>
    <n v="86.61"/>
    <n v="99"/>
    <n v="3204.57"/>
    <n v="-458.43"/>
    <x v="239"/>
    <x v="4"/>
    <n v="4"/>
    <n v="11"/>
    <n v="2004"/>
    <x v="5"/>
  </r>
  <r>
    <n v="10386"/>
    <s v="S700_3962"/>
    <x v="26"/>
    <x v="21"/>
    <x v="8"/>
    <x v="1"/>
    <s v="Small"/>
    <n v="3"/>
    <n v="30"/>
    <n v="95.48"/>
    <n v="99"/>
    <n v="2864.4"/>
    <n v="-105.6"/>
    <x v="178"/>
    <x v="4"/>
    <n v="1"/>
    <n v="3"/>
    <n v="2005"/>
    <x v="5"/>
  </r>
  <r>
    <n v="10155"/>
    <s v="S700_4002"/>
    <x v="44"/>
    <x v="35"/>
    <x v="14"/>
    <x v="1"/>
    <s v="Medium"/>
    <n v="3"/>
    <n v="44"/>
    <n v="85.87"/>
    <n v="74"/>
    <n v="3778.28"/>
    <n v="522.28"/>
    <x v="75"/>
    <x v="0"/>
    <n v="4"/>
    <n v="10"/>
    <n v="2003"/>
    <x v="4"/>
  </r>
  <r>
    <n v="10209"/>
    <s v="S72_1253"/>
    <x v="70"/>
    <x v="57"/>
    <x v="0"/>
    <x v="0"/>
    <s v="Small"/>
    <n v="3"/>
    <n v="48"/>
    <n v="44.69"/>
    <n v="49"/>
    <n v="2145.12"/>
    <n v="-206.88"/>
    <x v="175"/>
    <x v="0"/>
    <n v="1"/>
    <n v="1"/>
    <n v="2004"/>
    <x v="4"/>
  </r>
  <r>
    <n v="10249"/>
    <s v="S72_1253"/>
    <x v="45"/>
    <x v="36"/>
    <x v="0"/>
    <x v="0"/>
    <s v="Small"/>
    <n v="3"/>
    <n v="32"/>
    <n v="57.61"/>
    <n v="49"/>
    <n v="1843.52"/>
    <n v="275.52"/>
    <x v="176"/>
    <x v="0"/>
    <n v="2"/>
    <n v="5"/>
    <n v="2004"/>
    <x v="4"/>
  </r>
  <r>
    <n v="10415"/>
    <s v="S72_1253"/>
    <x v="65"/>
    <x v="52"/>
    <x v="2"/>
    <x v="2"/>
    <s v="Small"/>
    <n v="3"/>
    <n v="42"/>
    <n v="57.61"/>
    <n v="49"/>
    <n v="2419.62"/>
    <n v="361.62"/>
    <x v="179"/>
    <x v="1"/>
    <n v="2"/>
    <n v="5"/>
    <n v="2005"/>
    <x v="4"/>
  </r>
  <r>
    <n v="10232"/>
    <s v="S72_3212"/>
    <x v="84"/>
    <x v="66"/>
    <x v="15"/>
    <x v="1"/>
    <s v="Small"/>
    <n v="3"/>
    <n v="24"/>
    <n v="49.69"/>
    <n v="54"/>
    <n v="1192.56"/>
    <n v="-103.44"/>
    <x v="244"/>
    <x v="0"/>
    <n v="1"/>
    <n v="3"/>
    <n v="2004"/>
    <x v="5"/>
  </r>
  <r>
    <n v="10388"/>
    <s v="S10_1678"/>
    <x v="78"/>
    <x v="40"/>
    <x v="0"/>
    <x v="0"/>
    <s v="Medium"/>
    <n v="4"/>
    <n v="42"/>
    <n v="76.36"/>
    <n v="95"/>
    <n v="3207.12"/>
    <n v="-782.88"/>
    <x v="150"/>
    <x v="0"/>
    <n v="1"/>
    <n v="3"/>
    <n v="2005"/>
    <x v="0"/>
  </r>
  <r>
    <n v="10174"/>
    <s v="S10_1949"/>
    <x v="14"/>
    <x v="12"/>
    <x v="2"/>
    <x v="2"/>
    <s v="Large"/>
    <n v="4"/>
    <n v="34"/>
    <n v="100"/>
    <n v="214"/>
    <n v="8014.82"/>
    <n v="738.82"/>
    <x v="21"/>
    <x v="0"/>
    <n v="4"/>
    <n v="11"/>
    <n v="2003"/>
    <x v="1"/>
  </r>
  <r>
    <n v="10391"/>
    <s v="S10_1949"/>
    <x v="47"/>
    <x v="38"/>
    <x v="2"/>
    <x v="2"/>
    <s v="Small"/>
    <n v="4"/>
    <n v="24"/>
    <n v="100"/>
    <n v="214"/>
    <n v="2416.56"/>
    <n v="-2719.44"/>
    <x v="165"/>
    <x v="0"/>
    <n v="1"/>
    <n v="3"/>
    <n v="2005"/>
    <x v="1"/>
  </r>
  <r>
    <n v="10168"/>
    <s v="S10_2016"/>
    <x v="0"/>
    <x v="0"/>
    <x v="0"/>
    <x v="0"/>
    <s v="Medium"/>
    <n v="4"/>
    <n v="27"/>
    <n v="100"/>
    <n v="118"/>
    <n v="3660.93"/>
    <n v="474.93"/>
    <x v="0"/>
    <x v="0"/>
    <n v="4"/>
    <n v="10"/>
    <n v="2003"/>
    <x v="0"/>
  </r>
  <r>
    <n v="10188"/>
    <s v="S10_2016"/>
    <x v="1"/>
    <x v="1"/>
    <x v="1"/>
    <x v="1"/>
    <s v="Medium"/>
    <n v="4"/>
    <n v="38"/>
    <n v="96.34"/>
    <n v="118"/>
    <n v="3660.92"/>
    <n v="-823.08"/>
    <x v="1"/>
    <x v="0"/>
    <n v="4"/>
    <n v="11"/>
    <n v="2003"/>
    <x v="0"/>
  </r>
  <r>
    <n v="10223"/>
    <s v="S10_2016"/>
    <x v="2"/>
    <x v="2"/>
    <x v="2"/>
    <x v="2"/>
    <s v="Medium"/>
    <n v="4"/>
    <n v="47"/>
    <n v="100"/>
    <n v="118"/>
    <n v="5422.39"/>
    <n v="-123.61"/>
    <x v="2"/>
    <x v="0"/>
    <n v="1"/>
    <n v="2"/>
    <n v="2004"/>
    <x v="0"/>
  </r>
  <r>
    <n v="10275"/>
    <s v="S10_2016"/>
    <x v="3"/>
    <x v="3"/>
    <x v="3"/>
    <x v="1"/>
    <s v="Small"/>
    <n v="4"/>
    <n v="22"/>
    <n v="100"/>
    <n v="118"/>
    <n v="2904.44"/>
    <n v="308.44"/>
    <x v="3"/>
    <x v="0"/>
    <n v="3"/>
    <n v="7"/>
    <n v="2004"/>
    <x v="0"/>
  </r>
  <r>
    <n v="10318"/>
    <s v="S10_2016"/>
    <x v="4"/>
    <x v="4"/>
    <x v="0"/>
    <x v="0"/>
    <s v="Medium"/>
    <n v="4"/>
    <n v="45"/>
    <n v="100"/>
    <n v="118"/>
    <n v="5566.5"/>
    <n v="256.5"/>
    <x v="4"/>
    <x v="0"/>
    <n v="4"/>
    <n v="11"/>
    <n v="2004"/>
    <x v="0"/>
  </r>
  <r>
    <n v="10339"/>
    <s v="S10_2016"/>
    <x v="41"/>
    <x v="32"/>
    <x v="5"/>
    <x v="2"/>
    <s v="Small"/>
    <n v="4"/>
    <n v="40"/>
    <n v="68.92"/>
    <n v="118"/>
    <n v="2756.8"/>
    <n v="-1963.2"/>
    <x v="90"/>
    <x v="0"/>
    <n v="4"/>
    <n v="11"/>
    <n v="2004"/>
    <x v="0"/>
  </r>
  <r>
    <n v="10107"/>
    <s v="S10_4698"/>
    <x v="5"/>
    <x v="5"/>
    <x v="0"/>
    <x v="0"/>
    <s v="Medium"/>
    <n v="4"/>
    <n v="27"/>
    <n v="100"/>
    <n v="193"/>
    <n v="6065.55"/>
    <n v="854.55"/>
    <x v="24"/>
    <x v="0"/>
    <n v="1"/>
    <n v="2"/>
    <n v="2003"/>
    <x v="0"/>
  </r>
  <r>
    <n v="10134"/>
    <s v="S10_4698"/>
    <x v="19"/>
    <x v="9"/>
    <x v="3"/>
    <x v="1"/>
    <s v="Large"/>
    <n v="4"/>
    <n v="31"/>
    <n v="100"/>
    <n v="193"/>
    <n v="7023.98"/>
    <n v="1040.98"/>
    <x v="25"/>
    <x v="0"/>
    <n v="3"/>
    <n v="7"/>
    <n v="2003"/>
    <x v="0"/>
  </r>
  <r>
    <n v="10201"/>
    <s v="S10_4698"/>
    <x v="23"/>
    <x v="17"/>
    <x v="0"/>
    <x v="0"/>
    <s v="Large"/>
    <n v="4"/>
    <n v="49"/>
    <n v="100"/>
    <n v="193"/>
    <n v="8065.89"/>
    <n v="-1391.11"/>
    <x v="26"/>
    <x v="0"/>
    <n v="4"/>
    <n v="12"/>
    <n v="2003"/>
    <x v="0"/>
  </r>
  <r>
    <n v="10251"/>
    <s v="S10_4698"/>
    <x v="24"/>
    <x v="19"/>
    <x v="0"/>
    <x v="0"/>
    <s v="Large"/>
    <n v="4"/>
    <n v="43"/>
    <n v="100"/>
    <n v="193"/>
    <n v="7078.23"/>
    <n v="-1220.77"/>
    <x v="27"/>
    <x v="0"/>
    <n v="2"/>
    <n v="5"/>
    <n v="2004"/>
    <x v="0"/>
  </r>
  <r>
    <n v="10263"/>
    <s v="S10_4698"/>
    <x v="25"/>
    <x v="20"/>
    <x v="0"/>
    <x v="0"/>
    <s v="Large"/>
    <n v="4"/>
    <n v="41"/>
    <n v="100"/>
    <n v="193"/>
    <n v="8336.94"/>
    <n v="423.94"/>
    <x v="28"/>
    <x v="0"/>
    <n v="2"/>
    <n v="6"/>
    <n v="2004"/>
    <x v="0"/>
  </r>
  <r>
    <n v="10362"/>
    <s v="S10_4698"/>
    <x v="0"/>
    <x v="0"/>
    <x v="0"/>
    <x v="0"/>
    <s v="Medium"/>
    <n v="4"/>
    <n v="22"/>
    <n v="100"/>
    <n v="193"/>
    <n v="3664.1"/>
    <n v="-581.9"/>
    <x v="29"/>
    <x v="0"/>
    <n v="1"/>
    <n v="1"/>
    <n v="2005"/>
    <x v="0"/>
  </r>
  <r>
    <n v="10417"/>
    <s v="S10_4698"/>
    <x v="26"/>
    <x v="21"/>
    <x v="8"/>
    <x v="1"/>
    <s v="Large"/>
    <n v="4"/>
    <n v="56"/>
    <n v="100"/>
    <n v="193"/>
    <n v="9218.16"/>
    <n v="-1589.84"/>
    <x v="30"/>
    <x v="1"/>
    <n v="2"/>
    <n v="5"/>
    <n v="2005"/>
    <x v="0"/>
  </r>
  <r>
    <n v="10273"/>
    <s v="S10_4757"/>
    <x v="66"/>
    <x v="53"/>
    <x v="17"/>
    <x v="1"/>
    <s v="Medium"/>
    <n v="4"/>
    <n v="30"/>
    <n v="100"/>
    <n v="136"/>
    <n v="3508.8"/>
    <n v="-571.20000000000005"/>
    <x v="70"/>
    <x v="0"/>
    <n v="3"/>
    <n v="7"/>
    <n v="2004"/>
    <x v="1"/>
  </r>
  <r>
    <n v="10384"/>
    <s v="S10_4757"/>
    <x v="21"/>
    <x v="17"/>
    <x v="0"/>
    <x v="0"/>
    <s v="Medium"/>
    <n v="4"/>
    <n v="34"/>
    <n v="100"/>
    <n v="136"/>
    <n v="4846.7"/>
    <n v="222.7"/>
    <x v="230"/>
    <x v="0"/>
    <n v="1"/>
    <n v="2"/>
    <n v="2005"/>
    <x v="1"/>
  </r>
  <r>
    <n v="10103"/>
    <s v="S10_4962"/>
    <x v="39"/>
    <x v="31"/>
    <x v="1"/>
    <x v="1"/>
    <s v="Medium"/>
    <n v="4"/>
    <n v="42"/>
    <n v="100"/>
    <n v="147"/>
    <n v="5398.26"/>
    <n v="-775.74"/>
    <x v="166"/>
    <x v="0"/>
    <n v="1"/>
    <n v="1"/>
    <n v="2003"/>
    <x v="1"/>
  </r>
  <r>
    <n v="10126"/>
    <s v="S10_4962"/>
    <x v="63"/>
    <x v="21"/>
    <x v="8"/>
    <x v="1"/>
    <s v="Medium"/>
    <n v="4"/>
    <n v="22"/>
    <n v="100"/>
    <n v="147"/>
    <n v="3347.74"/>
    <n v="113.74"/>
    <x v="167"/>
    <x v="0"/>
    <n v="2"/>
    <n v="5"/>
    <n v="2003"/>
    <x v="1"/>
  </r>
  <r>
    <n v="10140"/>
    <s v="S10_4962"/>
    <x v="0"/>
    <x v="0"/>
    <x v="0"/>
    <x v="0"/>
    <s v="Medium"/>
    <n v="4"/>
    <n v="26"/>
    <n v="100"/>
    <n v="147"/>
    <n v="3188.12"/>
    <n v="-633.88"/>
    <x v="168"/>
    <x v="0"/>
    <n v="3"/>
    <n v="7"/>
    <n v="2003"/>
    <x v="1"/>
  </r>
  <r>
    <n v="10194"/>
    <s v="S10_4962"/>
    <x v="73"/>
    <x v="59"/>
    <x v="3"/>
    <x v="1"/>
    <s v="Medium"/>
    <n v="4"/>
    <n v="26"/>
    <n v="100"/>
    <n v="147"/>
    <n v="4263.74"/>
    <n v="441.74"/>
    <x v="169"/>
    <x v="0"/>
    <n v="4"/>
    <n v="11"/>
    <n v="2003"/>
    <x v="1"/>
  </r>
  <r>
    <n v="10217"/>
    <s v="S10_4962"/>
    <x v="81"/>
    <x v="15"/>
    <x v="7"/>
    <x v="2"/>
    <s v="Large"/>
    <n v="4"/>
    <n v="48"/>
    <n v="100"/>
    <n v="147"/>
    <n v="7020.48"/>
    <n v="-35.520000000000003"/>
    <x v="170"/>
    <x v="0"/>
    <n v="1"/>
    <n v="2"/>
    <n v="2004"/>
    <x v="1"/>
  </r>
  <r>
    <n v="10291"/>
    <s v="S10_4962"/>
    <x v="51"/>
    <x v="42"/>
    <x v="4"/>
    <x v="1"/>
    <s v="Medium"/>
    <n v="4"/>
    <n v="30"/>
    <n v="100"/>
    <n v="147"/>
    <n v="3855.9"/>
    <n v="-554.1"/>
    <x v="171"/>
    <x v="0"/>
    <n v="3"/>
    <n v="9"/>
    <n v="2004"/>
    <x v="1"/>
  </r>
  <r>
    <n v="10370"/>
    <s v="S10_4962"/>
    <x v="47"/>
    <x v="38"/>
    <x v="2"/>
    <x v="2"/>
    <s v="Small"/>
    <n v="4"/>
    <n v="35"/>
    <n v="65.63"/>
    <n v="147"/>
    <n v="2297.0500000000002"/>
    <n v="-2847.95"/>
    <x v="55"/>
    <x v="0"/>
    <n v="1"/>
    <n v="1"/>
    <n v="2005"/>
    <x v="1"/>
  </r>
  <r>
    <n v="10389"/>
    <s v="S12_1099"/>
    <x v="51"/>
    <x v="42"/>
    <x v="4"/>
    <x v="1"/>
    <s v="Small"/>
    <n v="4"/>
    <n v="26"/>
    <n v="99.04"/>
    <n v="194"/>
    <n v="2575.04"/>
    <n v="-2468.96"/>
    <x v="150"/>
    <x v="0"/>
    <n v="1"/>
    <n v="3"/>
    <n v="2005"/>
    <x v="1"/>
  </r>
  <r>
    <n v="10121"/>
    <s v="S12_2823"/>
    <x v="82"/>
    <x v="64"/>
    <x v="3"/>
    <x v="1"/>
    <s v="Large"/>
    <n v="4"/>
    <n v="50"/>
    <n v="100"/>
    <n v="150"/>
    <n v="8284"/>
    <n v="784"/>
    <x v="225"/>
    <x v="0"/>
    <n v="2"/>
    <n v="5"/>
    <n v="2003"/>
    <x v="0"/>
  </r>
  <r>
    <n v="10309"/>
    <s v="S12_2823"/>
    <x v="39"/>
    <x v="31"/>
    <x v="1"/>
    <x v="1"/>
    <s v="Medium"/>
    <n v="4"/>
    <n v="26"/>
    <n v="100"/>
    <n v="150"/>
    <n v="4660.24"/>
    <n v="760.24"/>
    <x v="14"/>
    <x v="0"/>
    <n v="4"/>
    <n v="10"/>
    <n v="2004"/>
    <x v="0"/>
  </r>
  <r>
    <n v="10165"/>
    <s v="S12_3148"/>
    <x v="17"/>
    <x v="15"/>
    <x v="7"/>
    <x v="2"/>
    <s v="Medium"/>
    <n v="4"/>
    <n v="34"/>
    <n v="100"/>
    <n v="151"/>
    <n v="4880.0200000000004"/>
    <n v="-253.98"/>
    <x v="116"/>
    <x v="0"/>
    <n v="4"/>
    <n v="10"/>
    <n v="2003"/>
    <x v="1"/>
  </r>
  <r>
    <n v="10348"/>
    <s v="S12_3148"/>
    <x v="63"/>
    <x v="21"/>
    <x v="8"/>
    <x v="1"/>
    <s v="Medium"/>
    <n v="4"/>
    <n v="47"/>
    <n v="100"/>
    <n v="151"/>
    <n v="4801.5200000000004"/>
    <n v="-2295.48"/>
    <x v="156"/>
    <x v="0"/>
    <n v="4"/>
    <n v="11"/>
    <n v="2004"/>
    <x v="1"/>
  </r>
  <r>
    <n v="10372"/>
    <s v="S12_3148"/>
    <x v="41"/>
    <x v="32"/>
    <x v="5"/>
    <x v="2"/>
    <s v="Medium"/>
    <n v="4"/>
    <n v="40"/>
    <n v="100"/>
    <n v="151"/>
    <n v="5862"/>
    <n v="-178"/>
    <x v="46"/>
    <x v="0"/>
    <n v="1"/>
    <n v="1"/>
    <n v="2005"/>
    <x v="1"/>
  </r>
  <r>
    <n v="10108"/>
    <s v="S12_3380"/>
    <x v="85"/>
    <x v="67"/>
    <x v="18"/>
    <x v="2"/>
    <s v="Medium"/>
    <n v="4"/>
    <n v="45"/>
    <n v="100"/>
    <n v="117"/>
    <n v="6130.35"/>
    <n v="865.35"/>
    <x v="189"/>
    <x v="0"/>
    <n v="1"/>
    <n v="3"/>
    <n v="2003"/>
    <x v="1"/>
  </r>
  <r>
    <n v="10170"/>
    <s v="S12_3380"/>
    <x v="74"/>
    <x v="60"/>
    <x v="11"/>
    <x v="1"/>
    <s v="Medium"/>
    <n v="4"/>
    <n v="47"/>
    <n v="100"/>
    <n v="117"/>
    <n v="5464.69"/>
    <n v="-34.31"/>
    <x v="185"/>
    <x v="0"/>
    <n v="4"/>
    <n v="11"/>
    <n v="2003"/>
    <x v="1"/>
  </r>
  <r>
    <n v="10363"/>
    <s v="S12_3380"/>
    <x v="38"/>
    <x v="30"/>
    <x v="14"/>
    <x v="1"/>
    <s v="Medium"/>
    <n v="4"/>
    <n v="34"/>
    <n v="96.73"/>
    <n v="117"/>
    <n v="3288.82"/>
    <n v="-689.18"/>
    <x v="190"/>
    <x v="0"/>
    <n v="1"/>
    <n v="1"/>
    <n v="2005"/>
    <x v="1"/>
  </r>
  <r>
    <n v="10196"/>
    <s v="S12_3891"/>
    <x v="68"/>
    <x v="55"/>
    <x v="0"/>
    <x v="0"/>
    <s v="Large"/>
    <n v="4"/>
    <n v="38"/>
    <n v="100"/>
    <n v="173"/>
    <n v="7232.16"/>
    <n v="658.16"/>
    <x v="108"/>
    <x v="0"/>
    <n v="4"/>
    <n v="11"/>
    <n v="2003"/>
    <x v="1"/>
  </r>
  <r>
    <n v="10282"/>
    <s v="S12_3891"/>
    <x v="43"/>
    <x v="34"/>
    <x v="0"/>
    <x v="0"/>
    <s v="Medium"/>
    <n v="4"/>
    <n v="24"/>
    <n v="100"/>
    <n v="173"/>
    <n v="3778.8"/>
    <n v="-373.2"/>
    <x v="109"/>
    <x v="0"/>
    <n v="3"/>
    <n v="8"/>
    <n v="2004"/>
    <x v="1"/>
  </r>
  <r>
    <n v="10314"/>
    <s v="S12_3891"/>
    <x v="69"/>
    <x v="56"/>
    <x v="10"/>
    <x v="1"/>
    <s v="Medium"/>
    <n v="4"/>
    <n v="36"/>
    <n v="100"/>
    <n v="173"/>
    <n v="6913.8"/>
    <n v="685.8"/>
    <x v="110"/>
    <x v="0"/>
    <n v="4"/>
    <n v="10"/>
    <n v="2004"/>
    <x v="1"/>
  </r>
  <r>
    <n v="10191"/>
    <s v="S12_3990"/>
    <x v="29"/>
    <x v="23"/>
    <x v="9"/>
    <x v="1"/>
    <s v="Small"/>
    <n v="4"/>
    <n v="30"/>
    <n v="64.64"/>
    <n v="79"/>
    <n v="1939.2"/>
    <n v="-430.8"/>
    <x v="34"/>
    <x v="0"/>
    <n v="4"/>
    <n v="11"/>
    <n v="2003"/>
    <x v="1"/>
  </r>
  <r>
    <n v="10238"/>
    <s v="S12_3990"/>
    <x v="30"/>
    <x v="24"/>
    <x v="10"/>
    <x v="1"/>
    <s v="Small"/>
    <n v="4"/>
    <n v="20"/>
    <n v="74.209999999999994"/>
    <n v="79"/>
    <n v="1484.2"/>
    <n v="-95.8"/>
    <x v="35"/>
    <x v="0"/>
    <n v="2"/>
    <n v="4"/>
    <n v="2004"/>
    <x v="1"/>
  </r>
  <r>
    <n v="10276"/>
    <s v="S12_3990"/>
    <x v="31"/>
    <x v="25"/>
    <x v="0"/>
    <x v="0"/>
    <s v="Medium"/>
    <n v="4"/>
    <n v="38"/>
    <n v="83.79"/>
    <n v="79"/>
    <n v="3184.02"/>
    <n v="182.02"/>
    <x v="36"/>
    <x v="0"/>
    <n v="3"/>
    <n v="8"/>
    <n v="2004"/>
    <x v="1"/>
  </r>
  <r>
    <n v="10320"/>
    <s v="S12_3990"/>
    <x v="6"/>
    <x v="6"/>
    <x v="4"/>
    <x v="1"/>
    <s v="Small"/>
    <n v="4"/>
    <n v="38"/>
    <n v="73.42"/>
    <n v="79"/>
    <n v="2789.96"/>
    <n v="-212.04"/>
    <x v="37"/>
    <x v="0"/>
    <n v="4"/>
    <n v="11"/>
    <n v="2004"/>
    <x v="1"/>
  </r>
  <r>
    <n v="10259"/>
    <s v="S12_4473"/>
    <x v="81"/>
    <x v="15"/>
    <x v="7"/>
    <x v="2"/>
    <s v="Medium"/>
    <n v="4"/>
    <n v="46"/>
    <n v="100"/>
    <n v="118"/>
    <n v="6541.2"/>
    <n v="1113.2"/>
    <x v="147"/>
    <x v="0"/>
    <n v="2"/>
    <n v="6"/>
    <n v="2004"/>
    <x v="2"/>
  </r>
  <r>
    <n v="10371"/>
    <s v="S12_4473"/>
    <x v="43"/>
    <x v="34"/>
    <x v="0"/>
    <x v="0"/>
    <s v="Small"/>
    <n v="4"/>
    <n v="49"/>
    <n v="35.71"/>
    <n v="118"/>
    <n v="1749.79"/>
    <n v="-4032.21"/>
    <x v="207"/>
    <x v="0"/>
    <n v="1"/>
    <n v="1"/>
    <n v="2005"/>
    <x v="2"/>
  </r>
  <r>
    <n v="10425"/>
    <s v="S12_4473"/>
    <x v="3"/>
    <x v="3"/>
    <x v="3"/>
    <x v="1"/>
    <s v="Medium"/>
    <n v="4"/>
    <n v="33"/>
    <n v="100"/>
    <n v="118"/>
    <n v="4692.6000000000004"/>
    <n v="798.6"/>
    <x v="148"/>
    <x v="2"/>
    <n v="2"/>
    <n v="5"/>
    <n v="2005"/>
    <x v="2"/>
  </r>
  <r>
    <n v="10135"/>
    <s v="S12_4675"/>
    <x v="43"/>
    <x v="34"/>
    <x v="0"/>
    <x v="0"/>
    <s v="Small"/>
    <n v="4"/>
    <n v="29"/>
    <n v="97.89"/>
    <n v="115"/>
    <n v="2838.81"/>
    <n v="-496.19"/>
    <x v="180"/>
    <x v="0"/>
    <n v="3"/>
    <n v="7"/>
    <n v="2003"/>
    <x v="1"/>
  </r>
  <r>
    <n v="10147"/>
    <s v="S12_4675"/>
    <x v="53"/>
    <x v="25"/>
    <x v="0"/>
    <x v="0"/>
    <s v="Medium"/>
    <n v="4"/>
    <n v="33"/>
    <n v="97.89"/>
    <n v="115"/>
    <n v="3230.37"/>
    <n v="-564.63"/>
    <x v="181"/>
    <x v="0"/>
    <n v="3"/>
    <n v="9"/>
    <n v="2003"/>
    <x v="1"/>
  </r>
  <r>
    <n v="10113"/>
    <s v="S18_1097"/>
    <x v="43"/>
    <x v="34"/>
    <x v="0"/>
    <x v="0"/>
    <s v="Medium"/>
    <n v="4"/>
    <n v="49"/>
    <n v="100"/>
    <n v="116"/>
    <n v="4916.66"/>
    <n v="-767.34"/>
    <x v="219"/>
    <x v="0"/>
    <n v="1"/>
    <n v="3"/>
    <n v="2003"/>
    <x v="2"/>
  </r>
  <r>
    <n v="10109"/>
    <s v="S18_1129"/>
    <x v="9"/>
    <x v="8"/>
    <x v="0"/>
    <x v="0"/>
    <s v="Medium"/>
    <n v="4"/>
    <n v="26"/>
    <n v="100"/>
    <n v="141"/>
    <n v="4379.18"/>
    <n v="713.18"/>
    <x v="98"/>
    <x v="0"/>
    <n v="1"/>
    <n v="3"/>
    <n v="2003"/>
    <x v="1"/>
  </r>
  <r>
    <n v="10287"/>
    <s v="S18_1129"/>
    <x v="48"/>
    <x v="39"/>
    <x v="16"/>
    <x v="1"/>
    <s v="Medium"/>
    <n v="4"/>
    <n v="41"/>
    <n v="100"/>
    <n v="141"/>
    <n v="6499.32"/>
    <n v="718.32"/>
    <x v="99"/>
    <x v="0"/>
    <n v="3"/>
    <n v="8"/>
    <n v="2004"/>
    <x v="1"/>
  </r>
  <r>
    <n v="10149"/>
    <s v="S18_1342"/>
    <x v="58"/>
    <x v="47"/>
    <x v="0"/>
    <x v="0"/>
    <s v="Medium"/>
    <n v="4"/>
    <n v="50"/>
    <n v="100"/>
    <n v="102"/>
    <n v="5907.5"/>
    <n v="807.5"/>
    <x v="198"/>
    <x v="0"/>
    <n v="3"/>
    <n v="9"/>
    <n v="2003"/>
    <x v="3"/>
  </r>
  <r>
    <n v="10226"/>
    <s v="S18_1589"/>
    <x v="80"/>
    <x v="63"/>
    <x v="0"/>
    <x v="0"/>
    <s v="Medium"/>
    <n v="4"/>
    <n v="38"/>
    <n v="100"/>
    <n v="124"/>
    <n v="4161.38"/>
    <n v="-550.62"/>
    <x v="145"/>
    <x v="0"/>
    <n v="1"/>
    <n v="2"/>
    <n v="2004"/>
    <x v="1"/>
  </r>
  <r>
    <n v="10301"/>
    <s v="S18_1589"/>
    <x v="60"/>
    <x v="49"/>
    <x v="1"/>
    <x v="1"/>
    <s v="Medium"/>
    <n v="4"/>
    <n v="32"/>
    <n v="100"/>
    <n v="124"/>
    <n v="3424.64"/>
    <n v="-543.36"/>
    <x v="146"/>
    <x v="0"/>
    <n v="4"/>
    <n v="10"/>
    <n v="2003"/>
    <x v="1"/>
  </r>
  <r>
    <n v="10343"/>
    <s v="S18_1589"/>
    <x v="82"/>
    <x v="64"/>
    <x v="3"/>
    <x v="1"/>
    <s v="Medium"/>
    <n v="4"/>
    <n v="36"/>
    <n v="100"/>
    <n v="124"/>
    <n v="5848.92"/>
    <n v="1384.92"/>
    <x v="38"/>
    <x v="0"/>
    <n v="4"/>
    <n v="11"/>
    <n v="2004"/>
    <x v="1"/>
  </r>
  <r>
    <n v="10131"/>
    <s v="S18_1662"/>
    <x v="61"/>
    <x v="27"/>
    <x v="0"/>
    <x v="0"/>
    <s v="Small"/>
    <n v="4"/>
    <n v="21"/>
    <n v="100"/>
    <n v="157"/>
    <n v="2781.66"/>
    <n v="-515.34"/>
    <x v="129"/>
    <x v="0"/>
    <n v="2"/>
    <n v="6"/>
    <n v="2003"/>
    <x v="4"/>
  </r>
  <r>
    <n v="10178"/>
    <s v="S18_1662"/>
    <x v="57"/>
    <x v="46"/>
    <x v="3"/>
    <x v="1"/>
    <s v="Medium"/>
    <n v="4"/>
    <n v="42"/>
    <n v="100"/>
    <n v="157"/>
    <n v="6490.68"/>
    <n v="-103.32"/>
    <x v="231"/>
    <x v="0"/>
    <n v="4"/>
    <n v="11"/>
    <n v="2003"/>
    <x v="4"/>
  </r>
  <r>
    <n v="10198"/>
    <s v="S18_1662"/>
    <x v="85"/>
    <x v="67"/>
    <x v="18"/>
    <x v="2"/>
    <s v="Large"/>
    <n v="4"/>
    <n v="42"/>
    <n v="100"/>
    <n v="157"/>
    <n v="7483.98"/>
    <n v="889.98"/>
    <x v="232"/>
    <x v="0"/>
    <n v="4"/>
    <n v="11"/>
    <n v="2003"/>
    <x v="4"/>
  </r>
  <r>
    <n v="10222"/>
    <s v="S18_1662"/>
    <x v="80"/>
    <x v="63"/>
    <x v="0"/>
    <x v="0"/>
    <s v="Medium"/>
    <n v="4"/>
    <n v="49"/>
    <n v="100"/>
    <n v="157"/>
    <n v="6954.08"/>
    <n v="-738.92"/>
    <x v="233"/>
    <x v="0"/>
    <n v="1"/>
    <n v="2"/>
    <n v="2004"/>
    <x v="4"/>
  </r>
  <r>
    <n v="10373"/>
    <s v="S18_1662"/>
    <x v="71"/>
    <x v="58"/>
    <x v="14"/>
    <x v="1"/>
    <s v="Small"/>
    <n v="4"/>
    <n v="28"/>
    <n v="57.55"/>
    <n v="157"/>
    <n v="1611.4"/>
    <n v="-2784.6"/>
    <x v="250"/>
    <x v="0"/>
    <n v="1"/>
    <n v="1"/>
    <n v="2005"/>
    <x v="4"/>
  </r>
  <r>
    <n v="10204"/>
    <s v="S18_1749"/>
    <x v="34"/>
    <x v="5"/>
    <x v="0"/>
    <x v="0"/>
    <s v="Medium"/>
    <n v="4"/>
    <n v="33"/>
    <n v="100"/>
    <n v="170"/>
    <n v="5890.5"/>
    <n v="280.5"/>
    <x v="86"/>
    <x v="0"/>
    <n v="4"/>
    <n v="12"/>
    <n v="2003"/>
    <x v="3"/>
  </r>
  <r>
    <n v="10160"/>
    <s v="S18_1889"/>
    <x v="70"/>
    <x v="57"/>
    <x v="0"/>
    <x v="0"/>
    <s v="Medium"/>
    <n v="4"/>
    <n v="38"/>
    <n v="88.55"/>
    <n v="77"/>
    <n v="3364.9"/>
    <n v="438.9"/>
    <x v="112"/>
    <x v="0"/>
    <n v="4"/>
    <n v="10"/>
    <n v="2003"/>
    <x v="1"/>
  </r>
  <r>
    <n v="10203"/>
    <s v="S18_1889"/>
    <x v="26"/>
    <x v="21"/>
    <x v="8"/>
    <x v="1"/>
    <s v="Medium"/>
    <n v="4"/>
    <n v="45"/>
    <n v="85.47"/>
    <n v="77"/>
    <n v="3846.15"/>
    <n v="381.15"/>
    <x v="86"/>
    <x v="0"/>
    <n v="4"/>
    <n v="12"/>
    <n v="2003"/>
    <x v="1"/>
  </r>
  <r>
    <n v="10239"/>
    <s v="S18_1889"/>
    <x v="71"/>
    <x v="58"/>
    <x v="14"/>
    <x v="1"/>
    <s v="Medium"/>
    <n v="4"/>
    <n v="46"/>
    <n v="73.92"/>
    <n v="77"/>
    <n v="3400.32"/>
    <n v="-141.68"/>
    <x v="113"/>
    <x v="0"/>
    <n v="2"/>
    <n v="4"/>
    <n v="2004"/>
    <x v="1"/>
  </r>
  <r>
    <n v="10377"/>
    <s v="S18_1889"/>
    <x v="44"/>
    <x v="35"/>
    <x v="14"/>
    <x v="1"/>
    <s v="Small"/>
    <n v="4"/>
    <n v="31"/>
    <n v="67.760000000000005"/>
    <n v="77"/>
    <n v="2100.56"/>
    <n v="-286.44"/>
    <x v="51"/>
    <x v="0"/>
    <n v="1"/>
    <n v="2"/>
    <n v="2005"/>
    <x v="1"/>
  </r>
  <r>
    <n v="10405"/>
    <s v="S18_1889"/>
    <x v="59"/>
    <x v="48"/>
    <x v="3"/>
    <x v="1"/>
    <s v="Medium"/>
    <n v="4"/>
    <n v="61"/>
    <n v="73.92"/>
    <n v="77"/>
    <n v="4509.12"/>
    <n v="-187.88"/>
    <x v="115"/>
    <x v="0"/>
    <n v="2"/>
    <n v="4"/>
    <n v="2005"/>
    <x v="1"/>
  </r>
  <r>
    <n v="10253"/>
    <s v="S18_1984"/>
    <x v="50"/>
    <x v="41"/>
    <x v="15"/>
    <x v="1"/>
    <s v="Medium"/>
    <n v="4"/>
    <n v="33"/>
    <n v="100"/>
    <n v="142"/>
    <n v="4459.62"/>
    <n v="-226.38"/>
    <x v="65"/>
    <x v="3"/>
    <n v="2"/>
    <n v="6"/>
    <n v="2004"/>
    <x v="1"/>
  </r>
  <r>
    <n v="10419"/>
    <s v="S18_1984"/>
    <x v="32"/>
    <x v="26"/>
    <x v="11"/>
    <x v="1"/>
    <s v="Medium"/>
    <n v="4"/>
    <n v="34"/>
    <n v="100"/>
    <n v="142"/>
    <n v="4594.76"/>
    <n v="-233.24"/>
    <x v="67"/>
    <x v="0"/>
    <n v="2"/>
    <n v="5"/>
    <n v="2005"/>
    <x v="1"/>
  </r>
  <r>
    <n v="10115"/>
    <s v="S18_2238"/>
    <x v="7"/>
    <x v="5"/>
    <x v="0"/>
    <x v="0"/>
    <s v="Large"/>
    <n v="4"/>
    <n v="46"/>
    <n v="100"/>
    <n v="163"/>
    <n v="7381.16"/>
    <n v="-116.84"/>
    <x v="194"/>
    <x v="0"/>
    <n v="2"/>
    <n v="4"/>
    <n v="2003"/>
    <x v="1"/>
  </r>
  <r>
    <n v="10141"/>
    <s v="S18_2238"/>
    <x v="38"/>
    <x v="30"/>
    <x v="14"/>
    <x v="1"/>
    <s v="Medium"/>
    <n v="4"/>
    <n v="39"/>
    <n v="100"/>
    <n v="163"/>
    <n v="5938.53"/>
    <n v="-418.47"/>
    <x v="195"/>
    <x v="0"/>
    <n v="3"/>
    <n v="8"/>
    <n v="2003"/>
    <x v="1"/>
  </r>
  <r>
    <n v="10246"/>
    <s v="S18_2238"/>
    <x v="26"/>
    <x v="21"/>
    <x v="8"/>
    <x v="1"/>
    <s v="Medium"/>
    <n v="4"/>
    <n v="40"/>
    <n v="100"/>
    <n v="163"/>
    <n v="6549.2"/>
    <n v="29.2"/>
    <x v="43"/>
    <x v="0"/>
    <n v="2"/>
    <n v="5"/>
    <n v="2004"/>
    <x v="1"/>
  </r>
  <r>
    <n v="10271"/>
    <s v="S18_2238"/>
    <x v="43"/>
    <x v="34"/>
    <x v="0"/>
    <x v="0"/>
    <s v="Large"/>
    <n v="4"/>
    <n v="50"/>
    <n v="100"/>
    <n v="163"/>
    <n v="9169"/>
    <n v="1019"/>
    <x v="44"/>
    <x v="0"/>
    <n v="3"/>
    <n v="7"/>
    <n v="2004"/>
    <x v="1"/>
  </r>
  <r>
    <n v="10305"/>
    <s v="S18_2238"/>
    <x v="87"/>
    <x v="36"/>
    <x v="0"/>
    <x v="0"/>
    <s v="Medium"/>
    <n v="4"/>
    <n v="27"/>
    <n v="100"/>
    <n v="163"/>
    <n v="3934.44"/>
    <n v="-466.56"/>
    <x v="196"/>
    <x v="0"/>
    <n v="4"/>
    <n v="10"/>
    <n v="2004"/>
    <x v="1"/>
  </r>
  <r>
    <n v="10412"/>
    <s v="S18_2238"/>
    <x v="26"/>
    <x v="21"/>
    <x v="8"/>
    <x v="1"/>
    <s v="Medium"/>
    <n v="4"/>
    <n v="41"/>
    <n v="100"/>
    <n v="163"/>
    <n v="6712.93"/>
    <n v="29.93"/>
    <x v="197"/>
    <x v="0"/>
    <n v="2"/>
    <n v="5"/>
    <n v="2005"/>
    <x v="1"/>
  </r>
  <r>
    <n v="10288"/>
    <s v="S18_2248"/>
    <x v="81"/>
    <x v="15"/>
    <x v="7"/>
    <x v="2"/>
    <s v="Small"/>
    <n v="4"/>
    <n v="28"/>
    <n v="61.75"/>
    <n v="60"/>
    <n v="1729"/>
    <n v="49"/>
    <x v="158"/>
    <x v="0"/>
    <n v="3"/>
    <n v="9"/>
    <n v="2004"/>
    <x v="3"/>
  </r>
  <r>
    <n v="10367"/>
    <s v="S18_2248"/>
    <x v="22"/>
    <x v="18"/>
    <x v="0"/>
    <x v="0"/>
    <s v="Large"/>
    <n v="4"/>
    <n v="45"/>
    <n v="100"/>
    <n v="60"/>
    <n v="8884.7999999999993"/>
    <n v="6184.8"/>
    <x v="66"/>
    <x v="4"/>
    <n v="1"/>
    <n v="1"/>
    <n v="2005"/>
    <x v="3"/>
  </r>
  <r>
    <n v="10420"/>
    <s v="S18_2248"/>
    <x v="64"/>
    <x v="51"/>
    <x v="2"/>
    <x v="2"/>
    <s v="Small"/>
    <n v="4"/>
    <n v="36"/>
    <n v="63.57"/>
    <n v="60"/>
    <n v="2288.52"/>
    <n v="128.52000000000001"/>
    <x v="97"/>
    <x v="2"/>
    <n v="2"/>
    <n v="5"/>
    <n v="2005"/>
    <x v="3"/>
  </r>
  <r>
    <n v="10175"/>
    <s v="S18_2319"/>
    <x v="42"/>
    <x v="33"/>
    <x v="15"/>
    <x v="1"/>
    <s v="Medium"/>
    <n v="4"/>
    <n v="48"/>
    <n v="100"/>
    <n v="122"/>
    <n v="5891.04"/>
    <n v="35.04"/>
    <x v="21"/>
    <x v="0"/>
    <n v="4"/>
    <n v="11"/>
    <n v="2003"/>
    <x v="2"/>
  </r>
  <r>
    <n v="10229"/>
    <s v="S18_2319"/>
    <x v="43"/>
    <x v="34"/>
    <x v="0"/>
    <x v="0"/>
    <s v="Medium"/>
    <n v="4"/>
    <n v="26"/>
    <n v="100"/>
    <n v="122"/>
    <n v="3765.32"/>
    <n v="593.32000000000005"/>
    <x v="48"/>
    <x v="0"/>
    <n v="1"/>
    <n v="3"/>
    <n v="2004"/>
    <x v="2"/>
  </r>
  <r>
    <n v="10281"/>
    <s v="S18_2319"/>
    <x v="4"/>
    <x v="4"/>
    <x v="0"/>
    <x v="0"/>
    <s v="Medium"/>
    <n v="4"/>
    <n v="48"/>
    <n v="100"/>
    <n v="122"/>
    <n v="5773.44"/>
    <n v="-82.56"/>
    <x v="49"/>
    <x v="0"/>
    <n v="3"/>
    <n v="8"/>
    <n v="2004"/>
    <x v="2"/>
  </r>
  <r>
    <n v="10101"/>
    <s v="S18_2325"/>
    <x v="27"/>
    <x v="22"/>
    <x v="9"/>
    <x v="1"/>
    <s v="Medium"/>
    <n v="4"/>
    <n v="25"/>
    <n v="100"/>
    <n v="127"/>
    <n v="3782"/>
    <n v="607"/>
    <x v="91"/>
    <x v="0"/>
    <n v="1"/>
    <n v="1"/>
    <n v="2003"/>
    <x v="3"/>
  </r>
  <r>
    <n v="10110"/>
    <s v="S18_2325"/>
    <x v="62"/>
    <x v="50"/>
    <x v="15"/>
    <x v="1"/>
    <s v="Medium"/>
    <n v="4"/>
    <n v="33"/>
    <n v="100"/>
    <n v="127"/>
    <n v="3859.68"/>
    <n v="-331.32"/>
    <x v="92"/>
    <x v="0"/>
    <n v="1"/>
    <n v="3"/>
    <n v="2003"/>
    <x v="3"/>
  </r>
  <r>
    <n v="10214"/>
    <s v="S18_2325"/>
    <x v="63"/>
    <x v="21"/>
    <x v="8"/>
    <x v="1"/>
    <s v="Medium"/>
    <n v="4"/>
    <n v="27"/>
    <n v="100"/>
    <n v="127"/>
    <n v="3604.23"/>
    <n v="175.23"/>
    <x v="93"/>
    <x v="0"/>
    <n v="1"/>
    <n v="1"/>
    <n v="2004"/>
    <x v="3"/>
  </r>
  <r>
    <n v="10250"/>
    <s v="S18_2581"/>
    <x v="55"/>
    <x v="44"/>
    <x v="0"/>
    <x v="0"/>
    <s v="Small"/>
    <n v="4"/>
    <n v="27"/>
    <n v="98.84"/>
    <n v="84"/>
    <n v="2668.68"/>
    <n v="400.68"/>
    <x v="161"/>
    <x v="0"/>
    <n v="2"/>
    <n v="5"/>
    <n v="2004"/>
    <x v="4"/>
  </r>
  <r>
    <n v="10297"/>
    <s v="S18_2581"/>
    <x v="36"/>
    <x v="29"/>
    <x v="13"/>
    <x v="1"/>
    <s v="Small"/>
    <n v="4"/>
    <n v="25"/>
    <n v="82.79"/>
    <n v="84"/>
    <n v="2069.75"/>
    <n v="-30.25"/>
    <x v="162"/>
    <x v="0"/>
    <n v="3"/>
    <n v="9"/>
    <n v="2004"/>
    <x v="4"/>
  </r>
  <r>
    <n v="10416"/>
    <s v="S18_2581"/>
    <x v="35"/>
    <x v="28"/>
    <x v="12"/>
    <x v="1"/>
    <s v="Small"/>
    <n v="4"/>
    <n v="15"/>
    <n v="98.84"/>
    <n v="84"/>
    <n v="1482.6"/>
    <n v="222.6"/>
    <x v="163"/>
    <x v="0"/>
    <n v="2"/>
    <n v="5"/>
    <n v="2005"/>
    <x v="4"/>
  </r>
  <r>
    <n v="10120"/>
    <s v="S18_2625"/>
    <x v="2"/>
    <x v="2"/>
    <x v="2"/>
    <x v="2"/>
    <s v="Small"/>
    <n v="4"/>
    <n v="46"/>
    <n v="58.15"/>
    <n v="60"/>
    <n v="2674.9"/>
    <n v="-85.1"/>
    <x v="149"/>
    <x v="0"/>
    <n v="2"/>
    <n v="4"/>
    <n v="2003"/>
    <x v="0"/>
  </r>
  <r>
    <n v="10374"/>
    <s v="S18_2625"/>
    <x v="14"/>
    <x v="12"/>
    <x v="2"/>
    <x v="2"/>
    <s v="Small"/>
    <n v="4"/>
    <n v="22"/>
    <n v="53.3"/>
    <n v="60"/>
    <n v="1172.5999999999999"/>
    <n v="-147.4"/>
    <x v="15"/>
    <x v="0"/>
    <n v="1"/>
    <n v="2"/>
    <n v="2005"/>
    <x v="0"/>
  </r>
  <r>
    <n v="10182"/>
    <s v="S18_2795"/>
    <x v="43"/>
    <x v="34"/>
    <x v="0"/>
    <x v="0"/>
    <s v="Medium"/>
    <n v="4"/>
    <n v="21"/>
    <n v="100"/>
    <n v="168"/>
    <n v="3047.73"/>
    <n v="-480.27"/>
    <x v="117"/>
    <x v="0"/>
    <n v="4"/>
    <n v="11"/>
    <n v="2003"/>
    <x v="3"/>
  </r>
  <r>
    <n v="10227"/>
    <s v="S18_2795"/>
    <x v="73"/>
    <x v="59"/>
    <x v="3"/>
    <x v="1"/>
    <s v="Medium"/>
    <n v="4"/>
    <n v="29"/>
    <n v="100"/>
    <n v="168"/>
    <n v="5579.02"/>
    <n v="707.02"/>
    <x v="118"/>
    <x v="0"/>
    <n v="1"/>
    <n v="3"/>
    <n v="2004"/>
    <x v="3"/>
  </r>
  <r>
    <n v="10215"/>
    <s v="S18_2949"/>
    <x v="79"/>
    <x v="62"/>
    <x v="0"/>
    <x v="0"/>
    <s v="Medium"/>
    <n v="4"/>
    <n v="49"/>
    <n v="100"/>
    <n v="101"/>
    <n v="5510.05"/>
    <n v="561.04999999999995"/>
    <x v="139"/>
    <x v="0"/>
    <n v="1"/>
    <n v="1"/>
    <n v="2004"/>
    <x v="3"/>
  </r>
  <r>
    <n v="10312"/>
    <s v="S18_2949"/>
    <x v="43"/>
    <x v="34"/>
    <x v="0"/>
    <x v="0"/>
    <s v="Medium"/>
    <n v="4"/>
    <n v="37"/>
    <n v="100"/>
    <n v="101"/>
    <n v="3711.1"/>
    <n v="-25.9"/>
    <x v="140"/>
    <x v="0"/>
    <n v="4"/>
    <n v="10"/>
    <n v="2004"/>
    <x v="3"/>
  </r>
  <r>
    <n v="10163"/>
    <s v="S18_2957"/>
    <x v="7"/>
    <x v="5"/>
    <x v="0"/>
    <x v="0"/>
    <s v="Medium"/>
    <n v="4"/>
    <n v="48"/>
    <n v="69.959999999999994"/>
    <n v="62"/>
    <n v="3358.08"/>
    <n v="382.08"/>
    <x v="7"/>
    <x v="0"/>
    <n v="4"/>
    <n v="10"/>
    <n v="2003"/>
    <x v="3"/>
  </r>
  <r>
    <n v="10381"/>
    <s v="S18_2957"/>
    <x v="21"/>
    <x v="17"/>
    <x v="0"/>
    <x v="0"/>
    <s v="Small"/>
    <n v="4"/>
    <n v="40"/>
    <n v="68.08"/>
    <n v="62"/>
    <n v="2723.2"/>
    <n v="243.2"/>
    <x v="23"/>
    <x v="0"/>
    <n v="1"/>
    <n v="2"/>
    <n v="2005"/>
    <x v="3"/>
  </r>
  <r>
    <n v="10197"/>
    <s v="S18_3029"/>
    <x v="88"/>
    <x v="69"/>
    <x v="8"/>
    <x v="1"/>
    <s v="Medium"/>
    <n v="4"/>
    <n v="46"/>
    <n v="87.74"/>
    <n v="86"/>
    <n v="4036.04"/>
    <n v="80.040000000000006"/>
    <x v="108"/>
    <x v="0"/>
    <n v="4"/>
    <n v="11"/>
    <n v="2003"/>
    <x v="5"/>
  </r>
  <r>
    <n v="10283"/>
    <s v="S18_3029"/>
    <x v="89"/>
    <x v="70"/>
    <x v="6"/>
    <x v="0"/>
    <s v="Small"/>
    <n v="4"/>
    <n v="21"/>
    <n v="98.06"/>
    <n v="86"/>
    <n v="2059.2600000000002"/>
    <n v="253.26"/>
    <x v="109"/>
    <x v="0"/>
    <n v="3"/>
    <n v="8"/>
    <n v="2004"/>
    <x v="5"/>
  </r>
  <r>
    <n v="10228"/>
    <s v="S18_3136"/>
    <x v="45"/>
    <x v="36"/>
    <x v="0"/>
    <x v="0"/>
    <s v="Medium"/>
    <n v="4"/>
    <n v="31"/>
    <n v="100"/>
    <n v="104"/>
    <n v="3181.53"/>
    <n v="-42.47"/>
    <x v="52"/>
    <x v="0"/>
    <n v="1"/>
    <n v="3"/>
    <n v="2004"/>
    <x v="3"/>
  </r>
  <r>
    <n v="10280"/>
    <s v="S18_3136"/>
    <x v="46"/>
    <x v="37"/>
    <x v="12"/>
    <x v="1"/>
    <s v="Medium"/>
    <n v="4"/>
    <n v="29"/>
    <n v="100"/>
    <n v="104"/>
    <n v="3006.43"/>
    <n v="-9.57"/>
    <x v="53"/>
    <x v="0"/>
    <n v="3"/>
    <n v="8"/>
    <n v="2004"/>
    <x v="3"/>
  </r>
  <r>
    <n v="10357"/>
    <s v="S18_3136"/>
    <x v="43"/>
    <x v="34"/>
    <x v="0"/>
    <x v="0"/>
    <s v="Medium"/>
    <n v="4"/>
    <n v="44"/>
    <n v="100"/>
    <n v="104"/>
    <n v="5160.76"/>
    <n v="584.76"/>
    <x v="54"/>
    <x v="0"/>
    <n v="4"/>
    <n v="12"/>
    <n v="2004"/>
    <x v="3"/>
  </r>
  <r>
    <n v="10293"/>
    <s v="S18_3140"/>
    <x v="46"/>
    <x v="37"/>
    <x v="12"/>
    <x v="1"/>
    <s v="Small"/>
    <n v="4"/>
    <n v="24"/>
    <n v="100"/>
    <n v="136"/>
    <n v="2819.28"/>
    <n v="-444.72"/>
    <x v="249"/>
    <x v="0"/>
    <n v="3"/>
    <n v="9"/>
    <n v="2004"/>
    <x v="3"/>
  </r>
  <r>
    <n v="10114"/>
    <s v="S18_3232"/>
    <x v="40"/>
    <x v="9"/>
    <x v="3"/>
    <x v="1"/>
    <s v="Large"/>
    <n v="4"/>
    <n v="48"/>
    <n v="100"/>
    <n v="169"/>
    <n v="8209.44"/>
    <n v="97.44"/>
    <x v="174"/>
    <x v="0"/>
    <n v="2"/>
    <n v="4"/>
    <n v="2003"/>
    <x v="1"/>
  </r>
  <r>
    <n v="10342"/>
    <s v="S18_3232"/>
    <x v="2"/>
    <x v="2"/>
    <x v="2"/>
    <x v="2"/>
    <s v="Medium"/>
    <n v="4"/>
    <n v="30"/>
    <n v="100"/>
    <n v="169"/>
    <n v="5029.5"/>
    <n v="-40.5"/>
    <x v="38"/>
    <x v="0"/>
    <n v="4"/>
    <n v="11"/>
    <n v="2004"/>
    <x v="1"/>
  </r>
  <r>
    <n v="10128"/>
    <s v="S18_3259"/>
    <x v="26"/>
    <x v="21"/>
    <x v="8"/>
    <x v="1"/>
    <s v="Medium"/>
    <n v="4"/>
    <n v="41"/>
    <n v="100"/>
    <n v="100"/>
    <n v="4837.18"/>
    <n v="737.18"/>
    <x v="137"/>
    <x v="0"/>
    <n v="2"/>
    <n v="6"/>
    <n v="2003"/>
    <x v="6"/>
  </r>
  <r>
    <n v="10396"/>
    <s v="S18_3259"/>
    <x v="43"/>
    <x v="34"/>
    <x v="0"/>
    <x v="0"/>
    <s v="Small"/>
    <n v="4"/>
    <n v="24"/>
    <n v="89.75"/>
    <n v="100"/>
    <n v="2154"/>
    <n v="-246"/>
    <x v="229"/>
    <x v="0"/>
    <n v="1"/>
    <n v="3"/>
    <n v="2005"/>
    <x v="6"/>
  </r>
  <r>
    <n v="10378"/>
    <s v="S18_3278"/>
    <x v="26"/>
    <x v="21"/>
    <x v="8"/>
    <x v="1"/>
    <s v="Small"/>
    <n v="4"/>
    <n v="22"/>
    <n v="100"/>
    <n v="80"/>
    <n v="2464"/>
    <n v="704"/>
    <x v="84"/>
    <x v="0"/>
    <n v="1"/>
    <n v="2"/>
    <n v="2005"/>
    <x v="1"/>
  </r>
  <r>
    <n v="10111"/>
    <s v="S18_3320"/>
    <x v="23"/>
    <x v="17"/>
    <x v="0"/>
    <x v="0"/>
    <s v="Medium"/>
    <n v="4"/>
    <n v="39"/>
    <n v="100"/>
    <n v="99"/>
    <n v="4178.8500000000004"/>
    <n v="317.85000000000002"/>
    <x v="107"/>
    <x v="0"/>
    <n v="1"/>
    <n v="3"/>
    <n v="2003"/>
    <x v="3"/>
  </r>
  <r>
    <n v="10173"/>
    <s v="S18_3320"/>
    <x v="67"/>
    <x v="54"/>
    <x v="12"/>
    <x v="1"/>
    <s v="Small"/>
    <n v="4"/>
    <n v="29"/>
    <n v="95.24"/>
    <n v="99"/>
    <n v="2761.96"/>
    <n v="-109.04"/>
    <x v="80"/>
    <x v="0"/>
    <n v="4"/>
    <n v="11"/>
    <n v="2003"/>
    <x v="3"/>
  </r>
  <r>
    <n v="10369"/>
    <s v="S18_3320"/>
    <x v="53"/>
    <x v="25"/>
    <x v="0"/>
    <x v="0"/>
    <s v="Medium"/>
    <n v="4"/>
    <n v="45"/>
    <n v="73.08"/>
    <n v="99"/>
    <n v="3288.6"/>
    <n v="-1166.4000000000001"/>
    <x v="55"/>
    <x v="0"/>
    <n v="1"/>
    <n v="1"/>
    <n v="2005"/>
    <x v="3"/>
  </r>
  <r>
    <n v="10159"/>
    <s v="S18_3482"/>
    <x v="21"/>
    <x v="17"/>
    <x v="0"/>
    <x v="0"/>
    <s v="Medium"/>
    <n v="4"/>
    <n v="25"/>
    <n v="100"/>
    <n v="146"/>
    <n v="3638"/>
    <n v="-12"/>
    <x v="160"/>
    <x v="0"/>
    <n v="4"/>
    <n v="10"/>
    <n v="2003"/>
    <x v="1"/>
  </r>
  <r>
    <n v="10169"/>
    <s v="S18_3482"/>
    <x v="47"/>
    <x v="38"/>
    <x v="2"/>
    <x v="2"/>
    <s v="Medium"/>
    <n v="4"/>
    <n v="36"/>
    <n v="100"/>
    <n v="146"/>
    <n v="4444.92"/>
    <n v="-811.08"/>
    <x v="185"/>
    <x v="0"/>
    <n v="4"/>
    <n v="11"/>
    <n v="2003"/>
    <x v="1"/>
  </r>
  <r>
    <n v="10211"/>
    <s v="S18_3482"/>
    <x v="11"/>
    <x v="9"/>
    <x v="3"/>
    <x v="1"/>
    <s v="Medium"/>
    <n v="4"/>
    <n v="28"/>
    <n v="100"/>
    <n v="146"/>
    <n v="3745.28"/>
    <n v="-342.72"/>
    <x v="186"/>
    <x v="0"/>
    <n v="1"/>
    <n v="1"/>
    <n v="2004"/>
    <x v="1"/>
  </r>
  <r>
    <n v="10123"/>
    <s v="S18_3685"/>
    <x v="10"/>
    <x v="3"/>
    <x v="3"/>
    <x v="1"/>
    <s v="Medium"/>
    <n v="4"/>
    <n v="34"/>
    <n v="100"/>
    <n v="141"/>
    <n v="5331.88"/>
    <n v="537.88"/>
    <x v="151"/>
    <x v="0"/>
    <n v="2"/>
    <n v="5"/>
    <n v="2003"/>
    <x v="1"/>
  </r>
  <r>
    <n v="10137"/>
    <s v="S18_3685"/>
    <x v="82"/>
    <x v="64"/>
    <x v="3"/>
    <x v="1"/>
    <s v="Medium"/>
    <n v="4"/>
    <n v="31"/>
    <n v="100"/>
    <n v="141"/>
    <n v="5124.3"/>
    <n v="753.3"/>
    <x v="152"/>
    <x v="0"/>
    <n v="3"/>
    <n v="7"/>
    <n v="2003"/>
    <x v="1"/>
  </r>
  <r>
    <n v="10181"/>
    <s v="S18_3685"/>
    <x v="1"/>
    <x v="1"/>
    <x v="1"/>
    <x v="1"/>
    <s v="Medium"/>
    <n v="4"/>
    <n v="39"/>
    <n v="100"/>
    <n v="141"/>
    <n v="5785.26"/>
    <n v="286.26"/>
    <x v="117"/>
    <x v="0"/>
    <n v="4"/>
    <n v="11"/>
    <n v="2003"/>
    <x v="1"/>
  </r>
  <r>
    <n v="10266"/>
    <s v="S18_3685"/>
    <x v="35"/>
    <x v="28"/>
    <x v="12"/>
    <x v="1"/>
    <s v="Medium"/>
    <n v="4"/>
    <n v="33"/>
    <n v="100"/>
    <n v="141"/>
    <n v="5035.1400000000003"/>
    <n v="382.14"/>
    <x v="153"/>
    <x v="0"/>
    <n v="3"/>
    <n v="7"/>
    <n v="2004"/>
    <x v="1"/>
  </r>
  <r>
    <n v="10278"/>
    <s v="S18_3685"/>
    <x v="83"/>
    <x v="65"/>
    <x v="0"/>
    <x v="0"/>
    <s v="Medium"/>
    <n v="4"/>
    <n v="31"/>
    <n v="100"/>
    <n v="141"/>
    <n v="4116.8"/>
    <n v="-254.2"/>
    <x v="154"/>
    <x v="0"/>
    <n v="3"/>
    <n v="8"/>
    <n v="2004"/>
    <x v="1"/>
  </r>
  <r>
    <n v="10379"/>
    <s v="S18_3685"/>
    <x v="26"/>
    <x v="21"/>
    <x v="8"/>
    <x v="1"/>
    <s v="Small"/>
    <n v="4"/>
    <n v="32"/>
    <n v="70.83"/>
    <n v="141"/>
    <n v="2266.56"/>
    <n v="-2245.44"/>
    <x v="84"/>
    <x v="0"/>
    <n v="1"/>
    <n v="2"/>
    <n v="2005"/>
    <x v="1"/>
  </r>
  <r>
    <n v="10319"/>
    <s v="S18_3782"/>
    <x v="72"/>
    <x v="5"/>
    <x v="0"/>
    <x v="0"/>
    <s v="Small"/>
    <n v="4"/>
    <n v="44"/>
    <n v="59.06"/>
    <n v="62"/>
    <n v="2598.64"/>
    <n v="-129.36000000000001"/>
    <x v="37"/>
    <x v="0"/>
    <n v="4"/>
    <n v="11"/>
    <n v="2004"/>
    <x v="0"/>
  </r>
  <r>
    <n v="10100"/>
    <s v="S18_4409"/>
    <x v="8"/>
    <x v="7"/>
    <x v="0"/>
    <x v="0"/>
    <s v="Small"/>
    <n v="4"/>
    <n v="22"/>
    <n v="86.51"/>
    <n v="92"/>
    <n v="1903.22"/>
    <n v="-120.78"/>
    <x v="191"/>
    <x v="0"/>
    <n v="1"/>
    <n v="1"/>
    <n v="2003"/>
    <x v="3"/>
  </r>
  <r>
    <n v="10344"/>
    <s v="S18_4409"/>
    <x v="56"/>
    <x v="45"/>
    <x v="3"/>
    <x v="1"/>
    <s v="Small"/>
    <n v="4"/>
    <n v="21"/>
    <n v="100"/>
    <n v="92"/>
    <n v="2203.11"/>
    <n v="271.11"/>
    <x v="76"/>
    <x v="0"/>
    <n v="4"/>
    <n v="11"/>
    <n v="2004"/>
    <x v="3"/>
  </r>
  <r>
    <n v="10117"/>
    <s v="S18_4522"/>
    <x v="17"/>
    <x v="15"/>
    <x v="7"/>
    <x v="2"/>
    <s v="Small"/>
    <n v="4"/>
    <n v="23"/>
    <n v="97.42"/>
    <n v="87"/>
    <n v="2240.66"/>
    <n v="239.66"/>
    <x v="246"/>
    <x v="0"/>
    <n v="2"/>
    <n v="4"/>
    <n v="2003"/>
    <x v="3"/>
  </r>
  <r>
    <n v="10334"/>
    <s v="S18_4600"/>
    <x v="6"/>
    <x v="6"/>
    <x v="4"/>
    <x v="1"/>
    <s v="Medium"/>
    <n v="4"/>
    <n v="49"/>
    <n v="100"/>
    <n v="121"/>
    <n v="6763.47"/>
    <n v="834.47"/>
    <x v="87"/>
    <x v="5"/>
    <n v="4"/>
    <n v="11"/>
    <n v="2004"/>
    <x v="2"/>
  </r>
  <r>
    <n v="10347"/>
    <s v="S18_4600"/>
    <x v="2"/>
    <x v="2"/>
    <x v="2"/>
    <x v="2"/>
    <s v="Medium"/>
    <n v="4"/>
    <n v="45"/>
    <n v="100"/>
    <n v="121"/>
    <n v="5884.65"/>
    <n v="439.65"/>
    <x v="9"/>
    <x v="0"/>
    <n v="4"/>
    <n v="11"/>
    <n v="2004"/>
    <x v="2"/>
  </r>
  <r>
    <n v="10206"/>
    <s v="S18_4668"/>
    <x v="90"/>
    <x v="71"/>
    <x v="6"/>
    <x v="0"/>
    <s v="Small"/>
    <n v="4"/>
    <n v="21"/>
    <n v="53.33"/>
    <n v="50"/>
    <n v="1119.93"/>
    <n v="69.930000000000007"/>
    <x v="240"/>
    <x v="0"/>
    <n v="4"/>
    <n v="12"/>
    <n v="2003"/>
    <x v="3"/>
  </r>
  <r>
    <n v="10258"/>
    <s v="S18_4668"/>
    <x v="41"/>
    <x v="32"/>
    <x v="5"/>
    <x v="2"/>
    <s v="Small"/>
    <n v="4"/>
    <n v="21"/>
    <n v="59.87"/>
    <n v="50"/>
    <n v="1257.27"/>
    <n v="207.27"/>
    <x v="147"/>
    <x v="0"/>
    <n v="2"/>
    <n v="6"/>
    <n v="2004"/>
    <x v="3"/>
  </r>
  <r>
    <n v="10304"/>
    <s v="S18_4668"/>
    <x v="20"/>
    <x v="16"/>
    <x v="3"/>
    <x v="1"/>
    <s v="Small"/>
    <n v="4"/>
    <n v="34"/>
    <n v="49.3"/>
    <n v="50"/>
    <n v="1676.2"/>
    <n v="-23.8"/>
    <x v="241"/>
    <x v="0"/>
    <n v="4"/>
    <n v="10"/>
    <n v="2004"/>
    <x v="3"/>
  </r>
  <r>
    <n v="10424"/>
    <s v="S18_4668"/>
    <x v="26"/>
    <x v="21"/>
    <x v="8"/>
    <x v="1"/>
    <s v="Small"/>
    <n v="4"/>
    <n v="26"/>
    <n v="59.87"/>
    <n v="50"/>
    <n v="1556.62"/>
    <n v="256.62"/>
    <x v="148"/>
    <x v="2"/>
    <n v="2"/>
    <n v="5"/>
    <n v="2005"/>
    <x v="3"/>
  </r>
  <r>
    <n v="10252"/>
    <s v="S18_4721"/>
    <x v="11"/>
    <x v="9"/>
    <x v="3"/>
    <x v="1"/>
    <s v="Medium"/>
    <n v="4"/>
    <n v="26"/>
    <n v="100"/>
    <n v="148"/>
    <n v="3559.4"/>
    <n v="-288.60000000000002"/>
    <x v="120"/>
    <x v="0"/>
    <n v="2"/>
    <n v="5"/>
    <n v="2004"/>
    <x v="1"/>
  </r>
  <r>
    <n v="10330"/>
    <s v="S18_4721"/>
    <x v="85"/>
    <x v="67"/>
    <x v="18"/>
    <x v="2"/>
    <s v="Medium"/>
    <n v="4"/>
    <n v="50"/>
    <n v="100"/>
    <n v="148"/>
    <n v="6101"/>
    <n v="-1299"/>
    <x v="172"/>
    <x v="0"/>
    <n v="4"/>
    <n v="11"/>
    <n v="2004"/>
    <x v="1"/>
  </r>
  <r>
    <n v="10241"/>
    <s v="S18_4933"/>
    <x v="59"/>
    <x v="48"/>
    <x v="3"/>
    <x v="1"/>
    <s v="Small"/>
    <n v="4"/>
    <n v="30"/>
    <n v="66.989999999999995"/>
    <n v="71"/>
    <n v="2009.7"/>
    <n v="-120.3"/>
    <x v="83"/>
    <x v="0"/>
    <n v="2"/>
    <n v="4"/>
    <n v="2004"/>
    <x v="1"/>
  </r>
  <r>
    <n v="10407"/>
    <s v="S18_4933"/>
    <x v="55"/>
    <x v="44"/>
    <x v="0"/>
    <x v="0"/>
    <s v="Medium"/>
    <n v="4"/>
    <n v="66"/>
    <n v="66.989999999999995"/>
    <n v="71"/>
    <n v="4421.34"/>
    <n v="-264.66000000000003"/>
    <x v="85"/>
    <x v="5"/>
    <n v="2"/>
    <n v="4"/>
    <n v="2005"/>
    <x v="1"/>
  </r>
  <r>
    <n v="10192"/>
    <s v="S24_1046"/>
    <x v="8"/>
    <x v="7"/>
    <x v="0"/>
    <x v="0"/>
    <s v="Small"/>
    <n v="4"/>
    <n v="37"/>
    <n v="69.819999999999993"/>
    <n v="73"/>
    <n v="2583.34"/>
    <n v="-117.66"/>
    <x v="34"/>
    <x v="0"/>
    <n v="4"/>
    <n v="11"/>
    <n v="2003"/>
    <x v="1"/>
  </r>
  <r>
    <n v="10332"/>
    <s v="S24_1046"/>
    <x v="62"/>
    <x v="50"/>
    <x v="15"/>
    <x v="1"/>
    <s v="Small"/>
    <n v="4"/>
    <n v="23"/>
    <n v="56.84"/>
    <n v="73"/>
    <n v="1307.32"/>
    <n v="-371.68"/>
    <x v="95"/>
    <x v="0"/>
    <n v="4"/>
    <n v="11"/>
    <n v="2004"/>
    <x v="1"/>
  </r>
  <r>
    <n v="10152"/>
    <s v="S24_1444"/>
    <x v="14"/>
    <x v="12"/>
    <x v="2"/>
    <x v="2"/>
    <s v="Small"/>
    <n v="4"/>
    <n v="25"/>
    <n v="65.31"/>
    <n v="57"/>
    <n v="1632.75"/>
    <n v="207.75"/>
    <x v="130"/>
    <x v="0"/>
    <n v="3"/>
    <n v="9"/>
    <n v="2003"/>
    <x v="1"/>
  </r>
  <r>
    <n v="10207"/>
    <s v="S24_1444"/>
    <x v="77"/>
    <x v="14"/>
    <x v="0"/>
    <x v="0"/>
    <s v="Small"/>
    <n v="4"/>
    <n v="49"/>
    <n v="46.82"/>
    <n v="57"/>
    <n v="2294.1799999999998"/>
    <n v="-498.82"/>
    <x v="131"/>
    <x v="0"/>
    <n v="4"/>
    <n v="12"/>
    <n v="2003"/>
    <x v="1"/>
  </r>
  <r>
    <n v="10336"/>
    <s v="S24_1444"/>
    <x v="40"/>
    <x v="9"/>
    <x v="3"/>
    <x v="1"/>
    <s v="Medium"/>
    <n v="4"/>
    <n v="45"/>
    <n v="100"/>
    <n v="57"/>
    <n v="5972.4"/>
    <n v="3407.4"/>
    <x v="45"/>
    <x v="0"/>
    <n v="4"/>
    <n v="11"/>
    <n v="2004"/>
    <x v="1"/>
  </r>
  <r>
    <n v="10349"/>
    <s v="S24_1444"/>
    <x v="34"/>
    <x v="5"/>
    <x v="0"/>
    <x v="0"/>
    <s v="Small"/>
    <n v="4"/>
    <n v="48"/>
    <n v="47.4"/>
    <n v="57"/>
    <n v="2275.1999999999998"/>
    <n v="-460.8"/>
    <x v="216"/>
    <x v="0"/>
    <n v="4"/>
    <n v="12"/>
    <n v="2004"/>
    <x v="1"/>
  </r>
  <r>
    <n v="10106"/>
    <s v="S24_1785"/>
    <x v="67"/>
    <x v="54"/>
    <x v="12"/>
    <x v="1"/>
    <s v="Small"/>
    <n v="4"/>
    <n v="28"/>
    <n v="88.63"/>
    <n v="109"/>
    <n v="2481.64"/>
    <n v="-570.36"/>
    <x v="242"/>
    <x v="0"/>
    <n v="1"/>
    <n v="2"/>
    <n v="2003"/>
    <x v="4"/>
  </r>
  <r>
    <n v="10380"/>
    <s v="S24_1937"/>
    <x v="26"/>
    <x v="21"/>
    <x v="8"/>
    <x v="1"/>
    <s v="Small"/>
    <n v="4"/>
    <n v="32"/>
    <n v="70.56"/>
    <n v="33"/>
    <n v="2257.92"/>
    <n v="1201.92"/>
    <x v="136"/>
    <x v="0"/>
    <n v="1"/>
    <n v="2"/>
    <n v="2005"/>
    <x v="3"/>
  </r>
  <r>
    <n v="10210"/>
    <s v="S24_2000"/>
    <x v="12"/>
    <x v="10"/>
    <x v="5"/>
    <x v="2"/>
    <s v="Small"/>
    <n v="4"/>
    <n v="30"/>
    <n v="61.7"/>
    <n v="76"/>
    <n v="1851"/>
    <n v="-429"/>
    <x v="13"/>
    <x v="0"/>
    <n v="1"/>
    <n v="1"/>
    <n v="2004"/>
    <x v="0"/>
  </r>
  <r>
    <n v="10308"/>
    <s v="S24_2000"/>
    <x v="13"/>
    <x v="11"/>
    <x v="0"/>
    <x v="0"/>
    <s v="Small"/>
    <n v="4"/>
    <n v="47"/>
    <n v="63.22"/>
    <n v="76"/>
    <n v="2971.34"/>
    <n v="-600.66"/>
    <x v="14"/>
    <x v="0"/>
    <n v="4"/>
    <n v="10"/>
    <n v="2004"/>
    <x v="0"/>
  </r>
  <r>
    <n v="10329"/>
    <s v="S24_2000"/>
    <x v="5"/>
    <x v="5"/>
    <x v="0"/>
    <x v="0"/>
    <s v="Medium"/>
    <n v="4"/>
    <n v="37"/>
    <n v="94.43"/>
    <n v="76"/>
    <n v="3493.91"/>
    <n v="681.91"/>
    <x v="5"/>
    <x v="0"/>
    <n v="4"/>
    <n v="11"/>
    <n v="2004"/>
    <x v="0"/>
  </r>
  <r>
    <n v="10232"/>
    <s v="S24_2011"/>
    <x v="84"/>
    <x v="66"/>
    <x v="15"/>
    <x v="1"/>
    <s v="Medium"/>
    <n v="4"/>
    <n v="46"/>
    <n v="100"/>
    <n v="122"/>
    <n v="5652.94"/>
    <n v="40.94"/>
    <x v="244"/>
    <x v="0"/>
    <n v="1"/>
    <n v="3"/>
    <n v="2004"/>
    <x v="5"/>
  </r>
  <r>
    <n v="10326"/>
    <s v="S24_2011"/>
    <x v="6"/>
    <x v="6"/>
    <x v="4"/>
    <x v="1"/>
    <s v="Medium"/>
    <n v="4"/>
    <n v="41"/>
    <n v="100"/>
    <n v="122"/>
    <n v="4333.29"/>
    <n v="-668.71"/>
    <x v="227"/>
    <x v="0"/>
    <n v="4"/>
    <n v="11"/>
    <n v="2004"/>
    <x v="5"/>
  </r>
  <r>
    <n v="10337"/>
    <s v="S24_2011"/>
    <x v="7"/>
    <x v="5"/>
    <x v="0"/>
    <x v="0"/>
    <s v="Small"/>
    <n v="4"/>
    <n v="29"/>
    <n v="71.97"/>
    <n v="122"/>
    <n v="2087.13"/>
    <n v="-1450.87"/>
    <x v="245"/>
    <x v="0"/>
    <n v="4"/>
    <n v="11"/>
    <n v="2004"/>
    <x v="5"/>
  </r>
  <r>
    <n v="10162"/>
    <s v="S24_2022"/>
    <x v="21"/>
    <x v="17"/>
    <x v="0"/>
    <x v="0"/>
    <s v="Small"/>
    <n v="4"/>
    <n v="43"/>
    <n v="36.29"/>
    <n v="44"/>
    <n v="1560.47"/>
    <n v="-331.53"/>
    <x v="60"/>
    <x v="0"/>
    <n v="4"/>
    <n v="10"/>
    <n v="2003"/>
    <x v="3"/>
  </r>
  <r>
    <n v="10205"/>
    <s v="S24_2022"/>
    <x v="26"/>
    <x v="21"/>
    <x v="8"/>
    <x v="1"/>
    <s v="Small"/>
    <n v="4"/>
    <n v="24"/>
    <n v="38.08"/>
    <n v="44"/>
    <n v="913.92"/>
    <n v="-142.08000000000001"/>
    <x v="61"/>
    <x v="0"/>
    <n v="4"/>
    <n v="12"/>
    <n v="2003"/>
    <x v="3"/>
  </r>
  <r>
    <n v="10289"/>
    <s v="S24_2022"/>
    <x v="1"/>
    <x v="1"/>
    <x v="1"/>
    <x v="1"/>
    <s v="Small"/>
    <n v="4"/>
    <n v="45"/>
    <n v="48.38"/>
    <n v="44"/>
    <n v="2177.1"/>
    <n v="197.1"/>
    <x v="63"/>
    <x v="0"/>
    <n v="3"/>
    <n v="9"/>
    <n v="2004"/>
    <x v="3"/>
  </r>
  <r>
    <n v="10322"/>
    <s v="S24_2022"/>
    <x v="8"/>
    <x v="7"/>
    <x v="0"/>
    <x v="0"/>
    <s v="Medium"/>
    <n v="4"/>
    <n v="30"/>
    <n v="100"/>
    <n v="44"/>
    <n v="3500.1"/>
    <n v="2180.1"/>
    <x v="8"/>
    <x v="0"/>
    <n v="4"/>
    <n v="11"/>
    <n v="2004"/>
    <x v="3"/>
  </r>
  <r>
    <n v="10313"/>
    <s v="S24_2300"/>
    <x v="90"/>
    <x v="71"/>
    <x v="6"/>
    <x v="0"/>
    <s v="Medium"/>
    <n v="4"/>
    <n v="42"/>
    <n v="100"/>
    <n v="127"/>
    <n v="5581.8"/>
    <n v="247.8"/>
    <x v="110"/>
    <x v="0"/>
    <n v="4"/>
    <n v="10"/>
    <n v="2004"/>
    <x v="2"/>
  </r>
  <r>
    <n v="10224"/>
    <s v="S24_2360"/>
    <x v="75"/>
    <x v="61"/>
    <x v="3"/>
    <x v="1"/>
    <s v="Small"/>
    <n v="4"/>
    <n v="37"/>
    <n v="80.34"/>
    <n v="69"/>
    <n v="2972.58"/>
    <n v="419.58"/>
    <x v="124"/>
    <x v="0"/>
    <n v="1"/>
    <n v="2"/>
    <n v="2004"/>
    <x v="0"/>
  </r>
  <r>
    <n v="10237"/>
    <s v="S24_2360"/>
    <x v="28"/>
    <x v="5"/>
    <x v="0"/>
    <x v="0"/>
    <s v="Small"/>
    <n v="4"/>
    <n v="26"/>
    <n v="79.650000000000006"/>
    <n v="69"/>
    <n v="2070.9"/>
    <n v="276.89999999999998"/>
    <x v="125"/>
    <x v="0"/>
    <n v="2"/>
    <n v="4"/>
    <n v="2004"/>
    <x v="0"/>
  </r>
  <r>
    <n v="10390"/>
    <s v="S24_2360"/>
    <x v="43"/>
    <x v="34"/>
    <x v="0"/>
    <x v="0"/>
    <s v="Small"/>
    <n v="4"/>
    <n v="35"/>
    <n v="65.13"/>
    <n v="69"/>
    <n v="2279.5500000000002"/>
    <n v="-135.44999999999999"/>
    <x v="122"/>
    <x v="0"/>
    <n v="1"/>
    <n v="3"/>
    <n v="2005"/>
    <x v="0"/>
  </r>
  <r>
    <n v="10403"/>
    <s v="S24_2360"/>
    <x v="50"/>
    <x v="41"/>
    <x v="15"/>
    <x v="1"/>
    <s v="Small"/>
    <n v="4"/>
    <n v="27"/>
    <n v="79.650000000000006"/>
    <n v="69"/>
    <n v="2150.5500000000002"/>
    <n v="287.55"/>
    <x v="128"/>
    <x v="0"/>
    <n v="2"/>
    <n v="4"/>
    <n v="2005"/>
    <x v="0"/>
  </r>
  <r>
    <n v="10148"/>
    <s v="S24_2766"/>
    <x v="47"/>
    <x v="38"/>
    <x v="2"/>
    <x v="2"/>
    <s v="Small"/>
    <n v="4"/>
    <n v="21"/>
    <n v="73.599999999999994"/>
    <n v="90"/>
    <n v="1545.6"/>
    <n v="-344.4"/>
    <x v="134"/>
    <x v="0"/>
    <n v="3"/>
    <n v="9"/>
    <n v="2003"/>
    <x v="1"/>
  </r>
  <r>
    <n v="10311"/>
    <s v="S24_2766"/>
    <x v="26"/>
    <x v="21"/>
    <x v="8"/>
    <x v="1"/>
    <s v="Small"/>
    <n v="4"/>
    <n v="28"/>
    <n v="93.6"/>
    <n v="90"/>
    <n v="2620.8000000000002"/>
    <n v="100.8"/>
    <x v="81"/>
    <x v="0"/>
    <n v="4"/>
    <n v="10"/>
    <n v="2004"/>
    <x v="1"/>
  </r>
  <r>
    <n v="10151"/>
    <s v="S24_2840"/>
    <x v="71"/>
    <x v="58"/>
    <x v="14"/>
    <x v="1"/>
    <s v="Small"/>
    <n v="4"/>
    <n v="30"/>
    <n v="40.31"/>
    <n v="35"/>
    <n v="1209.3"/>
    <n v="159.30000000000001"/>
    <x v="224"/>
    <x v="0"/>
    <n v="3"/>
    <n v="9"/>
    <n v="2003"/>
    <x v="1"/>
  </r>
  <r>
    <n v="10358"/>
    <s v="S24_2840"/>
    <x v="26"/>
    <x v="21"/>
    <x v="8"/>
    <x v="1"/>
    <s v="Small"/>
    <n v="4"/>
    <n v="36"/>
    <n v="82.94"/>
    <n v="35"/>
    <n v="2985.84"/>
    <n v="1725.84"/>
    <x v="54"/>
    <x v="0"/>
    <n v="4"/>
    <n v="12"/>
    <n v="2004"/>
    <x v="1"/>
  </r>
  <r>
    <n v="10119"/>
    <s v="S24_2841"/>
    <x v="32"/>
    <x v="26"/>
    <x v="11"/>
    <x v="1"/>
    <s v="Small"/>
    <n v="4"/>
    <n v="41"/>
    <n v="59.6"/>
    <n v="68"/>
    <n v="2443.6"/>
    <n v="-344.4"/>
    <x v="247"/>
    <x v="0"/>
    <n v="2"/>
    <n v="4"/>
    <n v="2003"/>
    <x v="4"/>
  </r>
  <r>
    <n v="10302"/>
    <s v="S24_2887"/>
    <x v="50"/>
    <x v="41"/>
    <x v="15"/>
    <x v="1"/>
    <s v="Medium"/>
    <n v="4"/>
    <n v="45"/>
    <n v="100"/>
    <n v="117"/>
    <n v="5548.95"/>
    <n v="283.95"/>
    <x v="75"/>
    <x v="0"/>
    <n v="4"/>
    <n v="10"/>
    <n v="2003"/>
    <x v="1"/>
  </r>
  <r>
    <n v="10122"/>
    <s v="S24_2972"/>
    <x v="56"/>
    <x v="45"/>
    <x v="3"/>
    <x v="1"/>
    <s v="Small"/>
    <n v="4"/>
    <n v="39"/>
    <n v="30.96"/>
    <n v="37"/>
    <n v="1207.44"/>
    <n v="-235.56"/>
    <x v="78"/>
    <x v="0"/>
    <n v="2"/>
    <n v="5"/>
    <n v="2003"/>
    <x v="1"/>
  </r>
  <r>
    <n v="10171"/>
    <s v="S24_2972"/>
    <x v="15"/>
    <x v="13"/>
    <x v="6"/>
    <x v="0"/>
    <s v="Small"/>
    <n v="4"/>
    <n v="36"/>
    <n v="35.49"/>
    <n v="37"/>
    <n v="1277.6400000000001"/>
    <n v="-54.36"/>
    <x v="80"/>
    <x v="0"/>
    <n v="4"/>
    <n v="11"/>
    <n v="2003"/>
    <x v="1"/>
  </r>
  <r>
    <n v="10310"/>
    <s v="S24_2972"/>
    <x v="29"/>
    <x v="23"/>
    <x v="9"/>
    <x v="1"/>
    <s v="Small"/>
    <n v="4"/>
    <n v="33"/>
    <n v="41.91"/>
    <n v="37"/>
    <n v="1383.03"/>
    <n v="162.03"/>
    <x v="81"/>
    <x v="0"/>
    <n v="4"/>
    <n v="10"/>
    <n v="2004"/>
    <x v="1"/>
  </r>
  <r>
    <n v="10355"/>
    <s v="S24_2972"/>
    <x v="26"/>
    <x v="21"/>
    <x v="8"/>
    <x v="1"/>
    <s v="Small"/>
    <n v="4"/>
    <n v="36"/>
    <n v="38.520000000000003"/>
    <n v="37"/>
    <n v="1386.72"/>
    <n v="54.72"/>
    <x v="127"/>
    <x v="0"/>
    <n v="4"/>
    <n v="12"/>
    <n v="2004"/>
    <x v="1"/>
  </r>
  <r>
    <n v="10105"/>
    <s v="S24_3151"/>
    <x v="30"/>
    <x v="24"/>
    <x v="10"/>
    <x v="1"/>
    <s v="Medium"/>
    <n v="4"/>
    <n v="44"/>
    <n v="72.58"/>
    <n v="88"/>
    <n v="3193.52"/>
    <n v="-678.48"/>
    <x v="187"/>
    <x v="0"/>
    <n v="1"/>
    <n v="2"/>
    <n v="2003"/>
    <x v="3"/>
  </r>
  <r>
    <n v="10129"/>
    <s v="S24_3151"/>
    <x v="42"/>
    <x v="33"/>
    <x v="15"/>
    <x v="1"/>
    <s v="Medium"/>
    <n v="4"/>
    <n v="41"/>
    <n v="94.71"/>
    <n v="88"/>
    <n v="3883.11"/>
    <n v="275.11"/>
    <x v="188"/>
    <x v="0"/>
    <n v="2"/>
    <n v="6"/>
    <n v="2003"/>
    <x v="3"/>
  </r>
  <r>
    <n v="10161"/>
    <s v="S24_3191"/>
    <x v="69"/>
    <x v="56"/>
    <x v="10"/>
    <x v="1"/>
    <s v="Small"/>
    <n v="4"/>
    <n v="20"/>
    <n v="77.05"/>
    <n v="85"/>
    <n v="1541"/>
    <n v="-159"/>
    <x v="142"/>
    <x v="0"/>
    <n v="4"/>
    <n v="10"/>
    <n v="2003"/>
    <x v="1"/>
  </r>
  <r>
    <n v="10267"/>
    <s v="S24_3191"/>
    <x v="34"/>
    <x v="5"/>
    <x v="0"/>
    <x v="0"/>
    <s v="Medium"/>
    <n v="4"/>
    <n v="44"/>
    <n v="96.74"/>
    <n v="85"/>
    <n v="4256.5600000000004"/>
    <n v="516.55999999999995"/>
    <x v="143"/>
    <x v="0"/>
    <n v="3"/>
    <n v="7"/>
    <n v="2004"/>
    <x v="1"/>
  </r>
  <r>
    <n v="10279"/>
    <s v="S24_3191"/>
    <x v="26"/>
    <x v="21"/>
    <x v="8"/>
    <x v="1"/>
    <s v="Small"/>
    <n v="4"/>
    <n v="33"/>
    <n v="71.06"/>
    <n v="85"/>
    <n v="2344.98"/>
    <n v="-460.02"/>
    <x v="144"/>
    <x v="0"/>
    <n v="3"/>
    <n v="8"/>
    <n v="2004"/>
    <x v="1"/>
  </r>
  <r>
    <n v="10300"/>
    <s v="S24_3371"/>
    <x v="27"/>
    <x v="22"/>
    <x v="9"/>
    <x v="1"/>
    <s v="Small"/>
    <n v="4"/>
    <n v="31"/>
    <n v="58.78"/>
    <n v="61"/>
    <n v="1822.18"/>
    <n v="-68.819999999999993"/>
    <x v="77"/>
    <x v="0"/>
    <n v="4"/>
    <n v="10"/>
    <n v="2003"/>
    <x v="1"/>
  </r>
  <r>
    <n v="10351"/>
    <s v="S24_3420"/>
    <x v="42"/>
    <x v="33"/>
    <x v="15"/>
    <x v="1"/>
    <s v="Small"/>
    <n v="4"/>
    <n v="38"/>
    <n v="68.38"/>
    <n v="65"/>
    <n v="2598.44"/>
    <n v="128.44"/>
    <x v="73"/>
    <x v="0"/>
    <n v="4"/>
    <n v="12"/>
    <n v="2004"/>
    <x v="3"/>
  </r>
  <r>
    <n v="10172"/>
    <s v="S24_3432"/>
    <x v="25"/>
    <x v="20"/>
    <x v="0"/>
    <x v="0"/>
    <s v="Small"/>
    <n v="4"/>
    <n v="22"/>
    <n v="98.51"/>
    <n v="107"/>
    <n v="2167.2199999999998"/>
    <n v="-186.78"/>
    <x v="80"/>
    <x v="0"/>
    <n v="4"/>
    <n v="11"/>
    <n v="2003"/>
    <x v="1"/>
  </r>
  <r>
    <n v="10212"/>
    <s v="S24_3432"/>
    <x v="26"/>
    <x v="21"/>
    <x v="8"/>
    <x v="1"/>
    <s v="Medium"/>
    <n v="4"/>
    <n v="46"/>
    <n v="87.81"/>
    <n v="107"/>
    <n v="4039.26"/>
    <n v="-882.74"/>
    <x v="173"/>
    <x v="0"/>
    <n v="1"/>
    <n v="1"/>
    <n v="2004"/>
    <x v="1"/>
  </r>
  <r>
    <n v="10321"/>
    <s v="S24_3432"/>
    <x v="78"/>
    <x v="40"/>
    <x v="0"/>
    <x v="0"/>
    <s v="Small"/>
    <n v="4"/>
    <n v="21"/>
    <n v="89.95"/>
    <n v="107"/>
    <n v="1888.95"/>
    <n v="-358.05"/>
    <x v="8"/>
    <x v="0"/>
    <n v="4"/>
    <n v="11"/>
    <n v="2004"/>
    <x v="1"/>
  </r>
  <r>
    <n v="10368"/>
    <s v="S24_3432"/>
    <x v="43"/>
    <x v="34"/>
    <x v="0"/>
    <x v="0"/>
    <s v="Small"/>
    <n v="4"/>
    <n v="20"/>
    <n v="99.58"/>
    <n v="107"/>
    <n v="1991.6"/>
    <n v="-148.4"/>
    <x v="184"/>
    <x v="0"/>
    <n v="1"/>
    <n v="1"/>
    <n v="2005"/>
    <x v="1"/>
  </r>
  <r>
    <n v="10225"/>
    <s v="S24_3856"/>
    <x v="48"/>
    <x v="39"/>
    <x v="16"/>
    <x v="1"/>
    <s v="Medium"/>
    <n v="4"/>
    <n v="40"/>
    <n v="100"/>
    <n v="140"/>
    <n v="4550"/>
    <n v="-1050"/>
    <x v="56"/>
    <x v="0"/>
    <n v="1"/>
    <n v="2"/>
    <n v="2004"/>
    <x v="1"/>
  </r>
  <r>
    <n v="10155"/>
    <s v="S24_3949"/>
    <x v="44"/>
    <x v="35"/>
    <x v="14"/>
    <x v="1"/>
    <s v="Medium"/>
    <n v="4"/>
    <n v="44"/>
    <n v="77.11"/>
    <n v="68"/>
    <n v="3392.84"/>
    <n v="400.84"/>
    <x v="75"/>
    <x v="0"/>
    <n v="4"/>
    <n v="10"/>
    <n v="2003"/>
    <x v="4"/>
  </r>
  <r>
    <n v="10124"/>
    <s v="S24_3969"/>
    <x v="83"/>
    <x v="65"/>
    <x v="0"/>
    <x v="0"/>
    <s v="Small"/>
    <n v="4"/>
    <n v="46"/>
    <n v="33.229999999999997"/>
    <n v="41"/>
    <n v="1528.58"/>
    <n v="-357.42"/>
    <x v="58"/>
    <x v="0"/>
    <n v="2"/>
    <n v="5"/>
    <n v="2003"/>
    <x v="3"/>
  </r>
  <r>
    <n v="10346"/>
    <s v="S24_3969"/>
    <x v="83"/>
    <x v="65"/>
    <x v="0"/>
    <x v="0"/>
    <s v="Small"/>
    <n v="4"/>
    <n v="22"/>
    <n v="97.44"/>
    <n v="41"/>
    <n v="2143.6799999999998"/>
    <n v="1241.68"/>
    <x v="9"/>
    <x v="0"/>
    <n v="4"/>
    <n v="11"/>
    <n v="2004"/>
    <x v="3"/>
  </r>
  <r>
    <n v="10292"/>
    <s v="S24_4048"/>
    <x v="5"/>
    <x v="5"/>
    <x v="0"/>
    <x v="0"/>
    <s v="Medium"/>
    <n v="4"/>
    <n v="27"/>
    <n v="100"/>
    <n v="118"/>
    <n v="3832.38"/>
    <n v="646.38"/>
    <x v="171"/>
    <x v="0"/>
    <n v="3"/>
    <n v="9"/>
    <n v="2004"/>
    <x v="1"/>
  </r>
  <r>
    <n v="10383"/>
    <s v="S24_4048"/>
    <x v="26"/>
    <x v="21"/>
    <x v="8"/>
    <x v="1"/>
    <s v="Small"/>
    <n v="4"/>
    <n v="21"/>
    <n v="93.91"/>
    <n v="118"/>
    <n v="1972.11"/>
    <n v="-505.89"/>
    <x v="132"/>
    <x v="0"/>
    <n v="1"/>
    <n v="2"/>
    <n v="2005"/>
    <x v="1"/>
  </r>
  <r>
    <n v="10139"/>
    <s v="S24_4258"/>
    <x v="64"/>
    <x v="51"/>
    <x v="2"/>
    <x v="2"/>
    <s v="Medium"/>
    <n v="4"/>
    <n v="29"/>
    <n v="100"/>
    <n v="97"/>
    <n v="3276.13"/>
    <n v="463.13"/>
    <x v="100"/>
    <x v="0"/>
    <n v="3"/>
    <n v="7"/>
    <n v="2003"/>
    <x v="3"/>
  </r>
  <r>
    <n v="10193"/>
    <s v="S24_4258"/>
    <x v="65"/>
    <x v="52"/>
    <x v="2"/>
    <x v="2"/>
    <s v="Small"/>
    <n v="4"/>
    <n v="20"/>
    <n v="100"/>
    <n v="97"/>
    <n v="2279"/>
    <n v="339"/>
    <x v="101"/>
    <x v="0"/>
    <n v="4"/>
    <n v="11"/>
    <n v="2003"/>
    <x v="3"/>
  </r>
  <r>
    <n v="10244"/>
    <s v="S24_4258"/>
    <x v="26"/>
    <x v="21"/>
    <x v="8"/>
    <x v="1"/>
    <s v="Medium"/>
    <n v="4"/>
    <n v="40"/>
    <n v="86.68"/>
    <n v="97"/>
    <n v="3467.2"/>
    <n v="-412.8"/>
    <x v="102"/>
    <x v="0"/>
    <n v="2"/>
    <n v="4"/>
    <n v="2004"/>
    <x v="3"/>
  </r>
  <r>
    <n v="10257"/>
    <s v="S24_4258"/>
    <x v="55"/>
    <x v="44"/>
    <x v="0"/>
    <x v="0"/>
    <s v="Medium"/>
    <n v="4"/>
    <n v="46"/>
    <n v="78.89"/>
    <n v="97"/>
    <n v="3628.94"/>
    <n v="-833.06"/>
    <x v="103"/>
    <x v="0"/>
    <n v="2"/>
    <n v="6"/>
    <n v="2004"/>
    <x v="3"/>
  </r>
  <r>
    <n v="10382"/>
    <s v="S24_4258"/>
    <x v="43"/>
    <x v="34"/>
    <x v="0"/>
    <x v="0"/>
    <s v="Medium"/>
    <n v="4"/>
    <n v="33"/>
    <n v="100"/>
    <n v="97"/>
    <n v="4592.6099999999997"/>
    <n v="1391.61"/>
    <x v="23"/>
    <x v="0"/>
    <n v="1"/>
    <n v="2"/>
    <n v="2005"/>
    <x v="3"/>
  </r>
  <r>
    <n v="10423"/>
    <s v="S24_4258"/>
    <x v="66"/>
    <x v="53"/>
    <x v="17"/>
    <x v="1"/>
    <s v="Small"/>
    <n v="4"/>
    <n v="28"/>
    <n v="78.89"/>
    <n v="97"/>
    <n v="2208.92"/>
    <n v="-507.08"/>
    <x v="64"/>
    <x v="2"/>
    <n v="2"/>
    <n v="5"/>
    <n v="2005"/>
    <x v="3"/>
  </r>
  <r>
    <n v="10133"/>
    <s v="S24_4278"/>
    <x v="26"/>
    <x v="21"/>
    <x v="8"/>
    <x v="1"/>
    <s v="Medium"/>
    <n v="4"/>
    <n v="46"/>
    <n v="77.52"/>
    <n v="72"/>
    <n v="3565.92"/>
    <n v="253.92"/>
    <x v="209"/>
    <x v="0"/>
    <n v="2"/>
    <n v="6"/>
    <n v="2003"/>
    <x v="4"/>
  </r>
  <r>
    <n v="10235"/>
    <s v="S24_4278"/>
    <x v="89"/>
    <x v="70"/>
    <x v="6"/>
    <x v="0"/>
    <s v="Medium"/>
    <n v="4"/>
    <n v="40"/>
    <n v="81.14"/>
    <n v="72"/>
    <n v="3245.6"/>
    <n v="365.6"/>
    <x v="210"/>
    <x v="0"/>
    <n v="2"/>
    <n v="4"/>
    <n v="2004"/>
    <x v="4"/>
  </r>
  <r>
    <n v="10328"/>
    <s v="S24_4278"/>
    <x v="67"/>
    <x v="54"/>
    <x v="12"/>
    <x v="1"/>
    <s v="Small"/>
    <n v="4"/>
    <n v="43"/>
    <n v="60.86"/>
    <n v="72"/>
    <n v="2616.98"/>
    <n v="-479.02"/>
    <x v="177"/>
    <x v="0"/>
    <n v="4"/>
    <n v="11"/>
    <n v="2004"/>
    <x v="4"/>
  </r>
  <r>
    <n v="10401"/>
    <s v="S24_4278"/>
    <x v="24"/>
    <x v="19"/>
    <x v="0"/>
    <x v="0"/>
    <s v="Medium"/>
    <n v="4"/>
    <n v="52"/>
    <n v="81.14"/>
    <n v="72"/>
    <n v="4219.28"/>
    <n v="475.28"/>
    <x v="212"/>
    <x v="5"/>
    <n v="2"/>
    <n v="4"/>
    <n v="2005"/>
    <x v="4"/>
  </r>
  <r>
    <n v="10180"/>
    <s v="S32_2206"/>
    <x v="75"/>
    <x v="61"/>
    <x v="3"/>
    <x v="1"/>
    <s v="Small"/>
    <n v="4"/>
    <n v="34"/>
    <n v="45.46"/>
    <n v="40"/>
    <n v="1545.64"/>
    <n v="185.64"/>
    <x v="202"/>
    <x v="0"/>
    <n v="4"/>
    <n v="11"/>
    <n v="2003"/>
    <x v="0"/>
  </r>
  <r>
    <n v="10264"/>
    <s v="S32_2206"/>
    <x v="16"/>
    <x v="14"/>
    <x v="0"/>
    <x v="0"/>
    <s v="Small"/>
    <n v="4"/>
    <n v="20"/>
    <n v="32.590000000000003"/>
    <n v="40"/>
    <n v="651.79999999999995"/>
    <n v="-148.19999999999999"/>
    <x v="203"/>
    <x v="0"/>
    <n v="2"/>
    <n v="6"/>
    <n v="2004"/>
    <x v="0"/>
  </r>
  <r>
    <n v="10299"/>
    <s v="S32_2206"/>
    <x v="44"/>
    <x v="35"/>
    <x v="14"/>
    <x v="1"/>
    <s v="Small"/>
    <n v="4"/>
    <n v="24"/>
    <n v="42.24"/>
    <n v="40"/>
    <n v="1013.76"/>
    <n v="53.76"/>
    <x v="204"/>
    <x v="0"/>
    <n v="3"/>
    <n v="9"/>
    <n v="2004"/>
    <x v="0"/>
  </r>
  <r>
    <n v="10219"/>
    <s v="S32_2509"/>
    <x v="58"/>
    <x v="47"/>
    <x v="0"/>
    <x v="0"/>
    <s v="Small"/>
    <n v="4"/>
    <n v="35"/>
    <n v="55.19"/>
    <n v="54"/>
    <n v="1931.65"/>
    <n v="41.65"/>
    <x v="82"/>
    <x v="0"/>
    <n v="1"/>
    <n v="2"/>
    <n v="2004"/>
    <x v="2"/>
  </r>
  <r>
    <n v="10104"/>
    <s v="S32_3207"/>
    <x v="26"/>
    <x v="21"/>
    <x v="8"/>
    <x v="1"/>
    <s v="Medium"/>
    <n v="4"/>
    <n v="49"/>
    <n v="65.87"/>
    <n v="62"/>
    <n v="3227.63"/>
    <n v="189.63"/>
    <x v="31"/>
    <x v="0"/>
    <n v="1"/>
    <n v="1"/>
    <n v="2003"/>
    <x v="6"/>
  </r>
  <r>
    <n v="10230"/>
    <s v="S32_3207"/>
    <x v="27"/>
    <x v="22"/>
    <x v="9"/>
    <x v="1"/>
    <s v="Small"/>
    <n v="4"/>
    <n v="46"/>
    <n v="60.9"/>
    <n v="62"/>
    <n v="2801.4"/>
    <n v="-50.6"/>
    <x v="32"/>
    <x v="0"/>
    <n v="1"/>
    <n v="3"/>
    <n v="2004"/>
    <x v="6"/>
  </r>
  <r>
    <n v="10394"/>
    <s v="S32_3207"/>
    <x v="26"/>
    <x v="21"/>
    <x v="8"/>
    <x v="1"/>
    <s v="Small"/>
    <n v="4"/>
    <n v="30"/>
    <n v="60.28"/>
    <n v="62"/>
    <n v="1808.4"/>
    <n v="-51.6"/>
    <x v="133"/>
    <x v="0"/>
    <n v="1"/>
    <n v="3"/>
    <n v="2005"/>
    <x v="6"/>
  </r>
  <r>
    <n v="10150"/>
    <s v="S32_3522"/>
    <x v="17"/>
    <x v="15"/>
    <x v="7"/>
    <x v="2"/>
    <s v="Small"/>
    <n v="4"/>
    <n v="49"/>
    <n v="58.18"/>
    <n v="64"/>
    <n v="2850.82"/>
    <n v="-285.18"/>
    <x v="18"/>
    <x v="0"/>
    <n v="3"/>
    <n v="9"/>
    <n v="2003"/>
    <x v="2"/>
  </r>
  <r>
    <n v="10183"/>
    <s v="S32_3522"/>
    <x v="18"/>
    <x v="8"/>
    <x v="0"/>
    <x v="0"/>
    <s v="Medium"/>
    <n v="4"/>
    <n v="49"/>
    <n v="64.64"/>
    <n v="64"/>
    <n v="3167.36"/>
    <n v="31.36"/>
    <x v="19"/>
    <x v="0"/>
    <n v="4"/>
    <n v="11"/>
    <n v="2003"/>
    <x v="2"/>
  </r>
  <r>
    <n v="10324"/>
    <s v="S32_3522"/>
    <x v="28"/>
    <x v="5"/>
    <x v="0"/>
    <x v="0"/>
    <s v="Large"/>
    <n v="4"/>
    <n v="48"/>
    <n v="100"/>
    <n v="64"/>
    <n v="8209.44"/>
    <n v="5137.4399999999996"/>
    <x v="33"/>
    <x v="0"/>
    <n v="4"/>
    <n v="11"/>
    <n v="2004"/>
    <x v="2"/>
  </r>
  <r>
    <n v="10333"/>
    <s v="S32_3522"/>
    <x v="23"/>
    <x v="17"/>
    <x v="0"/>
    <x v="0"/>
    <s v="Small"/>
    <n v="4"/>
    <n v="33"/>
    <n v="73.69"/>
    <n v="64"/>
    <n v="2431.77"/>
    <n v="319.77"/>
    <x v="200"/>
    <x v="0"/>
    <n v="4"/>
    <n v="11"/>
    <n v="2004"/>
    <x v="2"/>
  </r>
  <r>
    <n v="10284"/>
    <s v="S32_4289"/>
    <x v="60"/>
    <x v="49"/>
    <x v="1"/>
    <x v="1"/>
    <s v="Medium"/>
    <n v="4"/>
    <n v="50"/>
    <n v="81.86"/>
    <n v="68"/>
    <n v="4093"/>
    <n v="693"/>
    <x v="88"/>
    <x v="0"/>
    <n v="3"/>
    <n v="8"/>
    <n v="2004"/>
    <x v="3"/>
  </r>
  <r>
    <n v="10375"/>
    <s v="S32_4289"/>
    <x v="3"/>
    <x v="3"/>
    <x v="3"/>
    <x v="1"/>
    <s v="Medium"/>
    <n v="4"/>
    <n v="44"/>
    <n v="82.26"/>
    <n v="68"/>
    <n v="3619.44"/>
    <n v="627.44000000000005"/>
    <x v="234"/>
    <x v="0"/>
    <n v="1"/>
    <n v="2"/>
    <n v="2005"/>
    <x v="3"/>
  </r>
  <r>
    <n v="10398"/>
    <s v="S32_4289"/>
    <x v="82"/>
    <x v="64"/>
    <x v="3"/>
    <x v="1"/>
    <s v="Small"/>
    <n v="4"/>
    <n v="22"/>
    <n v="67.41"/>
    <n v="68"/>
    <n v="1483.02"/>
    <n v="-12.98"/>
    <x v="248"/>
    <x v="0"/>
    <n v="1"/>
    <n v="3"/>
    <n v="2005"/>
    <x v="3"/>
  </r>
  <r>
    <n v="10145"/>
    <s v="S32_4485"/>
    <x v="22"/>
    <x v="18"/>
    <x v="0"/>
    <x v="0"/>
    <s v="Medium"/>
    <n v="4"/>
    <n v="27"/>
    <n v="100"/>
    <n v="102"/>
    <n v="3251.34"/>
    <n v="497.34"/>
    <x v="213"/>
    <x v="0"/>
    <n v="3"/>
    <n v="8"/>
    <n v="2003"/>
    <x v="0"/>
  </r>
  <r>
    <n v="10190"/>
    <s v="S32_4485"/>
    <x v="26"/>
    <x v="21"/>
    <x v="8"/>
    <x v="1"/>
    <s v="Medium"/>
    <n v="4"/>
    <n v="42"/>
    <n v="85.72"/>
    <n v="102"/>
    <n v="3600.24"/>
    <n v="-683.76"/>
    <x v="214"/>
    <x v="0"/>
    <n v="4"/>
    <n v="11"/>
    <n v="2003"/>
    <x v="0"/>
  </r>
  <r>
    <n v="10285"/>
    <s v="S32_4485"/>
    <x v="87"/>
    <x v="36"/>
    <x v="0"/>
    <x v="0"/>
    <s v="Small"/>
    <n v="4"/>
    <n v="26"/>
    <n v="100"/>
    <n v="102"/>
    <n v="2600.2600000000002"/>
    <n v="-51.74"/>
    <x v="215"/>
    <x v="0"/>
    <n v="3"/>
    <n v="8"/>
    <n v="2004"/>
    <x v="0"/>
  </r>
  <r>
    <n v="10331"/>
    <s v="S32_4485"/>
    <x v="9"/>
    <x v="8"/>
    <x v="0"/>
    <x v="0"/>
    <s v="Medium"/>
    <n v="4"/>
    <n v="32"/>
    <n v="100"/>
    <n v="102"/>
    <n v="5026.5600000000004"/>
    <n v="1762.56"/>
    <x v="95"/>
    <x v="0"/>
    <n v="4"/>
    <n v="11"/>
    <n v="2004"/>
    <x v="0"/>
  </r>
  <r>
    <n v="10341"/>
    <s v="S32_4485"/>
    <x v="32"/>
    <x v="26"/>
    <x v="11"/>
    <x v="1"/>
    <s v="Small"/>
    <n v="4"/>
    <n v="31"/>
    <n v="71.02"/>
    <n v="102"/>
    <n v="2201.62"/>
    <n v="-960.38"/>
    <x v="38"/>
    <x v="0"/>
    <n v="4"/>
    <n v="11"/>
    <n v="2004"/>
    <x v="0"/>
  </r>
  <r>
    <n v="10340"/>
    <s v="S50_1341"/>
    <x v="88"/>
    <x v="69"/>
    <x v="8"/>
    <x v="1"/>
    <s v="Small"/>
    <n v="4"/>
    <n v="40"/>
    <n v="50.62"/>
    <n v="43"/>
    <n v="2024.8"/>
    <n v="304.8"/>
    <x v="38"/>
    <x v="0"/>
    <n v="4"/>
    <n v="11"/>
    <n v="2004"/>
    <x v="3"/>
  </r>
  <r>
    <n v="10184"/>
    <s v="S50_1392"/>
    <x v="86"/>
    <x v="68"/>
    <x v="8"/>
    <x v="1"/>
    <s v="Medium"/>
    <n v="4"/>
    <n v="45"/>
    <n v="100"/>
    <n v="115"/>
    <n v="4948.2"/>
    <n v="-226.8"/>
    <x v="69"/>
    <x v="0"/>
    <n v="4"/>
    <n v="11"/>
    <n v="2003"/>
    <x v="2"/>
  </r>
  <r>
    <n v="10195"/>
    <s v="S50_1392"/>
    <x v="13"/>
    <x v="11"/>
    <x v="0"/>
    <x v="0"/>
    <s v="Medium"/>
    <n v="4"/>
    <n v="49"/>
    <n v="100"/>
    <n v="115"/>
    <n v="5161.17"/>
    <n v="-473.83"/>
    <x v="169"/>
    <x v="0"/>
    <n v="4"/>
    <n v="11"/>
    <n v="2003"/>
    <x v="2"/>
  </r>
  <r>
    <n v="10325"/>
    <s v="S50_1392"/>
    <x v="39"/>
    <x v="31"/>
    <x v="1"/>
    <x v="1"/>
    <s v="Medium"/>
    <n v="4"/>
    <n v="38"/>
    <n v="100"/>
    <n v="115"/>
    <n v="5190.42"/>
    <n v="820.42"/>
    <x v="33"/>
    <x v="0"/>
    <n v="4"/>
    <n v="11"/>
    <n v="2004"/>
    <x v="2"/>
  </r>
  <r>
    <n v="10395"/>
    <s v="S50_1392"/>
    <x v="19"/>
    <x v="9"/>
    <x v="3"/>
    <x v="1"/>
    <s v="Medium"/>
    <n v="4"/>
    <n v="46"/>
    <n v="100"/>
    <n v="115"/>
    <n v="5692.96"/>
    <n v="402.96"/>
    <x v="20"/>
    <x v="0"/>
    <n v="1"/>
    <n v="3"/>
    <n v="2005"/>
    <x v="2"/>
  </r>
  <r>
    <n v="10127"/>
    <s v="S50_1514"/>
    <x v="34"/>
    <x v="5"/>
    <x v="0"/>
    <x v="0"/>
    <s v="Medium"/>
    <n v="4"/>
    <n v="46"/>
    <n v="69.12"/>
    <n v="58"/>
    <n v="3179.52"/>
    <n v="511.52"/>
    <x v="40"/>
    <x v="0"/>
    <n v="2"/>
    <n v="6"/>
    <n v="2003"/>
    <x v="6"/>
  </r>
  <r>
    <n v="10176"/>
    <s v="S50_1514"/>
    <x v="35"/>
    <x v="28"/>
    <x v="12"/>
    <x v="1"/>
    <s v="Small"/>
    <n v="4"/>
    <n v="38"/>
    <n v="64.44"/>
    <n v="58"/>
    <n v="2448.7199999999998"/>
    <n v="244.72"/>
    <x v="21"/>
    <x v="0"/>
    <n v="4"/>
    <n v="11"/>
    <n v="2003"/>
    <x v="6"/>
  </r>
  <r>
    <n v="10220"/>
    <s v="S50_1514"/>
    <x v="36"/>
    <x v="29"/>
    <x v="13"/>
    <x v="1"/>
    <s v="Small"/>
    <n v="4"/>
    <n v="30"/>
    <n v="68.540000000000006"/>
    <n v="58"/>
    <n v="2056.1999999999998"/>
    <n v="316.2"/>
    <x v="41"/>
    <x v="0"/>
    <n v="1"/>
    <n v="2"/>
    <n v="2004"/>
    <x v="6"/>
  </r>
  <r>
    <n v="10247"/>
    <s v="S50_1514"/>
    <x v="38"/>
    <x v="30"/>
    <x v="14"/>
    <x v="1"/>
    <s v="Medium"/>
    <n v="4"/>
    <n v="49"/>
    <n v="63.85"/>
    <n v="58"/>
    <n v="3128.65"/>
    <n v="286.64999999999998"/>
    <x v="43"/>
    <x v="0"/>
    <n v="2"/>
    <n v="5"/>
    <n v="2004"/>
    <x v="6"/>
  </r>
  <r>
    <n v="10272"/>
    <s v="S50_1514"/>
    <x v="4"/>
    <x v="4"/>
    <x v="0"/>
    <x v="0"/>
    <s v="Small"/>
    <n v="4"/>
    <n v="43"/>
    <n v="56.82"/>
    <n v="58"/>
    <n v="2443.2600000000002"/>
    <n v="-50.74"/>
    <x v="44"/>
    <x v="0"/>
    <n v="3"/>
    <n v="7"/>
    <n v="2004"/>
    <x v="6"/>
  </r>
  <r>
    <n v="10359"/>
    <s v="S50_1514"/>
    <x v="82"/>
    <x v="64"/>
    <x v="3"/>
    <x v="1"/>
    <s v="Small"/>
    <n v="4"/>
    <n v="25"/>
    <n v="64.930000000000007"/>
    <n v="58"/>
    <n v="1623.25"/>
    <n v="173.25"/>
    <x v="218"/>
    <x v="0"/>
    <n v="4"/>
    <n v="12"/>
    <n v="2004"/>
    <x v="6"/>
  </r>
  <r>
    <n v="10413"/>
    <s v="S50_1514"/>
    <x v="25"/>
    <x v="20"/>
    <x v="0"/>
    <x v="0"/>
    <s v="Medium"/>
    <n v="4"/>
    <n v="51"/>
    <n v="63.85"/>
    <n v="58"/>
    <n v="3256.35"/>
    <n v="298.35000000000002"/>
    <x v="47"/>
    <x v="0"/>
    <n v="2"/>
    <n v="5"/>
    <n v="2005"/>
    <x v="6"/>
  </r>
  <r>
    <n v="10356"/>
    <s v="S50_4713"/>
    <x v="19"/>
    <x v="9"/>
    <x v="3"/>
    <x v="1"/>
    <s v="Medium"/>
    <n v="4"/>
    <n v="26"/>
    <n v="100"/>
    <n v="81"/>
    <n v="3937.7"/>
    <n v="1831.7"/>
    <x v="96"/>
    <x v="0"/>
    <n v="4"/>
    <n v="12"/>
    <n v="2004"/>
    <x v="0"/>
  </r>
  <r>
    <n v="10261"/>
    <s v="S700_1138"/>
    <x v="15"/>
    <x v="13"/>
    <x v="6"/>
    <x v="0"/>
    <s v="Small"/>
    <n v="4"/>
    <n v="34"/>
    <n v="62"/>
    <n v="66"/>
    <n v="2108"/>
    <n v="-136"/>
    <x v="16"/>
    <x v="0"/>
    <n v="2"/>
    <n v="6"/>
    <n v="2004"/>
    <x v="5"/>
  </r>
  <r>
    <n v="10295"/>
    <s v="S700_1138"/>
    <x v="16"/>
    <x v="14"/>
    <x v="0"/>
    <x v="0"/>
    <s v="Small"/>
    <n v="4"/>
    <n v="26"/>
    <n v="75.34"/>
    <n v="66"/>
    <n v="1958.84"/>
    <n v="242.84"/>
    <x v="17"/>
    <x v="0"/>
    <n v="3"/>
    <n v="9"/>
    <n v="2004"/>
    <x v="5"/>
  </r>
  <r>
    <n v="10262"/>
    <s v="S700_1691"/>
    <x v="26"/>
    <x v="21"/>
    <x v="8"/>
    <x v="1"/>
    <s v="Medium"/>
    <n v="4"/>
    <n v="40"/>
    <n v="84.03"/>
    <n v="91"/>
    <n v="3361.2"/>
    <n v="-278.8"/>
    <x v="155"/>
    <x v="3"/>
    <n v="2"/>
    <n v="6"/>
    <n v="2004"/>
    <x v="4"/>
  </r>
  <r>
    <n v="10316"/>
    <s v="S700_1691"/>
    <x v="84"/>
    <x v="66"/>
    <x v="15"/>
    <x v="1"/>
    <s v="Small"/>
    <n v="4"/>
    <n v="34"/>
    <n v="82.21"/>
    <n v="91"/>
    <n v="2795.14"/>
    <n v="-298.86"/>
    <x v="156"/>
    <x v="0"/>
    <n v="4"/>
    <n v="11"/>
    <n v="2004"/>
    <x v="4"/>
  </r>
  <r>
    <n v="10361"/>
    <s v="S700_1691"/>
    <x v="64"/>
    <x v="51"/>
    <x v="2"/>
    <x v="2"/>
    <s v="Small"/>
    <n v="4"/>
    <n v="20"/>
    <n v="60.54"/>
    <n v="91"/>
    <n v="1210.8"/>
    <n v="-609.20000000000005"/>
    <x v="201"/>
    <x v="0"/>
    <n v="4"/>
    <n v="12"/>
    <n v="2004"/>
    <x v="4"/>
  </r>
  <r>
    <n v="10221"/>
    <s v="S700_1938"/>
    <x v="66"/>
    <x v="53"/>
    <x v="17"/>
    <x v="1"/>
    <s v="Small"/>
    <n v="4"/>
    <n v="23"/>
    <n v="97"/>
    <n v="86"/>
    <n v="2231"/>
    <n v="253"/>
    <x v="164"/>
    <x v="0"/>
    <n v="1"/>
    <n v="2"/>
    <n v="2004"/>
    <x v="5"/>
  </r>
  <r>
    <n v="10350"/>
    <s v="S700_1938"/>
    <x v="26"/>
    <x v="21"/>
    <x v="8"/>
    <x v="1"/>
    <s v="Small"/>
    <n v="4"/>
    <n v="28"/>
    <n v="100"/>
    <n v="86"/>
    <n v="2924.32"/>
    <n v="516.32000000000005"/>
    <x v="111"/>
    <x v="0"/>
    <n v="4"/>
    <n v="12"/>
    <n v="2004"/>
    <x v="5"/>
  </r>
  <r>
    <n v="10209"/>
    <s v="S700_2047"/>
    <x v="70"/>
    <x v="57"/>
    <x v="0"/>
    <x v="0"/>
    <s v="Small"/>
    <n v="4"/>
    <n v="33"/>
    <n v="88.71"/>
    <n v="90"/>
    <n v="2927.43"/>
    <n v="-42.57"/>
    <x v="175"/>
    <x v="0"/>
    <n v="1"/>
    <n v="1"/>
    <n v="2004"/>
    <x v="5"/>
  </r>
  <r>
    <n v="10249"/>
    <s v="S700_2047"/>
    <x v="45"/>
    <x v="36"/>
    <x v="0"/>
    <x v="0"/>
    <s v="Medium"/>
    <n v="4"/>
    <n v="40"/>
    <n v="95.95"/>
    <n v="90"/>
    <n v="3838"/>
    <n v="238"/>
    <x v="176"/>
    <x v="0"/>
    <n v="2"/>
    <n v="5"/>
    <n v="2004"/>
    <x v="5"/>
  </r>
  <r>
    <n v="10415"/>
    <s v="S700_2047"/>
    <x v="65"/>
    <x v="52"/>
    <x v="2"/>
    <x v="2"/>
    <s v="Medium"/>
    <n v="4"/>
    <n v="32"/>
    <n v="95.95"/>
    <n v="90"/>
    <n v="3070.4"/>
    <n v="190.4"/>
    <x v="179"/>
    <x v="1"/>
    <n v="2"/>
    <n v="5"/>
    <n v="2005"/>
    <x v="5"/>
  </r>
  <r>
    <n v="10143"/>
    <s v="S700_2466"/>
    <x v="49"/>
    <x v="40"/>
    <x v="0"/>
    <x v="0"/>
    <s v="Small"/>
    <n v="4"/>
    <n v="26"/>
    <n v="82.77"/>
    <n v="99"/>
    <n v="2152.02"/>
    <n v="-421.98"/>
    <x v="221"/>
    <x v="0"/>
    <n v="3"/>
    <n v="8"/>
    <n v="2003"/>
    <x v="4"/>
  </r>
  <r>
    <n v="10296"/>
    <s v="S700_2466"/>
    <x v="91"/>
    <x v="72"/>
    <x v="9"/>
    <x v="1"/>
    <s v="Small"/>
    <n v="4"/>
    <n v="24"/>
    <n v="100"/>
    <n v="99"/>
    <n v="2441.04"/>
    <n v="65.040000000000006"/>
    <x v="223"/>
    <x v="0"/>
    <n v="3"/>
    <n v="9"/>
    <n v="2004"/>
    <x v="4"/>
  </r>
  <r>
    <n v="10248"/>
    <s v="S700_2610"/>
    <x v="5"/>
    <x v="5"/>
    <x v="0"/>
    <x v="0"/>
    <s v="Small"/>
    <n v="4"/>
    <n v="32"/>
    <n v="75.89"/>
    <n v="72"/>
    <n v="2428.48"/>
    <n v="124.48"/>
    <x v="105"/>
    <x v="3"/>
    <n v="2"/>
    <n v="5"/>
    <n v="2004"/>
    <x v="5"/>
  </r>
  <r>
    <n v="10397"/>
    <s v="S700_2610"/>
    <x v="57"/>
    <x v="46"/>
    <x v="3"/>
    <x v="1"/>
    <s v="Small"/>
    <n v="4"/>
    <n v="22"/>
    <n v="66.5"/>
    <n v="72"/>
    <n v="1463"/>
    <n v="-121"/>
    <x v="251"/>
    <x v="0"/>
    <n v="1"/>
    <n v="3"/>
    <n v="2005"/>
    <x v="5"/>
  </r>
  <r>
    <n v="10414"/>
    <s v="S700_2610"/>
    <x v="16"/>
    <x v="14"/>
    <x v="0"/>
    <x v="0"/>
    <s v="Small"/>
    <n v="4"/>
    <n v="31"/>
    <n v="75.89"/>
    <n v="72"/>
    <n v="2352.59"/>
    <n v="120.59"/>
    <x v="106"/>
    <x v="5"/>
    <n v="2"/>
    <n v="5"/>
    <n v="2005"/>
    <x v="5"/>
  </r>
  <r>
    <n v="10164"/>
    <s v="S700_2824"/>
    <x v="74"/>
    <x v="60"/>
    <x v="11"/>
    <x v="1"/>
    <s v="Medium"/>
    <n v="4"/>
    <n v="39"/>
    <n v="81.93"/>
    <n v="101"/>
    <n v="3195.27"/>
    <n v="-743.73"/>
    <x v="138"/>
    <x v="4"/>
    <n v="4"/>
    <n v="10"/>
    <n v="2003"/>
    <x v="1"/>
  </r>
  <r>
    <n v="10245"/>
    <s v="S700_2824"/>
    <x v="68"/>
    <x v="55"/>
    <x v="0"/>
    <x v="0"/>
    <s v="Medium"/>
    <n v="4"/>
    <n v="44"/>
    <n v="100"/>
    <n v="101"/>
    <n v="4628.8"/>
    <n v="184.8"/>
    <x v="205"/>
    <x v="0"/>
    <n v="2"/>
    <n v="5"/>
    <n v="2004"/>
    <x v="1"/>
  </r>
  <r>
    <n v="10270"/>
    <s v="S700_2824"/>
    <x v="64"/>
    <x v="51"/>
    <x v="2"/>
    <x v="2"/>
    <s v="Medium"/>
    <n v="4"/>
    <n v="46"/>
    <n v="88"/>
    <n v="101"/>
    <n v="4048"/>
    <n v="-598"/>
    <x v="206"/>
    <x v="0"/>
    <n v="3"/>
    <n v="7"/>
    <n v="2004"/>
    <x v="1"/>
  </r>
  <r>
    <n v="10411"/>
    <s v="S700_2824"/>
    <x v="15"/>
    <x v="13"/>
    <x v="6"/>
    <x v="0"/>
    <s v="Medium"/>
    <n v="4"/>
    <n v="34"/>
    <n v="100"/>
    <n v="101"/>
    <n v="3576.8"/>
    <n v="142.80000000000001"/>
    <x v="208"/>
    <x v="0"/>
    <n v="2"/>
    <n v="5"/>
    <n v="2005"/>
    <x v="1"/>
  </r>
  <r>
    <n v="10353"/>
    <s v="S700_2834"/>
    <x v="61"/>
    <x v="27"/>
    <x v="0"/>
    <x v="0"/>
    <s v="Medium"/>
    <n v="4"/>
    <n v="48"/>
    <n v="68.8"/>
    <n v="118"/>
    <n v="3302.4"/>
    <n v="-2361.6"/>
    <x v="89"/>
    <x v="0"/>
    <n v="4"/>
    <n v="12"/>
    <n v="2004"/>
    <x v="4"/>
  </r>
  <r>
    <n v="10177"/>
    <s v="S700_3505"/>
    <x v="37"/>
    <x v="21"/>
    <x v="8"/>
    <x v="1"/>
    <s v="Medium"/>
    <n v="4"/>
    <n v="44"/>
    <n v="92.16"/>
    <n v="100"/>
    <n v="4055.04"/>
    <n v="-344.96"/>
    <x v="236"/>
    <x v="0"/>
    <n v="4"/>
    <n v="11"/>
    <n v="2003"/>
    <x v="5"/>
  </r>
  <r>
    <n v="10185"/>
    <s v="S700_3505"/>
    <x v="49"/>
    <x v="40"/>
    <x v="0"/>
    <x v="0"/>
    <s v="Medium"/>
    <n v="4"/>
    <n v="37"/>
    <n v="100"/>
    <n v="100"/>
    <n v="3891.66"/>
    <n v="191.66"/>
    <x v="69"/>
    <x v="0"/>
    <n v="4"/>
    <n v="11"/>
    <n v="2003"/>
    <x v="5"/>
  </r>
  <r>
    <n v="10208"/>
    <s v="S700_3505"/>
    <x v="73"/>
    <x v="59"/>
    <x v="3"/>
    <x v="1"/>
    <s v="Medium"/>
    <n v="4"/>
    <n v="37"/>
    <n v="100"/>
    <n v="100"/>
    <n v="4447.3999999999996"/>
    <n v="747.4"/>
    <x v="237"/>
    <x v="0"/>
    <n v="1"/>
    <n v="1"/>
    <n v="2004"/>
    <x v="5"/>
  </r>
  <r>
    <n v="10306"/>
    <s v="S700_3505"/>
    <x v="62"/>
    <x v="50"/>
    <x v="15"/>
    <x v="1"/>
    <s v="Small"/>
    <n v="4"/>
    <n v="32"/>
    <n v="90.15"/>
    <n v="100"/>
    <n v="2884.8"/>
    <n v="-315.2"/>
    <x v="71"/>
    <x v="0"/>
    <n v="4"/>
    <n v="10"/>
    <n v="2004"/>
    <x v="5"/>
  </r>
  <r>
    <n v="10142"/>
    <s v="S700_3962"/>
    <x v="43"/>
    <x v="34"/>
    <x v="0"/>
    <x v="0"/>
    <s v="Medium"/>
    <n v="4"/>
    <n v="38"/>
    <n v="85.41"/>
    <n v="99"/>
    <n v="3245.58"/>
    <n v="-516.41999999999996"/>
    <x v="182"/>
    <x v="0"/>
    <n v="3"/>
    <n v="8"/>
    <n v="2003"/>
    <x v="5"/>
  </r>
  <r>
    <n v="10315"/>
    <s v="S700_3962"/>
    <x v="3"/>
    <x v="3"/>
    <x v="3"/>
    <x v="1"/>
    <s v="Medium"/>
    <n v="4"/>
    <n v="37"/>
    <n v="91.37"/>
    <n v="99"/>
    <n v="3380.69"/>
    <n v="-282.31"/>
    <x v="183"/>
    <x v="0"/>
    <n v="4"/>
    <n v="10"/>
    <n v="2004"/>
    <x v="5"/>
  </r>
  <r>
    <n v="10167"/>
    <s v="S72_1253"/>
    <x v="51"/>
    <x v="42"/>
    <x v="4"/>
    <x v="1"/>
    <s v="Small"/>
    <n v="4"/>
    <n v="40"/>
    <n v="41.71"/>
    <n v="49"/>
    <n v="1668.4"/>
    <n v="-291.60000000000002"/>
    <x v="68"/>
    <x v="3"/>
    <n v="4"/>
    <n v="10"/>
    <n v="2003"/>
    <x v="4"/>
  </r>
  <r>
    <n v="10186"/>
    <s v="S72_1253"/>
    <x v="52"/>
    <x v="33"/>
    <x v="15"/>
    <x v="1"/>
    <s v="Small"/>
    <n v="4"/>
    <n v="28"/>
    <n v="52.14"/>
    <n v="49"/>
    <n v="1459.92"/>
    <n v="87.92"/>
    <x v="69"/>
    <x v="0"/>
    <n v="4"/>
    <n v="11"/>
    <n v="2003"/>
    <x v="4"/>
  </r>
  <r>
    <n v="10274"/>
    <s v="S72_1253"/>
    <x v="53"/>
    <x v="25"/>
    <x v="0"/>
    <x v="0"/>
    <s v="Small"/>
    <n v="4"/>
    <n v="32"/>
    <n v="58.6"/>
    <n v="49"/>
    <n v="1875.2"/>
    <n v="307.2"/>
    <x v="70"/>
    <x v="0"/>
    <n v="3"/>
    <n v="7"/>
    <n v="2004"/>
    <x v="4"/>
  </r>
  <r>
    <n v="10307"/>
    <s v="S72_1253"/>
    <x v="18"/>
    <x v="8"/>
    <x v="0"/>
    <x v="0"/>
    <s v="Small"/>
    <n v="4"/>
    <n v="34"/>
    <n v="53.63"/>
    <n v="49"/>
    <n v="1823.42"/>
    <n v="157.41999999999999"/>
    <x v="71"/>
    <x v="0"/>
    <n v="4"/>
    <n v="10"/>
    <n v="2004"/>
    <x v="4"/>
  </r>
  <r>
    <n v="10352"/>
    <s v="S72_1253"/>
    <x v="76"/>
    <x v="25"/>
    <x v="0"/>
    <x v="0"/>
    <s v="Small"/>
    <n v="4"/>
    <n v="49"/>
    <n v="52.64"/>
    <n v="49"/>
    <n v="2579.36"/>
    <n v="178.36"/>
    <x v="73"/>
    <x v="0"/>
    <n v="4"/>
    <n v="12"/>
    <n v="2004"/>
    <x v="4"/>
  </r>
  <r>
    <n v="10400"/>
    <s v="S72_1253"/>
    <x v="55"/>
    <x v="44"/>
    <x v="0"/>
    <x v="0"/>
    <s v="Small"/>
    <n v="4"/>
    <n v="20"/>
    <n v="56.12"/>
    <n v="49"/>
    <n v="1122.4000000000001"/>
    <n v="142.4"/>
    <x v="74"/>
    <x v="0"/>
    <n v="2"/>
    <n v="4"/>
    <n v="2005"/>
    <x v="4"/>
  </r>
  <r>
    <n v="10153"/>
    <s v="S72_3212"/>
    <x v="26"/>
    <x v="21"/>
    <x v="8"/>
    <x v="1"/>
    <s v="Medium"/>
    <n v="4"/>
    <n v="50"/>
    <n v="60.06"/>
    <n v="54"/>
    <n v="3003"/>
    <n v="303"/>
    <x v="226"/>
    <x v="0"/>
    <n v="3"/>
    <n v="9"/>
    <n v="2003"/>
    <x v="5"/>
  </r>
  <r>
    <n v="10327"/>
    <s v="S72_3212"/>
    <x v="30"/>
    <x v="24"/>
    <x v="10"/>
    <x v="1"/>
    <s v="Medium"/>
    <n v="4"/>
    <n v="37"/>
    <n v="86.74"/>
    <n v="54"/>
    <n v="3209.38"/>
    <n v="1211.3800000000001"/>
    <x v="239"/>
    <x v="4"/>
    <n v="4"/>
    <n v="11"/>
    <n v="2004"/>
    <x v="5"/>
  </r>
  <r>
    <n v="10386"/>
    <s v="S72_3212"/>
    <x v="26"/>
    <x v="21"/>
    <x v="8"/>
    <x v="1"/>
    <s v="Medium"/>
    <n v="4"/>
    <n v="43"/>
    <n v="100"/>
    <n v="54"/>
    <n v="5417.57"/>
    <n v="3095.57"/>
    <x v="178"/>
    <x v="4"/>
    <n v="1"/>
    <n v="3"/>
    <n v="2005"/>
    <x v="5"/>
  </r>
  <r>
    <n v="10121"/>
    <s v="S10_1678"/>
    <x v="82"/>
    <x v="64"/>
    <x v="3"/>
    <x v="1"/>
    <s v="Small"/>
    <n v="5"/>
    <n v="34"/>
    <n v="81.349999999999994"/>
    <n v="95"/>
    <n v="2765.9"/>
    <n v="-464.1"/>
    <x v="225"/>
    <x v="0"/>
    <n v="2"/>
    <n v="5"/>
    <n v="2003"/>
    <x v="0"/>
  </r>
  <r>
    <n v="10309"/>
    <s v="S10_1678"/>
    <x v="39"/>
    <x v="31"/>
    <x v="1"/>
    <x v="1"/>
    <s v="Medium"/>
    <n v="5"/>
    <n v="41"/>
    <n v="100"/>
    <n v="95"/>
    <n v="4394.38"/>
    <n v="499.38"/>
    <x v="14"/>
    <x v="0"/>
    <n v="4"/>
    <n v="10"/>
    <n v="2004"/>
    <x v="0"/>
  </r>
  <r>
    <n v="10107"/>
    <s v="S10_2016"/>
    <x v="5"/>
    <x v="5"/>
    <x v="0"/>
    <x v="0"/>
    <s v="Medium"/>
    <n v="5"/>
    <n v="39"/>
    <n v="99.91"/>
    <n v="118"/>
    <n v="3896.49"/>
    <n v="-705.51"/>
    <x v="24"/>
    <x v="0"/>
    <n v="1"/>
    <n v="2"/>
    <n v="2003"/>
    <x v="0"/>
  </r>
  <r>
    <n v="10134"/>
    <s v="S10_2016"/>
    <x v="19"/>
    <x v="9"/>
    <x v="3"/>
    <x v="1"/>
    <s v="Medium"/>
    <n v="5"/>
    <n v="27"/>
    <n v="100"/>
    <n v="118"/>
    <n v="3307.77"/>
    <n v="121.77"/>
    <x v="25"/>
    <x v="0"/>
    <n v="3"/>
    <n v="7"/>
    <n v="2003"/>
    <x v="0"/>
  </r>
  <r>
    <n v="10201"/>
    <s v="S10_2016"/>
    <x v="23"/>
    <x v="17"/>
    <x v="0"/>
    <x v="0"/>
    <s v="Medium"/>
    <n v="5"/>
    <n v="24"/>
    <n v="100"/>
    <n v="118"/>
    <n v="3025.92"/>
    <n v="193.92"/>
    <x v="26"/>
    <x v="0"/>
    <n v="4"/>
    <n v="12"/>
    <n v="2003"/>
    <x v="0"/>
  </r>
  <r>
    <n v="10251"/>
    <s v="S10_2016"/>
    <x v="24"/>
    <x v="19"/>
    <x v="0"/>
    <x v="0"/>
    <s v="Medium"/>
    <n v="5"/>
    <n v="44"/>
    <n v="100"/>
    <n v="118"/>
    <n v="5756.52"/>
    <n v="564.52"/>
    <x v="27"/>
    <x v="0"/>
    <n v="2"/>
    <n v="5"/>
    <n v="2004"/>
    <x v="0"/>
  </r>
  <r>
    <n v="10263"/>
    <s v="S10_2016"/>
    <x v="25"/>
    <x v="20"/>
    <x v="0"/>
    <x v="0"/>
    <s v="Medium"/>
    <n v="5"/>
    <n v="40"/>
    <n v="100"/>
    <n v="118"/>
    <n v="4472"/>
    <n v="-248"/>
    <x v="28"/>
    <x v="0"/>
    <n v="2"/>
    <n v="6"/>
    <n v="2004"/>
    <x v="0"/>
  </r>
  <r>
    <n v="10374"/>
    <s v="S10_2016"/>
    <x v="14"/>
    <x v="12"/>
    <x v="2"/>
    <x v="2"/>
    <s v="Medium"/>
    <n v="5"/>
    <n v="39"/>
    <n v="100"/>
    <n v="118"/>
    <n v="5288.01"/>
    <n v="686.01"/>
    <x v="15"/>
    <x v="0"/>
    <n v="1"/>
    <n v="2"/>
    <n v="2005"/>
    <x v="0"/>
  </r>
  <r>
    <n v="10388"/>
    <s v="S10_2016"/>
    <x v="78"/>
    <x v="40"/>
    <x v="0"/>
    <x v="0"/>
    <s v="Small"/>
    <n v="5"/>
    <n v="50"/>
    <n v="44.51"/>
    <n v="118"/>
    <n v="2225.5"/>
    <n v="-3674.5"/>
    <x v="150"/>
    <x v="0"/>
    <n v="1"/>
    <n v="3"/>
    <n v="2005"/>
    <x v="0"/>
  </r>
  <r>
    <n v="10417"/>
    <s v="S10_2016"/>
    <x v="26"/>
    <x v="21"/>
    <x v="8"/>
    <x v="1"/>
    <s v="Medium"/>
    <n v="5"/>
    <n v="45"/>
    <n v="100"/>
    <n v="118"/>
    <n v="5887.35"/>
    <n v="577.35"/>
    <x v="30"/>
    <x v="1"/>
    <n v="2"/>
    <n v="5"/>
    <n v="2005"/>
    <x v="0"/>
  </r>
  <r>
    <n v="10350"/>
    <s v="S10_4757"/>
    <x v="26"/>
    <x v="21"/>
    <x v="8"/>
    <x v="1"/>
    <s v="Small"/>
    <n v="5"/>
    <n v="26"/>
    <n v="75.47"/>
    <n v="136"/>
    <n v="1962.22"/>
    <n v="-1573.78"/>
    <x v="111"/>
    <x v="0"/>
    <n v="4"/>
    <n v="12"/>
    <n v="2004"/>
    <x v="1"/>
  </r>
  <r>
    <n v="10300"/>
    <s v="S12_1099"/>
    <x v="27"/>
    <x v="22"/>
    <x v="9"/>
    <x v="1"/>
    <s v="Medium"/>
    <n v="5"/>
    <n v="33"/>
    <n v="100"/>
    <n v="194"/>
    <n v="5521.89"/>
    <n v="-880.11"/>
    <x v="77"/>
    <x v="0"/>
    <n v="4"/>
    <n v="10"/>
    <n v="2003"/>
    <x v="1"/>
  </r>
  <r>
    <n v="10329"/>
    <s v="S12_1099"/>
    <x v="5"/>
    <x v="5"/>
    <x v="0"/>
    <x v="0"/>
    <s v="Small"/>
    <n v="5"/>
    <n v="41"/>
    <n v="71.47"/>
    <n v="194"/>
    <n v="2930.27"/>
    <n v="-5023.7299999999996"/>
    <x v="5"/>
    <x v="0"/>
    <n v="4"/>
    <n v="11"/>
    <n v="2004"/>
    <x v="1"/>
  </r>
  <r>
    <n v="10196"/>
    <s v="S12_1108"/>
    <x v="68"/>
    <x v="55"/>
    <x v="0"/>
    <x v="0"/>
    <s v="Large"/>
    <n v="5"/>
    <n v="47"/>
    <n v="100"/>
    <n v="207"/>
    <n v="8887.7000000000007"/>
    <n v="-841.3"/>
    <x v="108"/>
    <x v="0"/>
    <n v="4"/>
    <n v="11"/>
    <n v="2003"/>
    <x v="1"/>
  </r>
  <r>
    <n v="10282"/>
    <s v="S12_1108"/>
    <x v="43"/>
    <x v="34"/>
    <x v="0"/>
    <x v="0"/>
    <s v="Large"/>
    <n v="5"/>
    <n v="41"/>
    <n v="100"/>
    <n v="207"/>
    <n v="7071.27"/>
    <n v="-1415.73"/>
    <x v="109"/>
    <x v="0"/>
    <n v="3"/>
    <n v="8"/>
    <n v="2004"/>
    <x v="1"/>
  </r>
  <r>
    <n v="10314"/>
    <s v="S12_1108"/>
    <x v="69"/>
    <x v="56"/>
    <x v="10"/>
    <x v="1"/>
    <s v="Large"/>
    <n v="5"/>
    <n v="38"/>
    <n v="100"/>
    <n v="207"/>
    <n v="7975.44"/>
    <n v="109.44"/>
    <x v="110"/>
    <x v="0"/>
    <n v="4"/>
    <n v="10"/>
    <n v="2004"/>
    <x v="1"/>
  </r>
  <r>
    <n v="10150"/>
    <s v="S12_1666"/>
    <x v="17"/>
    <x v="15"/>
    <x v="7"/>
    <x v="2"/>
    <s v="Medium"/>
    <n v="5"/>
    <n v="30"/>
    <n v="100"/>
    <n v="136"/>
    <n v="4100.1000000000004"/>
    <n v="20.100000000000001"/>
    <x v="18"/>
    <x v="0"/>
    <n v="3"/>
    <n v="9"/>
    <n v="2003"/>
    <x v="2"/>
  </r>
  <r>
    <n v="10183"/>
    <s v="S12_1666"/>
    <x v="18"/>
    <x v="8"/>
    <x v="0"/>
    <x v="0"/>
    <s v="Medium"/>
    <n v="5"/>
    <n v="41"/>
    <n v="100"/>
    <n v="136"/>
    <n v="6163.94"/>
    <n v="587.94000000000005"/>
    <x v="19"/>
    <x v="0"/>
    <n v="4"/>
    <n v="11"/>
    <n v="2003"/>
    <x v="2"/>
  </r>
  <r>
    <n v="10145"/>
    <s v="S12_2823"/>
    <x v="22"/>
    <x v="18"/>
    <x v="0"/>
    <x v="0"/>
    <s v="Large"/>
    <n v="5"/>
    <n v="49"/>
    <n v="100"/>
    <n v="150"/>
    <n v="8339.7999999999993"/>
    <n v="989.8"/>
    <x v="213"/>
    <x v="0"/>
    <n v="3"/>
    <n v="8"/>
    <n v="2003"/>
    <x v="0"/>
  </r>
  <r>
    <n v="10285"/>
    <s v="S12_2823"/>
    <x v="87"/>
    <x v="36"/>
    <x v="0"/>
    <x v="0"/>
    <s v="Medium"/>
    <n v="5"/>
    <n v="49"/>
    <n v="100"/>
    <n v="150"/>
    <n v="6863.92"/>
    <n v="-486.08"/>
    <x v="215"/>
    <x v="0"/>
    <n v="3"/>
    <n v="8"/>
    <n v="2004"/>
    <x v="0"/>
  </r>
  <r>
    <n v="10358"/>
    <s v="S12_3148"/>
    <x v="26"/>
    <x v="21"/>
    <x v="8"/>
    <x v="1"/>
    <s v="Small"/>
    <n v="5"/>
    <n v="49"/>
    <n v="55.34"/>
    <n v="151"/>
    <n v="2711.66"/>
    <n v="-4687.34"/>
    <x v="54"/>
    <x v="0"/>
    <n v="4"/>
    <n v="12"/>
    <n v="2004"/>
    <x v="1"/>
  </r>
  <r>
    <n v="10135"/>
    <s v="S12_3380"/>
    <x v="43"/>
    <x v="34"/>
    <x v="0"/>
    <x v="0"/>
    <s v="Medium"/>
    <n v="5"/>
    <n v="48"/>
    <n v="100"/>
    <n v="117"/>
    <n v="6031.68"/>
    <n v="415.68"/>
    <x v="180"/>
    <x v="0"/>
    <n v="3"/>
    <n v="7"/>
    <n v="2003"/>
    <x v="1"/>
  </r>
  <r>
    <n v="10147"/>
    <s v="S12_3380"/>
    <x v="53"/>
    <x v="25"/>
    <x v="0"/>
    <x v="0"/>
    <s v="Medium"/>
    <n v="5"/>
    <n v="31"/>
    <n v="100"/>
    <n v="117"/>
    <n v="3494.94"/>
    <n v="-132.06"/>
    <x v="181"/>
    <x v="0"/>
    <n v="3"/>
    <n v="9"/>
    <n v="2003"/>
    <x v="1"/>
  </r>
  <r>
    <n v="10359"/>
    <s v="S12_3891"/>
    <x v="82"/>
    <x v="64"/>
    <x v="3"/>
    <x v="1"/>
    <s v="Medium"/>
    <n v="5"/>
    <n v="49"/>
    <n v="62.09"/>
    <n v="173"/>
    <n v="3042.41"/>
    <n v="-5434.59"/>
    <x v="218"/>
    <x v="0"/>
    <n v="4"/>
    <n v="12"/>
    <n v="2004"/>
    <x v="1"/>
  </r>
  <r>
    <n v="10363"/>
    <s v="S12_3990"/>
    <x v="38"/>
    <x v="30"/>
    <x v="14"/>
    <x v="1"/>
    <s v="Small"/>
    <n v="5"/>
    <n v="34"/>
    <n v="81.62"/>
    <n v="79"/>
    <n v="2775.08"/>
    <n v="89.08"/>
    <x v="190"/>
    <x v="0"/>
    <n v="1"/>
    <n v="1"/>
    <n v="2005"/>
    <x v="1"/>
  </r>
  <r>
    <n v="10377"/>
    <s v="S12_3990"/>
    <x v="44"/>
    <x v="35"/>
    <x v="14"/>
    <x v="1"/>
    <s v="Small"/>
    <n v="5"/>
    <n v="24"/>
    <n v="67.83"/>
    <n v="79"/>
    <n v="1627.92"/>
    <n v="-268.08"/>
    <x v="51"/>
    <x v="0"/>
    <n v="1"/>
    <n v="2"/>
    <n v="2005"/>
    <x v="1"/>
  </r>
  <r>
    <n v="10115"/>
    <s v="S12_4473"/>
    <x v="7"/>
    <x v="5"/>
    <x v="0"/>
    <x v="0"/>
    <s v="Medium"/>
    <n v="5"/>
    <n v="46"/>
    <n v="100"/>
    <n v="118"/>
    <n v="5723.78"/>
    <n v="295.77999999999997"/>
    <x v="194"/>
    <x v="0"/>
    <n v="2"/>
    <n v="4"/>
    <n v="2003"/>
    <x v="2"/>
  </r>
  <r>
    <n v="10141"/>
    <s v="S12_4473"/>
    <x v="38"/>
    <x v="30"/>
    <x v="14"/>
    <x v="1"/>
    <s v="Small"/>
    <n v="5"/>
    <n v="21"/>
    <n v="100"/>
    <n v="118"/>
    <n v="2140.11"/>
    <n v="-337.89"/>
    <x v="195"/>
    <x v="0"/>
    <n v="3"/>
    <n v="8"/>
    <n v="2003"/>
    <x v="2"/>
  </r>
  <r>
    <n v="10246"/>
    <s v="S12_4473"/>
    <x v="26"/>
    <x v="21"/>
    <x v="8"/>
    <x v="1"/>
    <s v="Medium"/>
    <n v="5"/>
    <n v="46"/>
    <n v="100"/>
    <n v="118"/>
    <n v="5069.66"/>
    <n v="-358.34"/>
    <x v="43"/>
    <x v="0"/>
    <n v="2"/>
    <n v="5"/>
    <n v="2004"/>
    <x v="2"/>
  </r>
  <r>
    <n v="10271"/>
    <s v="S12_4473"/>
    <x v="43"/>
    <x v="34"/>
    <x v="0"/>
    <x v="0"/>
    <s v="Medium"/>
    <n v="5"/>
    <n v="31"/>
    <n v="97.17"/>
    <n v="118"/>
    <n v="3012.27"/>
    <n v="-645.73"/>
    <x v="44"/>
    <x v="0"/>
    <n v="3"/>
    <n v="7"/>
    <n v="2004"/>
    <x v="2"/>
  </r>
  <r>
    <n v="10305"/>
    <s v="S12_4473"/>
    <x v="87"/>
    <x v="36"/>
    <x v="0"/>
    <x v="0"/>
    <s v="Medium"/>
    <n v="5"/>
    <n v="38"/>
    <n v="100"/>
    <n v="118"/>
    <n v="4773.18"/>
    <n v="289.18"/>
    <x v="196"/>
    <x v="0"/>
    <n v="4"/>
    <n v="10"/>
    <n v="2004"/>
    <x v="2"/>
  </r>
  <r>
    <n v="10412"/>
    <s v="S12_4473"/>
    <x v="26"/>
    <x v="21"/>
    <x v="8"/>
    <x v="1"/>
    <s v="Medium"/>
    <n v="5"/>
    <n v="54"/>
    <n v="100"/>
    <n v="118"/>
    <n v="5951.34"/>
    <n v="-420.66"/>
    <x v="197"/>
    <x v="0"/>
    <n v="2"/>
    <n v="5"/>
    <n v="2005"/>
    <x v="2"/>
  </r>
  <r>
    <n v="10160"/>
    <s v="S12_4675"/>
    <x v="70"/>
    <x v="57"/>
    <x v="0"/>
    <x v="0"/>
    <s v="Medium"/>
    <n v="5"/>
    <n v="50"/>
    <n v="100"/>
    <n v="115"/>
    <n v="5182"/>
    <n v="-568"/>
    <x v="112"/>
    <x v="0"/>
    <n v="4"/>
    <n v="10"/>
    <n v="2003"/>
    <x v="1"/>
  </r>
  <r>
    <n v="10203"/>
    <s v="S12_4675"/>
    <x v="26"/>
    <x v="21"/>
    <x v="8"/>
    <x v="1"/>
    <s v="Medium"/>
    <n v="5"/>
    <n v="47"/>
    <n v="100"/>
    <n v="115"/>
    <n v="5195.8500000000004"/>
    <n v="-209.15"/>
    <x v="86"/>
    <x v="0"/>
    <n v="4"/>
    <n v="12"/>
    <n v="2003"/>
    <x v="1"/>
  </r>
  <r>
    <n v="10239"/>
    <s v="S12_4675"/>
    <x v="71"/>
    <x v="58"/>
    <x v="14"/>
    <x v="1"/>
    <s v="Small"/>
    <n v="5"/>
    <n v="21"/>
    <n v="93.28"/>
    <n v="115"/>
    <n v="1958.88"/>
    <n v="-456.12"/>
    <x v="113"/>
    <x v="0"/>
    <n v="2"/>
    <n v="4"/>
    <n v="2004"/>
    <x v="1"/>
  </r>
  <r>
    <n v="10405"/>
    <s v="S12_4675"/>
    <x v="59"/>
    <x v="48"/>
    <x v="3"/>
    <x v="1"/>
    <s v="Large"/>
    <n v="5"/>
    <n v="97"/>
    <n v="93.28"/>
    <n v="115"/>
    <n v="9048.16"/>
    <n v="-2106.84"/>
    <x v="115"/>
    <x v="0"/>
    <n v="2"/>
    <n v="4"/>
    <n v="2005"/>
    <x v="1"/>
  </r>
  <r>
    <n v="10206"/>
    <s v="S18_1097"/>
    <x v="90"/>
    <x v="71"/>
    <x v="6"/>
    <x v="0"/>
    <s v="Medium"/>
    <n v="5"/>
    <n v="34"/>
    <n v="100"/>
    <n v="116"/>
    <n v="3966.78"/>
    <n v="22.78"/>
    <x v="240"/>
    <x v="0"/>
    <n v="4"/>
    <n v="12"/>
    <n v="2003"/>
    <x v="2"/>
  </r>
  <r>
    <n v="10258"/>
    <s v="S18_1097"/>
    <x v="41"/>
    <x v="32"/>
    <x v="5"/>
    <x v="2"/>
    <s v="Medium"/>
    <n v="5"/>
    <n v="41"/>
    <n v="100"/>
    <n v="116"/>
    <n v="5453"/>
    <n v="697"/>
    <x v="147"/>
    <x v="0"/>
    <n v="2"/>
    <n v="6"/>
    <n v="2004"/>
    <x v="2"/>
  </r>
  <r>
    <n v="10304"/>
    <s v="S18_1097"/>
    <x v="20"/>
    <x v="16"/>
    <x v="3"/>
    <x v="1"/>
    <s v="Medium"/>
    <n v="5"/>
    <n v="46"/>
    <n v="98"/>
    <n v="116"/>
    <n v="4508"/>
    <n v="-828"/>
    <x v="241"/>
    <x v="0"/>
    <n v="4"/>
    <n v="10"/>
    <n v="2004"/>
    <x v="2"/>
  </r>
  <r>
    <n v="10347"/>
    <s v="S18_1097"/>
    <x v="2"/>
    <x v="2"/>
    <x v="2"/>
    <x v="2"/>
    <s v="Small"/>
    <n v="5"/>
    <n v="42"/>
    <n v="49.6"/>
    <n v="116"/>
    <n v="2083.1999999999998"/>
    <n v="-2788.8"/>
    <x v="9"/>
    <x v="0"/>
    <n v="4"/>
    <n v="11"/>
    <n v="2004"/>
    <x v="2"/>
  </r>
  <r>
    <n v="10424"/>
    <s v="S18_1097"/>
    <x v="26"/>
    <x v="21"/>
    <x v="8"/>
    <x v="1"/>
    <s v="Large"/>
    <n v="5"/>
    <n v="54"/>
    <n v="100"/>
    <n v="116"/>
    <n v="7182"/>
    <n v="918"/>
    <x v="148"/>
    <x v="2"/>
    <n v="2"/>
    <n v="5"/>
    <n v="2005"/>
    <x v="2"/>
  </r>
  <r>
    <n v="10253"/>
    <s v="S18_1129"/>
    <x v="50"/>
    <x v="41"/>
    <x v="15"/>
    <x v="1"/>
    <s v="Medium"/>
    <n v="5"/>
    <n v="26"/>
    <n v="100"/>
    <n v="141"/>
    <n v="3054.48"/>
    <n v="-611.52"/>
    <x v="65"/>
    <x v="3"/>
    <n v="2"/>
    <n v="6"/>
    <n v="2004"/>
    <x v="1"/>
  </r>
  <r>
    <n v="10419"/>
    <s v="S18_1129"/>
    <x v="32"/>
    <x v="26"/>
    <x v="11"/>
    <x v="1"/>
    <s v="Medium"/>
    <n v="5"/>
    <n v="38"/>
    <n v="100"/>
    <n v="141"/>
    <n v="4464.24"/>
    <n v="-893.76"/>
    <x v="67"/>
    <x v="0"/>
    <n v="2"/>
    <n v="5"/>
    <n v="2005"/>
    <x v="1"/>
  </r>
  <r>
    <n v="10111"/>
    <s v="S18_1367"/>
    <x v="23"/>
    <x v="17"/>
    <x v="0"/>
    <x v="0"/>
    <s v="Small"/>
    <n v="5"/>
    <n v="48"/>
    <n v="49.06"/>
    <n v="53"/>
    <n v="2354.88"/>
    <n v="-189.12"/>
    <x v="107"/>
    <x v="0"/>
    <n v="1"/>
    <n v="3"/>
    <n v="2003"/>
    <x v="3"/>
  </r>
  <r>
    <n v="10173"/>
    <s v="S18_1367"/>
    <x v="67"/>
    <x v="54"/>
    <x v="12"/>
    <x v="1"/>
    <s v="Small"/>
    <n v="5"/>
    <n v="48"/>
    <n v="44.21"/>
    <n v="53"/>
    <n v="2122.08"/>
    <n v="-421.92"/>
    <x v="80"/>
    <x v="0"/>
    <n v="4"/>
    <n v="11"/>
    <n v="2003"/>
    <x v="3"/>
  </r>
  <r>
    <n v="10322"/>
    <s v="S18_1367"/>
    <x v="8"/>
    <x v="7"/>
    <x v="0"/>
    <x v="0"/>
    <s v="Small"/>
    <n v="5"/>
    <n v="41"/>
    <n v="57.68"/>
    <n v="53"/>
    <n v="2364.88"/>
    <n v="191.88"/>
    <x v="8"/>
    <x v="0"/>
    <n v="4"/>
    <n v="11"/>
    <n v="2004"/>
    <x v="3"/>
  </r>
  <r>
    <n v="10378"/>
    <s v="S18_1589"/>
    <x v="26"/>
    <x v="21"/>
    <x v="8"/>
    <x v="1"/>
    <s v="Small"/>
    <n v="5"/>
    <n v="34"/>
    <n v="42.64"/>
    <n v="124"/>
    <n v="1449.76"/>
    <n v="-2766.24"/>
    <x v="84"/>
    <x v="0"/>
    <n v="1"/>
    <n v="2"/>
    <n v="2005"/>
    <x v="1"/>
  </r>
  <r>
    <n v="10155"/>
    <s v="S18_1662"/>
    <x v="44"/>
    <x v="35"/>
    <x v="14"/>
    <x v="1"/>
    <s v="Medium"/>
    <n v="5"/>
    <n v="38"/>
    <n v="100"/>
    <n v="157"/>
    <n v="6531.44"/>
    <n v="565.44000000000005"/>
    <x v="75"/>
    <x v="0"/>
    <n v="4"/>
    <n v="10"/>
    <n v="2003"/>
    <x v="4"/>
  </r>
  <r>
    <n v="10288"/>
    <s v="S18_1749"/>
    <x v="81"/>
    <x v="15"/>
    <x v="7"/>
    <x v="2"/>
    <s v="Medium"/>
    <n v="5"/>
    <n v="32"/>
    <n v="100"/>
    <n v="170"/>
    <n v="5875.2"/>
    <n v="435.2"/>
    <x v="158"/>
    <x v="0"/>
    <n v="3"/>
    <n v="9"/>
    <n v="2004"/>
    <x v="3"/>
  </r>
  <r>
    <n v="10420"/>
    <s v="S18_1749"/>
    <x v="64"/>
    <x v="51"/>
    <x v="2"/>
    <x v="2"/>
    <s v="Medium"/>
    <n v="5"/>
    <n v="37"/>
    <n v="100"/>
    <n v="170"/>
    <n v="5283.6"/>
    <n v="-1006.4"/>
    <x v="97"/>
    <x v="2"/>
    <n v="2"/>
    <n v="5"/>
    <n v="2005"/>
    <x v="3"/>
  </r>
  <r>
    <n v="10225"/>
    <s v="S18_1889"/>
    <x v="48"/>
    <x v="39"/>
    <x v="16"/>
    <x v="1"/>
    <s v="Medium"/>
    <n v="5"/>
    <n v="47"/>
    <n v="64.680000000000007"/>
    <n v="77"/>
    <n v="3039.96"/>
    <n v="-579.04"/>
    <x v="56"/>
    <x v="0"/>
    <n v="1"/>
    <n v="2"/>
    <n v="2004"/>
    <x v="1"/>
  </r>
  <r>
    <n v="10181"/>
    <s v="S18_1984"/>
    <x v="1"/>
    <x v="1"/>
    <x v="1"/>
    <x v="1"/>
    <s v="Medium"/>
    <n v="5"/>
    <n v="21"/>
    <n v="100"/>
    <n v="142"/>
    <n v="3286.08"/>
    <n v="304.08"/>
    <x v="117"/>
    <x v="0"/>
    <n v="4"/>
    <n v="11"/>
    <n v="2003"/>
    <x v="1"/>
  </r>
  <r>
    <n v="10266"/>
    <s v="S18_1984"/>
    <x v="35"/>
    <x v="28"/>
    <x v="12"/>
    <x v="1"/>
    <s v="Medium"/>
    <n v="5"/>
    <n v="49"/>
    <n v="100"/>
    <n v="142"/>
    <n v="6203.4"/>
    <n v="-754.6"/>
    <x v="153"/>
    <x v="0"/>
    <n v="3"/>
    <n v="7"/>
    <n v="2004"/>
    <x v="1"/>
  </r>
  <r>
    <n v="10278"/>
    <s v="S18_1984"/>
    <x v="83"/>
    <x v="65"/>
    <x v="0"/>
    <x v="0"/>
    <s v="Medium"/>
    <n v="5"/>
    <n v="29"/>
    <n v="100"/>
    <n v="142"/>
    <n v="3754.05"/>
    <n v="-363.95"/>
    <x v="154"/>
    <x v="0"/>
    <n v="3"/>
    <n v="8"/>
    <n v="2004"/>
    <x v="1"/>
  </r>
  <r>
    <n v="10184"/>
    <s v="S18_2238"/>
    <x v="86"/>
    <x v="68"/>
    <x v="8"/>
    <x v="1"/>
    <s v="Large"/>
    <n v="5"/>
    <n v="46"/>
    <n v="100"/>
    <n v="163"/>
    <n v="7381.16"/>
    <n v="-116.84"/>
    <x v="69"/>
    <x v="0"/>
    <n v="4"/>
    <n v="11"/>
    <n v="2003"/>
    <x v="1"/>
  </r>
  <r>
    <n v="10195"/>
    <s v="S18_2238"/>
    <x v="13"/>
    <x v="11"/>
    <x v="0"/>
    <x v="0"/>
    <s v="Medium"/>
    <n v="5"/>
    <n v="27"/>
    <n v="100"/>
    <n v="163"/>
    <n v="5128.1099999999997"/>
    <n v="727.11"/>
    <x v="169"/>
    <x v="0"/>
    <n v="4"/>
    <n v="11"/>
    <n v="2003"/>
    <x v="1"/>
  </r>
  <r>
    <n v="10382"/>
    <s v="S18_2238"/>
    <x v="43"/>
    <x v="34"/>
    <x v="0"/>
    <x v="0"/>
    <s v="Small"/>
    <n v="5"/>
    <n v="25"/>
    <n v="88"/>
    <n v="163"/>
    <n v="2200"/>
    <n v="-1875"/>
    <x v="23"/>
    <x v="0"/>
    <n v="1"/>
    <n v="2"/>
    <n v="2005"/>
    <x v="1"/>
  </r>
  <r>
    <n v="10124"/>
    <s v="S18_2248"/>
    <x v="83"/>
    <x v="65"/>
    <x v="0"/>
    <x v="0"/>
    <s v="Small"/>
    <n v="5"/>
    <n v="42"/>
    <n v="53.88"/>
    <n v="60"/>
    <n v="2262.96"/>
    <n v="-257.04000000000002"/>
    <x v="58"/>
    <x v="0"/>
    <n v="2"/>
    <n v="5"/>
    <n v="2003"/>
    <x v="3"/>
  </r>
  <r>
    <n v="10370"/>
    <s v="S18_2319"/>
    <x v="47"/>
    <x v="38"/>
    <x v="2"/>
    <x v="2"/>
    <s v="Medium"/>
    <n v="5"/>
    <n v="22"/>
    <n v="100"/>
    <n v="122"/>
    <n v="3949"/>
    <n v="1265"/>
    <x v="55"/>
    <x v="0"/>
    <n v="1"/>
    <n v="1"/>
    <n v="2005"/>
    <x v="2"/>
  </r>
  <r>
    <n v="10367"/>
    <s v="S18_2325"/>
    <x v="22"/>
    <x v="18"/>
    <x v="0"/>
    <x v="0"/>
    <s v="Medium"/>
    <n v="5"/>
    <n v="27"/>
    <n v="100"/>
    <n v="127"/>
    <n v="4196.07"/>
    <n v="767.07"/>
    <x v="66"/>
    <x v="4"/>
    <n v="1"/>
    <n v="1"/>
    <n v="2005"/>
    <x v="3"/>
  </r>
  <r>
    <n v="10313"/>
    <s v="S18_2432"/>
    <x v="90"/>
    <x v="71"/>
    <x v="6"/>
    <x v="0"/>
    <s v="Small"/>
    <n v="5"/>
    <n v="34"/>
    <n v="52.87"/>
    <n v="60"/>
    <n v="1797.58"/>
    <n v="-242.42"/>
    <x v="110"/>
    <x v="0"/>
    <n v="4"/>
    <n v="10"/>
    <n v="2004"/>
    <x v="2"/>
  </r>
  <r>
    <n v="10391"/>
    <s v="S18_2432"/>
    <x v="47"/>
    <x v="38"/>
    <x v="2"/>
    <x v="2"/>
    <s v="Small"/>
    <n v="5"/>
    <n v="44"/>
    <n v="38.5"/>
    <n v="60"/>
    <n v="1694"/>
    <n v="-946"/>
    <x v="165"/>
    <x v="0"/>
    <n v="1"/>
    <n v="3"/>
    <n v="2005"/>
    <x v="2"/>
  </r>
  <r>
    <n v="10168"/>
    <s v="S18_2625"/>
    <x v="0"/>
    <x v="0"/>
    <x v="0"/>
    <x v="0"/>
    <s v="Small"/>
    <n v="5"/>
    <n v="46"/>
    <n v="61.18"/>
    <n v="60"/>
    <n v="2814.28"/>
    <n v="54.28"/>
    <x v="0"/>
    <x v="0"/>
    <n v="4"/>
    <n v="10"/>
    <n v="2003"/>
    <x v="0"/>
  </r>
  <r>
    <n v="10188"/>
    <s v="S18_2625"/>
    <x v="1"/>
    <x v="1"/>
    <x v="1"/>
    <x v="1"/>
    <s v="Small"/>
    <n v="5"/>
    <n v="32"/>
    <n v="65.42"/>
    <n v="60"/>
    <n v="2093.44"/>
    <n v="173.44"/>
    <x v="1"/>
    <x v="0"/>
    <n v="4"/>
    <n v="11"/>
    <n v="2003"/>
    <x v="0"/>
  </r>
  <r>
    <n v="10223"/>
    <s v="S18_2625"/>
    <x v="2"/>
    <x v="2"/>
    <x v="2"/>
    <x v="2"/>
    <s v="Small"/>
    <n v="5"/>
    <n v="28"/>
    <n v="60.57"/>
    <n v="60"/>
    <n v="1695.96"/>
    <n v="15.96"/>
    <x v="2"/>
    <x v="0"/>
    <n v="1"/>
    <n v="2"/>
    <n v="2004"/>
    <x v="0"/>
  </r>
  <r>
    <n v="10275"/>
    <s v="S18_2625"/>
    <x v="3"/>
    <x v="3"/>
    <x v="3"/>
    <x v="1"/>
    <s v="Small"/>
    <n v="5"/>
    <n v="37"/>
    <n v="63.6"/>
    <n v="60"/>
    <n v="2353.1999999999998"/>
    <n v="133.19999999999999"/>
    <x v="3"/>
    <x v="0"/>
    <n v="3"/>
    <n v="7"/>
    <n v="2004"/>
    <x v="0"/>
  </r>
  <r>
    <n v="10318"/>
    <s v="S18_2625"/>
    <x v="4"/>
    <x v="4"/>
    <x v="0"/>
    <x v="0"/>
    <s v="Small"/>
    <n v="5"/>
    <n v="42"/>
    <n v="52.7"/>
    <n v="60"/>
    <n v="2213.4"/>
    <n v="-306.60000000000002"/>
    <x v="4"/>
    <x v="0"/>
    <n v="4"/>
    <n v="11"/>
    <n v="2004"/>
    <x v="0"/>
  </r>
  <r>
    <n v="10389"/>
    <s v="S18_2625"/>
    <x v="51"/>
    <x v="42"/>
    <x v="4"/>
    <x v="1"/>
    <s v="Medium"/>
    <n v="5"/>
    <n v="39"/>
    <n v="100"/>
    <n v="60"/>
    <n v="6981"/>
    <n v="4641"/>
    <x v="150"/>
    <x v="0"/>
    <n v="1"/>
    <n v="3"/>
    <n v="2005"/>
    <x v="0"/>
  </r>
  <r>
    <n v="10149"/>
    <s v="S18_2795"/>
    <x v="58"/>
    <x v="47"/>
    <x v="0"/>
    <x v="0"/>
    <s v="Medium"/>
    <n v="5"/>
    <n v="23"/>
    <n v="100"/>
    <n v="168"/>
    <n v="4230.62"/>
    <n v="366.62"/>
    <x v="198"/>
    <x v="0"/>
    <n v="3"/>
    <n v="9"/>
    <n v="2003"/>
    <x v="3"/>
  </r>
  <r>
    <n v="10226"/>
    <s v="S18_2870"/>
    <x v="80"/>
    <x v="63"/>
    <x v="0"/>
    <x v="0"/>
    <s v="Medium"/>
    <n v="5"/>
    <n v="24"/>
    <n v="100"/>
    <n v="132"/>
    <n v="3231.36"/>
    <n v="63.36"/>
    <x v="145"/>
    <x v="0"/>
    <n v="1"/>
    <n v="2"/>
    <n v="2004"/>
    <x v="1"/>
  </r>
  <r>
    <n v="10301"/>
    <s v="S18_2870"/>
    <x v="60"/>
    <x v="49"/>
    <x v="1"/>
    <x v="1"/>
    <s v="Medium"/>
    <n v="5"/>
    <n v="22"/>
    <n v="100"/>
    <n v="132"/>
    <n v="3223.44"/>
    <n v="319.44"/>
    <x v="146"/>
    <x v="0"/>
    <n v="4"/>
    <n v="10"/>
    <n v="2003"/>
    <x v="1"/>
  </r>
  <r>
    <n v="10379"/>
    <s v="S18_2870"/>
    <x v="26"/>
    <x v="21"/>
    <x v="8"/>
    <x v="1"/>
    <s v="Medium"/>
    <n v="5"/>
    <n v="29"/>
    <n v="100"/>
    <n v="132"/>
    <n v="5127.2"/>
    <n v="1299.2"/>
    <x v="84"/>
    <x v="0"/>
    <n v="1"/>
    <n v="2"/>
    <n v="2005"/>
    <x v="1"/>
  </r>
  <r>
    <n v="10174"/>
    <s v="S18_2949"/>
    <x v="14"/>
    <x v="12"/>
    <x v="2"/>
    <x v="2"/>
    <s v="Medium"/>
    <n v="5"/>
    <n v="46"/>
    <n v="100"/>
    <n v="101"/>
    <n v="5592.22"/>
    <n v="946.22"/>
    <x v="21"/>
    <x v="0"/>
    <n v="4"/>
    <n v="11"/>
    <n v="2003"/>
    <x v="3"/>
  </r>
  <r>
    <n v="10333"/>
    <s v="S18_2949"/>
    <x v="23"/>
    <x v="17"/>
    <x v="0"/>
    <x v="0"/>
    <s v="Small"/>
    <n v="5"/>
    <n v="31"/>
    <n v="90.17"/>
    <n v="101"/>
    <n v="2795.27"/>
    <n v="-335.73"/>
    <x v="200"/>
    <x v="0"/>
    <n v="4"/>
    <n v="11"/>
    <n v="2004"/>
    <x v="3"/>
  </r>
  <r>
    <n v="10228"/>
    <s v="S18_2957"/>
    <x v="45"/>
    <x v="36"/>
    <x v="0"/>
    <x v="0"/>
    <s v="Small"/>
    <n v="5"/>
    <n v="45"/>
    <n v="63.71"/>
    <n v="62"/>
    <n v="2866.95"/>
    <n v="76.95"/>
    <x v="52"/>
    <x v="0"/>
    <n v="1"/>
    <n v="3"/>
    <n v="2004"/>
    <x v="3"/>
  </r>
  <r>
    <n v="10280"/>
    <s v="S18_2957"/>
    <x v="46"/>
    <x v="37"/>
    <x v="12"/>
    <x v="1"/>
    <s v="Small"/>
    <n v="5"/>
    <n v="43"/>
    <n v="68.709999999999994"/>
    <n v="62"/>
    <n v="2954.53"/>
    <n v="288.52999999999997"/>
    <x v="53"/>
    <x v="0"/>
    <n v="3"/>
    <n v="8"/>
    <n v="2004"/>
    <x v="3"/>
  </r>
  <r>
    <n v="10357"/>
    <s v="S18_2957"/>
    <x v="43"/>
    <x v="34"/>
    <x v="0"/>
    <x v="0"/>
    <s v="Medium"/>
    <n v="5"/>
    <n v="49"/>
    <n v="70.58"/>
    <n v="62"/>
    <n v="3458.42"/>
    <n v="420.42"/>
    <x v="54"/>
    <x v="0"/>
    <n v="4"/>
    <n v="12"/>
    <n v="2004"/>
    <x v="3"/>
  </r>
  <r>
    <n v="10327"/>
    <s v="S18_3029"/>
    <x v="30"/>
    <x v="24"/>
    <x v="10"/>
    <x v="1"/>
    <s v="Small"/>
    <n v="5"/>
    <n v="25"/>
    <n v="45.86"/>
    <n v="86"/>
    <n v="1146.5"/>
    <n v="-1003.5"/>
    <x v="239"/>
    <x v="4"/>
    <n v="4"/>
    <n v="11"/>
    <n v="2004"/>
    <x v="5"/>
  </r>
  <r>
    <n v="10373"/>
    <s v="S18_3029"/>
    <x v="71"/>
    <x v="58"/>
    <x v="14"/>
    <x v="1"/>
    <s v="Small"/>
    <n v="5"/>
    <n v="22"/>
    <n v="86.74"/>
    <n v="86"/>
    <n v="1908.28"/>
    <n v="16.28"/>
    <x v="250"/>
    <x v="0"/>
    <n v="1"/>
    <n v="1"/>
    <n v="2005"/>
    <x v="5"/>
  </r>
  <r>
    <n v="10386"/>
    <s v="S18_3029"/>
    <x v="26"/>
    <x v="21"/>
    <x v="8"/>
    <x v="1"/>
    <s v="Medium"/>
    <n v="5"/>
    <n v="37"/>
    <n v="93.01"/>
    <n v="86"/>
    <n v="3441.37"/>
    <n v="259.37"/>
    <x v="178"/>
    <x v="4"/>
    <n v="1"/>
    <n v="3"/>
    <n v="2005"/>
    <x v="5"/>
  </r>
  <r>
    <n v="10215"/>
    <s v="S18_3136"/>
    <x v="79"/>
    <x v="62"/>
    <x v="0"/>
    <x v="0"/>
    <s v="Medium"/>
    <n v="5"/>
    <n v="49"/>
    <n v="100"/>
    <n v="104"/>
    <n v="5285.14"/>
    <n v="189.14"/>
    <x v="139"/>
    <x v="0"/>
    <n v="1"/>
    <n v="1"/>
    <n v="2004"/>
    <x v="3"/>
  </r>
  <r>
    <n v="10312"/>
    <s v="S18_3136"/>
    <x v="43"/>
    <x v="34"/>
    <x v="0"/>
    <x v="0"/>
    <s v="Medium"/>
    <n v="5"/>
    <n v="38"/>
    <n v="100"/>
    <n v="104"/>
    <n v="4457.0200000000004"/>
    <n v="505.02"/>
    <x v="140"/>
    <x v="0"/>
    <n v="4"/>
    <n v="10"/>
    <n v="2004"/>
    <x v="3"/>
  </r>
  <r>
    <n v="10369"/>
    <s v="S18_3136"/>
    <x v="53"/>
    <x v="25"/>
    <x v="0"/>
    <x v="0"/>
    <s v="Small"/>
    <n v="5"/>
    <n v="21"/>
    <n v="94.22"/>
    <n v="104"/>
    <n v="1978.62"/>
    <n v="-205.38"/>
    <x v="55"/>
    <x v="0"/>
    <n v="1"/>
    <n v="1"/>
    <n v="2005"/>
    <x v="3"/>
  </r>
  <r>
    <n v="10381"/>
    <s v="S18_3136"/>
    <x v="21"/>
    <x v="17"/>
    <x v="0"/>
    <x v="0"/>
    <s v="Medium"/>
    <n v="5"/>
    <n v="35"/>
    <n v="100"/>
    <n v="104"/>
    <n v="4288.2"/>
    <n v="648.20000000000005"/>
    <x v="23"/>
    <x v="0"/>
    <n v="1"/>
    <n v="2"/>
    <n v="2005"/>
    <x v="3"/>
  </r>
  <r>
    <n v="10117"/>
    <s v="S18_3140"/>
    <x v="17"/>
    <x v="15"/>
    <x v="7"/>
    <x v="2"/>
    <s v="Medium"/>
    <n v="5"/>
    <n v="26"/>
    <n v="100"/>
    <n v="136"/>
    <n v="3551.34"/>
    <n v="15.34"/>
    <x v="246"/>
    <x v="0"/>
    <n v="2"/>
    <n v="4"/>
    <n v="2003"/>
    <x v="3"/>
  </r>
  <r>
    <n v="10109"/>
    <s v="S18_3232"/>
    <x v="9"/>
    <x v="8"/>
    <x v="0"/>
    <x v="0"/>
    <s v="Large"/>
    <n v="5"/>
    <n v="46"/>
    <n v="100"/>
    <n v="169"/>
    <n v="8257"/>
    <n v="483"/>
    <x v="98"/>
    <x v="0"/>
    <n v="1"/>
    <n v="3"/>
    <n v="2003"/>
    <x v="1"/>
  </r>
  <r>
    <n v="10175"/>
    <s v="S18_3232"/>
    <x v="42"/>
    <x v="33"/>
    <x v="15"/>
    <x v="1"/>
    <s v="Medium"/>
    <n v="5"/>
    <n v="29"/>
    <n v="100"/>
    <n v="169"/>
    <n v="4419.8900000000003"/>
    <n v="-481.11"/>
    <x v="21"/>
    <x v="0"/>
    <n v="4"/>
    <n v="11"/>
    <n v="2003"/>
    <x v="1"/>
  </r>
  <r>
    <n v="10229"/>
    <s v="S18_3232"/>
    <x v="43"/>
    <x v="34"/>
    <x v="0"/>
    <x v="0"/>
    <s v="Medium"/>
    <n v="5"/>
    <n v="22"/>
    <n v="100"/>
    <n v="169"/>
    <n v="4172.5200000000004"/>
    <n v="454.52"/>
    <x v="48"/>
    <x v="0"/>
    <n v="1"/>
    <n v="3"/>
    <n v="2004"/>
    <x v="1"/>
  </r>
  <r>
    <n v="10281"/>
    <s v="S18_3232"/>
    <x v="4"/>
    <x v="4"/>
    <x v="0"/>
    <x v="0"/>
    <s v="Medium"/>
    <n v="5"/>
    <n v="25"/>
    <n v="100"/>
    <n v="169"/>
    <n v="4191.25"/>
    <n v="-33.75"/>
    <x v="49"/>
    <x v="0"/>
    <n v="3"/>
    <n v="8"/>
    <n v="2004"/>
    <x v="1"/>
  </r>
  <r>
    <n v="10287"/>
    <s v="S18_3232"/>
    <x v="48"/>
    <x v="39"/>
    <x v="16"/>
    <x v="1"/>
    <s v="Medium"/>
    <n v="5"/>
    <n v="36"/>
    <n v="100"/>
    <n v="169"/>
    <n v="5852.52"/>
    <n v="-231.48"/>
    <x v="99"/>
    <x v="0"/>
    <n v="3"/>
    <n v="8"/>
    <n v="2004"/>
    <x v="1"/>
  </r>
  <r>
    <n v="10394"/>
    <s v="S18_3232"/>
    <x v="26"/>
    <x v="21"/>
    <x v="8"/>
    <x v="1"/>
    <s v="Medium"/>
    <n v="5"/>
    <n v="22"/>
    <n v="100"/>
    <n v="169"/>
    <n v="3353.02"/>
    <n v="-364.98"/>
    <x v="133"/>
    <x v="0"/>
    <n v="1"/>
    <n v="3"/>
    <n v="2005"/>
    <x v="1"/>
  </r>
  <r>
    <n v="10221"/>
    <s v="S18_3259"/>
    <x v="66"/>
    <x v="53"/>
    <x v="17"/>
    <x v="1"/>
    <s v="Small"/>
    <n v="5"/>
    <n v="23"/>
    <n v="80.67"/>
    <n v="100"/>
    <n v="1855.41"/>
    <n v="-444.59"/>
    <x v="164"/>
    <x v="0"/>
    <n v="1"/>
    <n v="2"/>
    <n v="2004"/>
    <x v="6"/>
  </r>
  <r>
    <n v="10372"/>
    <s v="S18_3259"/>
    <x v="41"/>
    <x v="32"/>
    <x v="5"/>
    <x v="2"/>
    <s v="Small"/>
    <n v="5"/>
    <n v="25"/>
    <n v="84.71"/>
    <n v="100"/>
    <n v="2117.75"/>
    <n v="-382.25"/>
    <x v="46"/>
    <x v="0"/>
    <n v="1"/>
    <n v="1"/>
    <n v="2005"/>
    <x v="6"/>
  </r>
  <r>
    <n v="10159"/>
    <s v="S18_3278"/>
    <x v="21"/>
    <x v="17"/>
    <x v="0"/>
    <x v="0"/>
    <s v="Small"/>
    <n v="5"/>
    <n v="21"/>
    <n v="81.209999999999994"/>
    <n v="80"/>
    <n v="1705.41"/>
    <n v="25.41"/>
    <x v="160"/>
    <x v="0"/>
    <n v="4"/>
    <n v="10"/>
    <n v="2003"/>
    <x v="1"/>
  </r>
  <r>
    <n v="10169"/>
    <s v="S18_3278"/>
    <x v="47"/>
    <x v="38"/>
    <x v="2"/>
    <x v="2"/>
    <s v="Small"/>
    <n v="5"/>
    <n v="32"/>
    <n v="70.760000000000005"/>
    <n v="80"/>
    <n v="2264.3200000000002"/>
    <n v="-295.68"/>
    <x v="185"/>
    <x v="0"/>
    <n v="4"/>
    <n v="11"/>
    <n v="2003"/>
    <x v="1"/>
  </r>
  <r>
    <n v="10211"/>
    <s v="S18_3278"/>
    <x v="11"/>
    <x v="9"/>
    <x v="3"/>
    <x v="1"/>
    <s v="Small"/>
    <n v="5"/>
    <n v="35"/>
    <n v="78"/>
    <n v="80"/>
    <n v="2730"/>
    <n v="-70"/>
    <x v="186"/>
    <x v="0"/>
    <n v="1"/>
    <n v="1"/>
    <n v="2004"/>
    <x v="1"/>
  </r>
  <r>
    <n v="10342"/>
    <s v="S18_3278"/>
    <x v="2"/>
    <x v="2"/>
    <x v="2"/>
    <x v="2"/>
    <s v="Small"/>
    <n v="5"/>
    <n v="25"/>
    <n v="66.739999999999995"/>
    <n v="80"/>
    <n v="1668.5"/>
    <n v="-331.5"/>
    <x v="38"/>
    <x v="0"/>
    <n v="4"/>
    <n v="11"/>
    <n v="2004"/>
    <x v="1"/>
  </r>
  <r>
    <n v="10139"/>
    <s v="S18_3320"/>
    <x v="64"/>
    <x v="51"/>
    <x v="2"/>
    <x v="2"/>
    <s v="Medium"/>
    <n v="5"/>
    <n v="30"/>
    <n v="100"/>
    <n v="99"/>
    <n v="3095.4"/>
    <n v="125.4"/>
    <x v="100"/>
    <x v="0"/>
    <n v="3"/>
    <n v="7"/>
    <n v="2003"/>
    <x v="3"/>
  </r>
  <r>
    <n v="10193"/>
    <s v="S18_3320"/>
    <x v="65"/>
    <x v="52"/>
    <x v="2"/>
    <x v="2"/>
    <s v="Small"/>
    <n v="5"/>
    <n v="32"/>
    <n v="79.37"/>
    <n v="99"/>
    <n v="2539.84"/>
    <n v="-628.16"/>
    <x v="101"/>
    <x v="0"/>
    <n v="4"/>
    <n v="11"/>
    <n v="2003"/>
    <x v="3"/>
  </r>
  <r>
    <n v="10244"/>
    <s v="S18_3320"/>
    <x v="26"/>
    <x v="21"/>
    <x v="8"/>
    <x v="1"/>
    <s v="Medium"/>
    <n v="5"/>
    <n v="36"/>
    <n v="84.33"/>
    <n v="99"/>
    <n v="3035.88"/>
    <n v="-528.12"/>
    <x v="102"/>
    <x v="0"/>
    <n v="2"/>
    <n v="4"/>
    <n v="2004"/>
    <x v="3"/>
  </r>
  <r>
    <n v="10257"/>
    <s v="S18_3320"/>
    <x v="55"/>
    <x v="44"/>
    <x v="0"/>
    <x v="0"/>
    <s v="Small"/>
    <n v="5"/>
    <n v="26"/>
    <n v="89.29"/>
    <n v="99"/>
    <n v="2321.54"/>
    <n v="-252.46"/>
    <x v="103"/>
    <x v="0"/>
    <n v="2"/>
    <n v="6"/>
    <n v="2004"/>
    <x v="3"/>
  </r>
  <r>
    <n v="10423"/>
    <s v="S18_3320"/>
    <x v="66"/>
    <x v="53"/>
    <x v="17"/>
    <x v="1"/>
    <s v="Small"/>
    <n v="5"/>
    <n v="21"/>
    <n v="89.29"/>
    <n v="99"/>
    <n v="1875.09"/>
    <n v="-203.91"/>
    <x v="64"/>
    <x v="2"/>
    <n v="2"/>
    <n v="5"/>
    <n v="2005"/>
    <x v="3"/>
  </r>
  <r>
    <n v="10191"/>
    <s v="S18_3482"/>
    <x v="29"/>
    <x v="23"/>
    <x v="9"/>
    <x v="1"/>
    <s v="Medium"/>
    <n v="5"/>
    <n v="23"/>
    <n v="100"/>
    <n v="146"/>
    <n v="3414.58"/>
    <n v="56.58"/>
    <x v="34"/>
    <x v="0"/>
    <n v="4"/>
    <n v="11"/>
    <n v="2003"/>
    <x v="1"/>
  </r>
  <r>
    <n v="10238"/>
    <s v="S18_3482"/>
    <x v="30"/>
    <x v="24"/>
    <x v="10"/>
    <x v="1"/>
    <s v="Medium"/>
    <n v="5"/>
    <n v="49"/>
    <n v="100"/>
    <n v="146"/>
    <n v="6554.24"/>
    <n v="-599.76"/>
    <x v="35"/>
    <x v="0"/>
    <n v="2"/>
    <n v="4"/>
    <n v="2004"/>
    <x v="1"/>
  </r>
  <r>
    <n v="10276"/>
    <s v="S18_3482"/>
    <x v="31"/>
    <x v="25"/>
    <x v="0"/>
    <x v="0"/>
    <s v="Medium"/>
    <n v="5"/>
    <n v="30"/>
    <n v="100"/>
    <n v="146"/>
    <n v="3924.6"/>
    <n v="-455.4"/>
    <x v="36"/>
    <x v="0"/>
    <n v="3"/>
    <n v="8"/>
    <n v="2004"/>
    <x v="1"/>
  </r>
  <r>
    <n v="10320"/>
    <s v="S18_3482"/>
    <x v="6"/>
    <x v="6"/>
    <x v="4"/>
    <x v="1"/>
    <s v="Medium"/>
    <n v="5"/>
    <n v="25"/>
    <n v="100"/>
    <n v="146"/>
    <n v="3491"/>
    <n v="-159"/>
    <x v="37"/>
    <x v="0"/>
    <n v="4"/>
    <n v="11"/>
    <n v="2004"/>
    <x v="1"/>
  </r>
  <r>
    <n v="10252"/>
    <s v="S18_3782"/>
    <x v="11"/>
    <x v="9"/>
    <x v="3"/>
    <x v="1"/>
    <s v="Small"/>
    <n v="5"/>
    <n v="31"/>
    <n v="52.84"/>
    <n v="62"/>
    <n v="1638.04"/>
    <n v="-283.95999999999998"/>
    <x v="120"/>
    <x v="0"/>
    <n v="2"/>
    <n v="5"/>
    <n v="2004"/>
    <x v="0"/>
  </r>
  <r>
    <n v="10209"/>
    <s v="S18_3856"/>
    <x v="70"/>
    <x v="57"/>
    <x v="0"/>
    <x v="0"/>
    <s v="Small"/>
    <n v="5"/>
    <n v="20"/>
    <n v="100"/>
    <n v="105"/>
    <n v="2498.6"/>
    <n v="398.6"/>
    <x v="175"/>
    <x v="0"/>
    <n v="1"/>
    <n v="1"/>
    <n v="2004"/>
    <x v="3"/>
  </r>
  <r>
    <n v="10249"/>
    <s v="S18_3856"/>
    <x v="45"/>
    <x v="36"/>
    <x v="0"/>
    <x v="0"/>
    <s v="Medium"/>
    <n v="5"/>
    <n v="46"/>
    <n v="100"/>
    <n v="105"/>
    <n v="5600.5"/>
    <n v="770.5"/>
    <x v="176"/>
    <x v="0"/>
    <n v="2"/>
    <n v="5"/>
    <n v="2004"/>
    <x v="3"/>
  </r>
  <r>
    <n v="10415"/>
    <s v="S18_3856"/>
    <x v="65"/>
    <x v="52"/>
    <x v="2"/>
    <x v="2"/>
    <s v="Medium"/>
    <n v="5"/>
    <n v="51"/>
    <n v="100"/>
    <n v="105"/>
    <n v="6209.25"/>
    <n v="854.25"/>
    <x v="179"/>
    <x v="1"/>
    <n v="2"/>
    <n v="5"/>
    <n v="2005"/>
    <x v="3"/>
  </r>
  <r>
    <n v="10127"/>
    <s v="S18_4027"/>
    <x v="34"/>
    <x v="5"/>
    <x v="0"/>
    <x v="0"/>
    <s v="Medium"/>
    <n v="5"/>
    <n v="25"/>
    <n v="100"/>
    <n v="143"/>
    <n v="3447"/>
    <n v="-128"/>
    <x v="40"/>
    <x v="0"/>
    <n v="2"/>
    <n v="6"/>
    <n v="2003"/>
    <x v="1"/>
  </r>
  <r>
    <n v="10176"/>
    <s v="S18_4027"/>
    <x v="35"/>
    <x v="28"/>
    <x v="12"/>
    <x v="1"/>
    <s v="Medium"/>
    <n v="5"/>
    <n v="36"/>
    <n v="100"/>
    <n v="143"/>
    <n v="5532.12"/>
    <n v="384.12"/>
    <x v="21"/>
    <x v="0"/>
    <n v="4"/>
    <n v="11"/>
    <n v="2003"/>
    <x v="1"/>
  </r>
  <r>
    <n v="10220"/>
    <s v="S18_4027"/>
    <x v="36"/>
    <x v="29"/>
    <x v="13"/>
    <x v="1"/>
    <s v="Large"/>
    <n v="5"/>
    <n v="50"/>
    <n v="100"/>
    <n v="143"/>
    <n v="8258"/>
    <n v="1108"/>
    <x v="41"/>
    <x v="0"/>
    <n v="1"/>
    <n v="2"/>
    <n v="2004"/>
    <x v="1"/>
  </r>
  <r>
    <n v="10247"/>
    <s v="S18_4027"/>
    <x v="38"/>
    <x v="30"/>
    <x v="14"/>
    <x v="1"/>
    <s v="Medium"/>
    <n v="5"/>
    <n v="48"/>
    <n v="100"/>
    <n v="143"/>
    <n v="6756"/>
    <n v="-108"/>
    <x v="43"/>
    <x v="0"/>
    <n v="2"/>
    <n v="5"/>
    <n v="2004"/>
    <x v="1"/>
  </r>
  <r>
    <n v="10272"/>
    <s v="S18_4027"/>
    <x v="4"/>
    <x v="4"/>
    <x v="0"/>
    <x v="0"/>
    <s v="Medium"/>
    <n v="5"/>
    <n v="25"/>
    <n v="100"/>
    <n v="143"/>
    <n v="3734"/>
    <n v="159"/>
    <x v="44"/>
    <x v="0"/>
    <n v="3"/>
    <n v="7"/>
    <n v="2004"/>
    <x v="1"/>
  </r>
  <r>
    <n v="10349"/>
    <s v="S18_4027"/>
    <x v="34"/>
    <x v="5"/>
    <x v="0"/>
    <x v="0"/>
    <s v="Medium"/>
    <n v="5"/>
    <n v="34"/>
    <n v="100"/>
    <n v="143"/>
    <n v="4394.84"/>
    <n v="-467.16"/>
    <x v="216"/>
    <x v="0"/>
    <n v="4"/>
    <n v="12"/>
    <n v="2004"/>
    <x v="1"/>
  </r>
  <r>
    <n v="10413"/>
    <s v="S18_4027"/>
    <x v="25"/>
    <x v="20"/>
    <x v="0"/>
    <x v="0"/>
    <s v="Medium"/>
    <n v="5"/>
    <n v="49"/>
    <n v="100"/>
    <n v="143"/>
    <n v="6896.75"/>
    <n v="-110.25"/>
    <x v="47"/>
    <x v="0"/>
    <n v="2"/>
    <n v="5"/>
    <n v="2005"/>
    <x v="1"/>
  </r>
  <r>
    <n v="10204"/>
    <s v="S18_4409"/>
    <x v="34"/>
    <x v="5"/>
    <x v="0"/>
    <x v="0"/>
    <s v="Small"/>
    <n v="5"/>
    <n v="29"/>
    <n v="85.59"/>
    <n v="92"/>
    <n v="2482.11"/>
    <n v="-185.89"/>
    <x v="86"/>
    <x v="0"/>
    <n v="4"/>
    <n v="12"/>
    <n v="2003"/>
    <x v="3"/>
  </r>
  <r>
    <n v="10232"/>
    <s v="S18_4522"/>
    <x v="84"/>
    <x v="66"/>
    <x v="15"/>
    <x v="1"/>
    <s v="Small"/>
    <n v="5"/>
    <n v="23"/>
    <n v="89.53"/>
    <n v="87"/>
    <n v="2059.19"/>
    <n v="58.19"/>
    <x v="244"/>
    <x v="0"/>
    <n v="1"/>
    <n v="3"/>
    <n v="2004"/>
    <x v="3"/>
  </r>
  <r>
    <n v="10326"/>
    <s v="S18_4522"/>
    <x v="6"/>
    <x v="6"/>
    <x v="4"/>
    <x v="1"/>
    <s v="Medium"/>
    <n v="5"/>
    <n v="50"/>
    <n v="86.01"/>
    <n v="87"/>
    <n v="4300.5"/>
    <n v="-49.5"/>
    <x v="227"/>
    <x v="0"/>
    <n v="4"/>
    <n v="11"/>
    <n v="2004"/>
    <x v="3"/>
  </r>
  <r>
    <n v="10396"/>
    <s v="S18_4522"/>
    <x v="43"/>
    <x v="34"/>
    <x v="0"/>
    <x v="0"/>
    <s v="Medium"/>
    <n v="5"/>
    <n v="45"/>
    <n v="100"/>
    <n v="87"/>
    <n v="4739.3999999999996"/>
    <n v="824.4"/>
    <x v="229"/>
    <x v="0"/>
    <n v="1"/>
    <n v="3"/>
    <n v="2005"/>
    <x v="3"/>
  </r>
  <r>
    <n v="10103"/>
    <s v="S18_4600"/>
    <x v="39"/>
    <x v="31"/>
    <x v="1"/>
    <x v="1"/>
    <s v="Medium"/>
    <n v="5"/>
    <n v="36"/>
    <n v="100"/>
    <n v="121"/>
    <n v="4228.2"/>
    <n v="-127.8"/>
    <x v="166"/>
    <x v="0"/>
    <n v="1"/>
    <n v="1"/>
    <n v="2003"/>
    <x v="2"/>
  </r>
  <r>
    <n v="10126"/>
    <s v="S18_4600"/>
    <x v="63"/>
    <x v="21"/>
    <x v="8"/>
    <x v="1"/>
    <s v="Large"/>
    <n v="5"/>
    <n v="50"/>
    <n v="100"/>
    <n v="121"/>
    <n v="7083"/>
    <n v="1033"/>
    <x v="167"/>
    <x v="0"/>
    <n v="2"/>
    <n v="5"/>
    <n v="2003"/>
    <x v="2"/>
  </r>
  <r>
    <n v="10140"/>
    <s v="S18_4600"/>
    <x v="0"/>
    <x v="0"/>
    <x v="0"/>
    <x v="0"/>
    <s v="Medium"/>
    <n v="5"/>
    <n v="40"/>
    <n v="100"/>
    <n v="121"/>
    <n v="4601.2"/>
    <n v="-238.8"/>
    <x v="168"/>
    <x v="0"/>
    <n v="3"/>
    <n v="7"/>
    <n v="2003"/>
    <x v="2"/>
  </r>
  <r>
    <n v="10194"/>
    <s v="S18_4600"/>
    <x v="73"/>
    <x v="59"/>
    <x v="3"/>
    <x v="1"/>
    <s v="Medium"/>
    <n v="5"/>
    <n v="32"/>
    <n v="100"/>
    <n v="121"/>
    <n v="4262.08"/>
    <n v="390.08"/>
    <x v="169"/>
    <x v="0"/>
    <n v="4"/>
    <n v="11"/>
    <n v="2003"/>
    <x v="2"/>
  </r>
  <r>
    <n v="10217"/>
    <s v="S18_4600"/>
    <x v="81"/>
    <x v="15"/>
    <x v="7"/>
    <x v="2"/>
    <s v="Medium"/>
    <n v="5"/>
    <n v="38"/>
    <n v="100"/>
    <n v="121"/>
    <n v="4509.08"/>
    <n v="-88.92"/>
    <x v="170"/>
    <x v="0"/>
    <n v="1"/>
    <n v="2"/>
    <n v="2004"/>
    <x v="2"/>
  </r>
  <r>
    <n v="10291"/>
    <s v="S18_4600"/>
    <x v="51"/>
    <x v="42"/>
    <x v="4"/>
    <x v="1"/>
    <s v="Medium"/>
    <n v="5"/>
    <n v="48"/>
    <n v="100"/>
    <n v="121"/>
    <n v="5288.64"/>
    <n v="-519.36"/>
    <x v="171"/>
    <x v="0"/>
    <n v="3"/>
    <n v="9"/>
    <n v="2004"/>
    <x v="2"/>
  </r>
  <r>
    <n v="10344"/>
    <s v="S18_4933"/>
    <x v="56"/>
    <x v="45"/>
    <x v="3"/>
    <x v="1"/>
    <s v="Small"/>
    <n v="5"/>
    <n v="26"/>
    <n v="63.43"/>
    <n v="71"/>
    <n v="1649.18"/>
    <n v="-196.82"/>
    <x v="76"/>
    <x v="0"/>
    <n v="4"/>
    <n v="11"/>
    <n v="2004"/>
    <x v="1"/>
  </r>
  <r>
    <n v="10161"/>
    <s v="S24_1046"/>
    <x v="69"/>
    <x v="56"/>
    <x v="10"/>
    <x v="1"/>
    <s v="Small"/>
    <n v="5"/>
    <n v="37"/>
    <n v="72.760000000000005"/>
    <n v="73"/>
    <n v="2692.12"/>
    <n v="-8.8800000000000008"/>
    <x v="142"/>
    <x v="0"/>
    <n v="4"/>
    <n v="10"/>
    <n v="2003"/>
    <x v="1"/>
  </r>
  <r>
    <n v="10267"/>
    <s v="S24_1046"/>
    <x v="34"/>
    <x v="5"/>
    <x v="0"/>
    <x v="0"/>
    <s v="Medium"/>
    <n v="5"/>
    <n v="40"/>
    <n v="80.099999999999994"/>
    <n v="73"/>
    <n v="3204"/>
    <n v="284"/>
    <x v="143"/>
    <x v="0"/>
    <n v="3"/>
    <n v="7"/>
    <n v="2004"/>
    <x v="1"/>
  </r>
  <r>
    <n v="10279"/>
    <s v="S24_1046"/>
    <x v="26"/>
    <x v="21"/>
    <x v="8"/>
    <x v="1"/>
    <s v="Small"/>
    <n v="5"/>
    <n v="32"/>
    <n v="74.959999999999994"/>
    <n v="73"/>
    <n v="2398.7199999999998"/>
    <n v="62.72"/>
    <x v="144"/>
    <x v="0"/>
    <n v="3"/>
    <n v="8"/>
    <n v="2004"/>
    <x v="1"/>
  </r>
  <r>
    <n v="10292"/>
    <s v="S24_1444"/>
    <x v="5"/>
    <x v="5"/>
    <x v="0"/>
    <x v="0"/>
    <s v="Small"/>
    <n v="5"/>
    <n v="40"/>
    <n v="53.75"/>
    <n v="57"/>
    <n v="2150"/>
    <n v="-130"/>
    <x v="171"/>
    <x v="0"/>
    <n v="3"/>
    <n v="9"/>
    <n v="2004"/>
    <x v="1"/>
  </r>
  <r>
    <n v="10172"/>
    <s v="S24_1628"/>
    <x v="25"/>
    <x v="20"/>
    <x v="0"/>
    <x v="0"/>
    <s v="Small"/>
    <n v="5"/>
    <n v="34"/>
    <n v="42.76"/>
    <n v="50"/>
    <n v="1453.84"/>
    <n v="-246.16"/>
    <x v="80"/>
    <x v="0"/>
    <n v="4"/>
    <n v="11"/>
    <n v="2003"/>
    <x v="1"/>
  </r>
  <r>
    <n v="10212"/>
    <s v="S24_1628"/>
    <x v="26"/>
    <x v="21"/>
    <x v="8"/>
    <x v="1"/>
    <s v="Small"/>
    <n v="5"/>
    <n v="45"/>
    <n v="53.33"/>
    <n v="50"/>
    <n v="2399.85"/>
    <n v="149.85"/>
    <x v="173"/>
    <x v="0"/>
    <n v="1"/>
    <n v="1"/>
    <n v="2004"/>
    <x v="1"/>
  </r>
  <r>
    <n v="10321"/>
    <s v="S24_1628"/>
    <x v="78"/>
    <x v="40"/>
    <x v="0"/>
    <x v="0"/>
    <s v="Small"/>
    <n v="5"/>
    <n v="48"/>
    <n v="42.26"/>
    <n v="50"/>
    <n v="2028.48"/>
    <n v="-371.52"/>
    <x v="8"/>
    <x v="0"/>
    <n v="4"/>
    <n v="11"/>
    <n v="2004"/>
    <x v="1"/>
  </r>
  <r>
    <n v="10332"/>
    <s v="S24_1628"/>
    <x v="62"/>
    <x v="50"/>
    <x v="15"/>
    <x v="1"/>
    <s v="Small"/>
    <n v="5"/>
    <n v="20"/>
    <n v="87.96"/>
    <n v="50"/>
    <n v="1759.2"/>
    <n v="759.2"/>
    <x v="95"/>
    <x v="0"/>
    <n v="4"/>
    <n v="11"/>
    <n v="2004"/>
    <x v="1"/>
  </r>
  <r>
    <n v="10133"/>
    <s v="S24_1785"/>
    <x v="26"/>
    <x v="21"/>
    <x v="8"/>
    <x v="1"/>
    <s v="Medium"/>
    <n v="5"/>
    <n v="41"/>
    <n v="94.1"/>
    <n v="109"/>
    <n v="3858.1"/>
    <n v="-610.9"/>
    <x v="209"/>
    <x v="0"/>
    <n v="2"/>
    <n v="6"/>
    <n v="2003"/>
    <x v="4"/>
  </r>
  <r>
    <n v="10235"/>
    <s v="S24_1785"/>
    <x v="89"/>
    <x v="70"/>
    <x v="6"/>
    <x v="0"/>
    <s v="Small"/>
    <n v="5"/>
    <n v="23"/>
    <n v="96.29"/>
    <n v="109"/>
    <n v="2214.67"/>
    <n v="-292.33"/>
    <x v="210"/>
    <x v="0"/>
    <n v="2"/>
    <n v="4"/>
    <n v="2004"/>
    <x v="4"/>
  </r>
  <r>
    <n v="10401"/>
    <s v="S24_1785"/>
    <x v="24"/>
    <x v="19"/>
    <x v="0"/>
    <x v="0"/>
    <s v="Medium"/>
    <n v="5"/>
    <n v="38"/>
    <n v="96.29"/>
    <n v="109"/>
    <n v="3659.02"/>
    <n v="-482.98"/>
    <x v="212"/>
    <x v="5"/>
    <n v="2"/>
    <n v="4"/>
    <n v="2005"/>
    <x v="4"/>
  </r>
  <r>
    <n v="10162"/>
    <s v="S24_1937"/>
    <x v="21"/>
    <x v="17"/>
    <x v="0"/>
    <x v="0"/>
    <s v="Small"/>
    <n v="5"/>
    <n v="37"/>
    <n v="27.22"/>
    <n v="33"/>
    <n v="1007.14"/>
    <n v="-213.86"/>
    <x v="60"/>
    <x v="0"/>
    <n v="4"/>
    <n v="10"/>
    <n v="2003"/>
    <x v="3"/>
  </r>
  <r>
    <n v="10205"/>
    <s v="S24_1937"/>
    <x v="26"/>
    <x v="21"/>
    <x v="8"/>
    <x v="1"/>
    <s v="Small"/>
    <n v="5"/>
    <n v="32"/>
    <n v="37.17"/>
    <n v="33"/>
    <n v="1189.44"/>
    <n v="133.44"/>
    <x v="61"/>
    <x v="0"/>
    <n v="4"/>
    <n v="12"/>
    <n v="2003"/>
    <x v="3"/>
  </r>
  <r>
    <n v="10356"/>
    <s v="S24_1937"/>
    <x v="19"/>
    <x v="9"/>
    <x v="3"/>
    <x v="1"/>
    <s v="Large"/>
    <n v="5"/>
    <n v="48"/>
    <n v="100"/>
    <n v="33"/>
    <n v="9720"/>
    <n v="8136"/>
    <x v="96"/>
    <x v="0"/>
    <n v="4"/>
    <n v="12"/>
    <n v="2004"/>
    <x v="3"/>
  </r>
  <r>
    <n v="10120"/>
    <s v="S24_2000"/>
    <x v="2"/>
    <x v="2"/>
    <x v="2"/>
    <x v="2"/>
    <s v="Small"/>
    <n v="5"/>
    <n v="34"/>
    <n v="83.79"/>
    <n v="76"/>
    <n v="2848.86"/>
    <n v="264.86"/>
    <x v="149"/>
    <x v="0"/>
    <n v="2"/>
    <n v="4"/>
    <n v="2003"/>
    <x v="0"/>
  </r>
  <r>
    <n v="10153"/>
    <s v="S24_2011"/>
    <x v="26"/>
    <x v="21"/>
    <x v="8"/>
    <x v="1"/>
    <s v="Medium"/>
    <n v="5"/>
    <n v="40"/>
    <n v="100"/>
    <n v="122"/>
    <n v="5456.4"/>
    <n v="576.4"/>
    <x v="226"/>
    <x v="0"/>
    <n v="3"/>
    <n v="9"/>
    <n v="2003"/>
    <x v="5"/>
  </r>
  <r>
    <n v="10182"/>
    <s v="S24_2022"/>
    <x v="43"/>
    <x v="34"/>
    <x v="0"/>
    <x v="0"/>
    <s v="Small"/>
    <n v="5"/>
    <n v="31"/>
    <n v="36.74"/>
    <n v="44"/>
    <n v="1138.94"/>
    <n v="-225.06"/>
    <x v="117"/>
    <x v="0"/>
    <n v="4"/>
    <n v="11"/>
    <n v="2003"/>
    <x v="3"/>
  </r>
  <r>
    <n v="10227"/>
    <s v="S24_2022"/>
    <x v="73"/>
    <x v="59"/>
    <x v="3"/>
    <x v="1"/>
    <s v="Small"/>
    <n v="5"/>
    <n v="24"/>
    <n v="48.38"/>
    <n v="44"/>
    <n v="1161.1199999999999"/>
    <n v="105.12"/>
    <x v="118"/>
    <x v="0"/>
    <n v="1"/>
    <n v="3"/>
    <n v="2004"/>
    <x v="3"/>
  </r>
  <r>
    <n v="10380"/>
    <s v="S24_2022"/>
    <x v="26"/>
    <x v="21"/>
    <x v="8"/>
    <x v="1"/>
    <s v="Small"/>
    <n v="5"/>
    <n v="27"/>
    <n v="68.349999999999994"/>
    <n v="44"/>
    <n v="1845.45"/>
    <n v="657.45"/>
    <x v="136"/>
    <x v="0"/>
    <n v="1"/>
    <n v="2"/>
    <n v="2005"/>
    <x v="3"/>
  </r>
  <r>
    <n v="10114"/>
    <s v="S24_2300"/>
    <x v="40"/>
    <x v="9"/>
    <x v="3"/>
    <x v="1"/>
    <s v="Small"/>
    <n v="5"/>
    <n v="21"/>
    <n v="100"/>
    <n v="127"/>
    <n v="2925.09"/>
    <n v="258.08999999999997"/>
    <x v="174"/>
    <x v="0"/>
    <n v="2"/>
    <n v="4"/>
    <n v="2003"/>
    <x v="2"/>
  </r>
  <r>
    <n v="10334"/>
    <s v="S24_2300"/>
    <x v="6"/>
    <x v="6"/>
    <x v="4"/>
    <x v="1"/>
    <s v="Medium"/>
    <n v="5"/>
    <n v="42"/>
    <n v="100"/>
    <n v="127"/>
    <n v="5528.04"/>
    <n v="194.04"/>
    <x v="87"/>
    <x v="5"/>
    <n v="4"/>
    <n v="11"/>
    <n v="2004"/>
    <x v="2"/>
  </r>
  <r>
    <n v="10371"/>
    <s v="S24_2300"/>
    <x v="43"/>
    <x v="34"/>
    <x v="0"/>
    <x v="0"/>
    <s v="Medium"/>
    <n v="5"/>
    <n v="20"/>
    <n v="100"/>
    <n v="127"/>
    <n v="3449.4"/>
    <n v="909.4"/>
    <x v="207"/>
    <x v="0"/>
    <n v="1"/>
    <n v="1"/>
    <n v="2005"/>
    <x v="2"/>
  </r>
  <r>
    <n v="10302"/>
    <s v="S24_2766"/>
    <x v="50"/>
    <x v="41"/>
    <x v="15"/>
    <x v="1"/>
    <s v="Medium"/>
    <n v="5"/>
    <n v="49"/>
    <n v="100"/>
    <n v="90"/>
    <n v="5298.86"/>
    <n v="888.86"/>
    <x v="75"/>
    <x v="0"/>
    <n v="4"/>
    <n v="10"/>
    <n v="2003"/>
    <x v="1"/>
  </r>
  <r>
    <n v="10259"/>
    <s v="S24_2840"/>
    <x v="81"/>
    <x v="15"/>
    <x v="7"/>
    <x v="2"/>
    <s v="Small"/>
    <n v="5"/>
    <n v="31"/>
    <n v="33.24"/>
    <n v="35"/>
    <n v="1030.44"/>
    <n v="-54.56"/>
    <x v="147"/>
    <x v="0"/>
    <n v="2"/>
    <n v="6"/>
    <n v="2004"/>
    <x v="1"/>
  </r>
  <r>
    <n v="10425"/>
    <s v="S24_2840"/>
    <x v="3"/>
    <x v="3"/>
    <x v="3"/>
    <x v="1"/>
    <s v="Small"/>
    <n v="5"/>
    <n v="31"/>
    <n v="33.24"/>
    <n v="35"/>
    <n v="1030.44"/>
    <n v="-54.56"/>
    <x v="148"/>
    <x v="2"/>
    <n v="2"/>
    <n v="5"/>
    <n v="2005"/>
    <x v="1"/>
  </r>
  <r>
    <n v="10131"/>
    <s v="S24_2841"/>
    <x v="61"/>
    <x v="27"/>
    <x v="0"/>
    <x v="0"/>
    <s v="Small"/>
    <n v="5"/>
    <n v="35"/>
    <n v="67.14"/>
    <n v="68"/>
    <n v="2349.9"/>
    <n v="-30.1"/>
    <x v="129"/>
    <x v="0"/>
    <n v="2"/>
    <n v="6"/>
    <n v="2003"/>
    <x v="4"/>
  </r>
  <r>
    <n v="10178"/>
    <s v="S24_2841"/>
    <x v="57"/>
    <x v="46"/>
    <x v="3"/>
    <x v="1"/>
    <s v="Small"/>
    <n v="5"/>
    <n v="34"/>
    <n v="80.84"/>
    <n v="68"/>
    <n v="2748.56"/>
    <n v="436.56"/>
    <x v="231"/>
    <x v="0"/>
    <n v="4"/>
    <n v="11"/>
    <n v="2003"/>
    <x v="4"/>
  </r>
  <r>
    <n v="10198"/>
    <s v="S24_2841"/>
    <x v="85"/>
    <x v="67"/>
    <x v="18"/>
    <x v="2"/>
    <s v="Medium"/>
    <n v="5"/>
    <n v="48"/>
    <n v="67.819999999999993"/>
    <n v="68"/>
    <n v="3255.36"/>
    <n v="-8.64"/>
    <x v="232"/>
    <x v="0"/>
    <n v="4"/>
    <n v="11"/>
    <n v="2003"/>
    <x v="4"/>
  </r>
  <r>
    <n v="10222"/>
    <s v="S24_2841"/>
    <x v="80"/>
    <x v="63"/>
    <x v="0"/>
    <x v="0"/>
    <s v="Small"/>
    <n v="5"/>
    <n v="32"/>
    <n v="81.53"/>
    <n v="68"/>
    <n v="2608.96"/>
    <n v="432.96"/>
    <x v="233"/>
    <x v="0"/>
    <n v="1"/>
    <n v="2"/>
    <n v="2004"/>
    <x v="4"/>
  </r>
  <r>
    <n v="10351"/>
    <s v="S24_2841"/>
    <x v="42"/>
    <x v="33"/>
    <x v="15"/>
    <x v="1"/>
    <s v="Small"/>
    <n v="5"/>
    <n v="25"/>
    <n v="74.680000000000007"/>
    <n v="68"/>
    <n v="1867"/>
    <n v="167"/>
    <x v="73"/>
    <x v="0"/>
    <n v="4"/>
    <n v="12"/>
    <n v="2004"/>
    <x v="4"/>
  </r>
  <r>
    <n v="10241"/>
    <s v="S24_2887"/>
    <x v="59"/>
    <x v="48"/>
    <x v="3"/>
    <x v="1"/>
    <s v="Small"/>
    <n v="5"/>
    <n v="28"/>
    <n v="98.65"/>
    <n v="117"/>
    <n v="2762.2"/>
    <n v="-513.79999999999995"/>
    <x v="83"/>
    <x v="0"/>
    <n v="2"/>
    <n v="4"/>
    <n v="2004"/>
    <x v="1"/>
  </r>
  <r>
    <n v="10346"/>
    <s v="S24_2887"/>
    <x v="83"/>
    <x v="65"/>
    <x v="0"/>
    <x v="0"/>
    <s v="Small"/>
    <n v="5"/>
    <n v="24"/>
    <n v="87.24"/>
    <n v="117"/>
    <n v="2093.7600000000002"/>
    <n v="-714.24"/>
    <x v="9"/>
    <x v="0"/>
    <n v="4"/>
    <n v="11"/>
    <n v="2004"/>
    <x v="1"/>
  </r>
  <r>
    <n v="10368"/>
    <s v="S24_2887"/>
    <x v="43"/>
    <x v="34"/>
    <x v="0"/>
    <x v="0"/>
    <s v="Medium"/>
    <n v="5"/>
    <n v="31"/>
    <n v="100"/>
    <n v="117"/>
    <n v="4223.13"/>
    <n v="596.13"/>
    <x v="184"/>
    <x v="0"/>
    <n v="1"/>
    <n v="1"/>
    <n v="2005"/>
    <x v="1"/>
  </r>
  <r>
    <n v="10407"/>
    <s v="S24_2887"/>
    <x v="55"/>
    <x v="44"/>
    <x v="0"/>
    <x v="0"/>
    <s v="Medium"/>
    <n v="5"/>
    <n v="59"/>
    <n v="98.65"/>
    <n v="117"/>
    <n v="5820.35"/>
    <n v="-1082.6500000000001"/>
    <x v="85"/>
    <x v="5"/>
    <n v="2"/>
    <n v="4"/>
    <n v="2005"/>
    <x v="1"/>
  </r>
  <r>
    <n v="10390"/>
    <s v="S24_2972"/>
    <x v="43"/>
    <x v="34"/>
    <x v="0"/>
    <x v="0"/>
    <s v="Medium"/>
    <n v="5"/>
    <n v="37"/>
    <n v="100"/>
    <n v="37"/>
    <n v="4894.7299999999996"/>
    <n v="3525.73"/>
    <x v="122"/>
    <x v="0"/>
    <n v="1"/>
    <n v="3"/>
    <n v="2005"/>
    <x v="1"/>
  </r>
  <r>
    <n v="10248"/>
    <s v="S24_3151"/>
    <x v="5"/>
    <x v="5"/>
    <x v="0"/>
    <x v="0"/>
    <s v="Medium"/>
    <n v="5"/>
    <n v="30"/>
    <n v="100"/>
    <n v="88"/>
    <n v="3053.7"/>
    <n v="413.7"/>
    <x v="105"/>
    <x v="3"/>
    <n v="2"/>
    <n v="5"/>
    <n v="2004"/>
    <x v="3"/>
  </r>
  <r>
    <n v="10414"/>
    <s v="S24_3151"/>
    <x v="16"/>
    <x v="14"/>
    <x v="0"/>
    <x v="0"/>
    <s v="Medium"/>
    <n v="5"/>
    <n v="60"/>
    <n v="100"/>
    <n v="88"/>
    <n v="6107.4"/>
    <n v="827.4"/>
    <x v="106"/>
    <x v="5"/>
    <n v="2"/>
    <n v="5"/>
    <n v="2005"/>
    <x v="3"/>
  </r>
  <r>
    <n v="10148"/>
    <s v="S24_3191"/>
    <x v="47"/>
    <x v="38"/>
    <x v="2"/>
    <x v="2"/>
    <s v="Small"/>
    <n v="5"/>
    <n v="31"/>
    <n v="73.62"/>
    <n v="85"/>
    <n v="2282.2199999999998"/>
    <n v="-352.78"/>
    <x v="134"/>
    <x v="0"/>
    <n v="3"/>
    <n v="9"/>
    <n v="2003"/>
    <x v="1"/>
  </r>
  <r>
    <n v="10311"/>
    <s v="S24_3191"/>
    <x v="26"/>
    <x v="21"/>
    <x v="8"/>
    <x v="1"/>
    <s v="Small"/>
    <n v="5"/>
    <n v="25"/>
    <n v="83.04"/>
    <n v="85"/>
    <n v="2076"/>
    <n v="-49"/>
    <x v="81"/>
    <x v="0"/>
    <n v="4"/>
    <n v="10"/>
    <n v="2004"/>
    <x v="1"/>
  </r>
  <r>
    <n v="10108"/>
    <s v="S24_3371"/>
    <x v="85"/>
    <x v="67"/>
    <x v="18"/>
    <x v="2"/>
    <s v="Small"/>
    <n v="5"/>
    <n v="30"/>
    <n v="63.07"/>
    <n v="61"/>
    <n v="1892.1"/>
    <n v="62.1"/>
    <x v="189"/>
    <x v="0"/>
    <n v="1"/>
    <n v="3"/>
    <n v="2003"/>
    <x v="1"/>
  </r>
  <r>
    <n v="10119"/>
    <s v="S24_3420"/>
    <x v="32"/>
    <x v="26"/>
    <x v="11"/>
    <x v="1"/>
    <s v="Small"/>
    <n v="5"/>
    <n v="20"/>
    <n v="72.98"/>
    <n v="65"/>
    <n v="1459.6"/>
    <n v="159.6"/>
    <x v="247"/>
    <x v="0"/>
    <n v="2"/>
    <n v="4"/>
    <n v="2003"/>
    <x v="3"/>
  </r>
  <r>
    <n v="10192"/>
    <s v="S24_3432"/>
    <x v="8"/>
    <x v="7"/>
    <x v="0"/>
    <x v="0"/>
    <s v="Medium"/>
    <n v="5"/>
    <n v="46"/>
    <n v="100"/>
    <n v="107"/>
    <n v="5566"/>
    <n v="644"/>
    <x v="34"/>
    <x v="0"/>
    <n v="4"/>
    <n v="11"/>
    <n v="2003"/>
    <x v="1"/>
  </r>
  <r>
    <n v="10197"/>
    <s v="S24_3816"/>
    <x v="88"/>
    <x v="69"/>
    <x v="8"/>
    <x v="1"/>
    <s v="Small"/>
    <n v="5"/>
    <n v="22"/>
    <n v="86.38"/>
    <n v="83"/>
    <n v="1900.36"/>
    <n v="74.36"/>
    <x v="108"/>
    <x v="0"/>
    <n v="4"/>
    <n v="11"/>
    <n v="2003"/>
    <x v="3"/>
  </r>
  <r>
    <n v="10283"/>
    <s v="S24_3816"/>
    <x v="89"/>
    <x v="70"/>
    <x v="6"/>
    <x v="0"/>
    <s v="Small"/>
    <n v="5"/>
    <n v="33"/>
    <n v="72.959999999999994"/>
    <n v="83"/>
    <n v="2407.6799999999998"/>
    <n v="-331.32"/>
    <x v="109"/>
    <x v="0"/>
    <n v="3"/>
    <n v="8"/>
    <n v="2004"/>
    <x v="3"/>
  </r>
  <r>
    <n v="10122"/>
    <s v="S24_3856"/>
    <x v="56"/>
    <x v="45"/>
    <x v="3"/>
    <x v="1"/>
    <s v="Medium"/>
    <n v="5"/>
    <n v="43"/>
    <n v="100"/>
    <n v="140"/>
    <n v="5494.97"/>
    <n v="-525.03"/>
    <x v="78"/>
    <x v="0"/>
    <n v="2"/>
    <n v="5"/>
    <n v="2003"/>
    <x v="1"/>
  </r>
  <r>
    <n v="10310"/>
    <s v="S24_3856"/>
    <x v="29"/>
    <x v="23"/>
    <x v="9"/>
    <x v="1"/>
    <s v="Medium"/>
    <n v="5"/>
    <n v="45"/>
    <n v="100"/>
    <n v="140"/>
    <n v="5497.65"/>
    <n v="-802.35"/>
    <x v="81"/>
    <x v="0"/>
    <n v="4"/>
    <n v="10"/>
    <n v="2004"/>
    <x v="1"/>
  </r>
  <r>
    <n v="10110"/>
    <s v="S24_3969"/>
    <x v="62"/>
    <x v="50"/>
    <x v="15"/>
    <x v="1"/>
    <s v="Small"/>
    <n v="5"/>
    <n v="48"/>
    <n v="34.47"/>
    <n v="41"/>
    <n v="1654.56"/>
    <n v="-313.44"/>
    <x v="92"/>
    <x v="0"/>
    <n v="1"/>
    <n v="3"/>
    <n v="2003"/>
    <x v="3"/>
  </r>
  <r>
    <n v="10214"/>
    <s v="S24_3969"/>
    <x v="63"/>
    <x v="21"/>
    <x v="8"/>
    <x v="1"/>
    <s v="Small"/>
    <n v="5"/>
    <n v="44"/>
    <n v="34.880000000000003"/>
    <n v="41"/>
    <n v="1534.72"/>
    <n v="-269.27999999999997"/>
    <x v="93"/>
    <x v="0"/>
    <n v="1"/>
    <n v="1"/>
    <n v="2004"/>
    <x v="3"/>
  </r>
  <r>
    <n v="10104"/>
    <s v="S24_4048"/>
    <x v="26"/>
    <x v="21"/>
    <x v="8"/>
    <x v="1"/>
    <s v="Small"/>
    <n v="5"/>
    <n v="26"/>
    <n v="100"/>
    <n v="118"/>
    <n v="2921.62"/>
    <n v="-146.38"/>
    <x v="31"/>
    <x v="0"/>
    <n v="1"/>
    <n v="1"/>
    <n v="2003"/>
    <x v="1"/>
  </r>
  <r>
    <n v="10230"/>
    <s v="S24_4048"/>
    <x v="27"/>
    <x v="22"/>
    <x v="9"/>
    <x v="1"/>
    <s v="Medium"/>
    <n v="5"/>
    <n v="45"/>
    <n v="100"/>
    <n v="118"/>
    <n v="4737.1499999999996"/>
    <n v="-572.85"/>
    <x v="32"/>
    <x v="0"/>
    <n v="1"/>
    <n v="3"/>
    <n v="2004"/>
    <x v="1"/>
  </r>
  <r>
    <n v="10325"/>
    <s v="S24_4048"/>
    <x v="39"/>
    <x v="31"/>
    <x v="1"/>
    <x v="1"/>
    <s v="Medium"/>
    <n v="5"/>
    <n v="44"/>
    <n v="100"/>
    <n v="118"/>
    <n v="5325.76"/>
    <n v="133.76"/>
    <x v="33"/>
    <x v="0"/>
    <n v="4"/>
    <n v="11"/>
    <n v="2004"/>
    <x v="1"/>
  </r>
  <r>
    <n v="10336"/>
    <s v="S24_4048"/>
    <x v="40"/>
    <x v="9"/>
    <x v="3"/>
    <x v="1"/>
    <s v="Medium"/>
    <n v="5"/>
    <n v="31"/>
    <n v="100"/>
    <n v="118"/>
    <n v="4618.6899999999996"/>
    <n v="960.69"/>
    <x v="45"/>
    <x v="0"/>
    <n v="4"/>
    <n v="11"/>
    <n v="2004"/>
    <x v="1"/>
  </r>
  <r>
    <n v="10163"/>
    <s v="S24_4258"/>
    <x v="7"/>
    <x v="5"/>
    <x v="0"/>
    <x v="0"/>
    <s v="Medium"/>
    <n v="5"/>
    <n v="42"/>
    <n v="91.55"/>
    <n v="97"/>
    <n v="3845.1"/>
    <n v="-228.9"/>
    <x v="7"/>
    <x v="0"/>
    <n v="4"/>
    <n v="10"/>
    <n v="2003"/>
    <x v="3"/>
  </r>
  <r>
    <n v="10250"/>
    <s v="S24_4278"/>
    <x v="55"/>
    <x v="44"/>
    <x v="0"/>
    <x v="0"/>
    <s v="Small"/>
    <n v="5"/>
    <n v="37"/>
    <n v="74.62"/>
    <n v="72"/>
    <n v="2760.94"/>
    <n v="96.94"/>
    <x v="161"/>
    <x v="0"/>
    <n v="2"/>
    <n v="5"/>
    <n v="2004"/>
    <x v="4"/>
  </r>
  <r>
    <n v="10297"/>
    <s v="S24_4278"/>
    <x v="36"/>
    <x v="29"/>
    <x v="13"/>
    <x v="1"/>
    <s v="Small"/>
    <n v="5"/>
    <n v="23"/>
    <n v="72.45"/>
    <n v="72"/>
    <n v="1666.35"/>
    <n v="10.35"/>
    <x v="162"/>
    <x v="0"/>
    <n v="3"/>
    <n v="9"/>
    <n v="2004"/>
    <x v="4"/>
  </r>
  <r>
    <n v="10416"/>
    <s v="S24_4278"/>
    <x v="35"/>
    <x v="28"/>
    <x v="12"/>
    <x v="1"/>
    <s v="Medium"/>
    <n v="5"/>
    <n v="48"/>
    <n v="74.62"/>
    <n v="72"/>
    <n v="3581.76"/>
    <n v="125.76"/>
    <x v="163"/>
    <x v="0"/>
    <n v="2"/>
    <n v="5"/>
    <n v="2005"/>
    <x v="4"/>
  </r>
  <r>
    <n v="10210"/>
    <s v="S32_1374"/>
    <x v="12"/>
    <x v="10"/>
    <x v="5"/>
    <x v="2"/>
    <s v="Medium"/>
    <n v="5"/>
    <n v="46"/>
    <n v="79.91"/>
    <n v="99"/>
    <n v="3675.86"/>
    <n v="-878.14"/>
    <x v="13"/>
    <x v="0"/>
    <n v="1"/>
    <n v="1"/>
    <n v="2004"/>
    <x v="0"/>
  </r>
  <r>
    <n v="10308"/>
    <s v="S32_1374"/>
    <x v="13"/>
    <x v="11"/>
    <x v="0"/>
    <x v="0"/>
    <s v="Small"/>
    <n v="5"/>
    <n v="24"/>
    <n v="79.91"/>
    <n v="99"/>
    <n v="1917.84"/>
    <n v="-458.16"/>
    <x v="14"/>
    <x v="0"/>
    <n v="4"/>
    <n v="10"/>
    <n v="2004"/>
    <x v="0"/>
  </r>
  <r>
    <n v="10353"/>
    <s v="S32_1374"/>
    <x v="61"/>
    <x v="27"/>
    <x v="0"/>
    <x v="0"/>
    <s v="Medium"/>
    <n v="5"/>
    <n v="46"/>
    <n v="81.17"/>
    <n v="99"/>
    <n v="3733.82"/>
    <n v="-820.18"/>
    <x v="89"/>
    <x v="0"/>
    <n v="4"/>
    <n v="12"/>
    <n v="2004"/>
    <x v="0"/>
  </r>
  <r>
    <n v="10319"/>
    <s v="S32_2206"/>
    <x v="72"/>
    <x v="5"/>
    <x v="0"/>
    <x v="0"/>
    <s v="Small"/>
    <n v="5"/>
    <n v="29"/>
    <n v="38.22"/>
    <n v="40"/>
    <n v="1108.3800000000001"/>
    <n v="-51.62"/>
    <x v="37"/>
    <x v="0"/>
    <n v="4"/>
    <n v="11"/>
    <n v="2004"/>
    <x v="0"/>
  </r>
  <r>
    <n v="10343"/>
    <s v="S32_2206"/>
    <x v="82"/>
    <x v="64"/>
    <x v="3"/>
    <x v="1"/>
    <s v="Medium"/>
    <n v="5"/>
    <n v="29"/>
    <n v="100"/>
    <n v="40"/>
    <n v="3713.16"/>
    <n v="2553.16"/>
    <x v="38"/>
    <x v="0"/>
    <n v="4"/>
    <n v="11"/>
    <n v="2004"/>
    <x v="0"/>
  </r>
  <r>
    <n v="10151"/>
    <s v="S32_2509"/>
    <x v="71"/>
    <x v="58"/>
    <x v="14"/>
    <x v="1"/>
    <s v="Small"/>
    <n v="5"/>
    <n v="41"/>
    <n v="63.85"/>
    <n v="54"/>
    <n v="2617.85"/>
    <n v="403.85"/>
    <x v="224"/>
    <x v="0"/>
    <n v="3"/>
    <n v="9"/>
    <n v="2003"/>
    <x v="2"/>
  </r>
  <r>
    <n v="10383"/>
    <s v="S32_2509"/>
    <x v="26"/>
    <x v="21"/>
    <x v="8"/>
    <x v="1"/>
    <s v="Small"/>
    <n v="5"/>
    <n v="32"/>
    <n v="53.18"/>
    <n v="54"/>
    <n v="1701.76"/>
    <n v="-26.24"/>
    <x v="132"/>
    <x v="0"/>
    <n v="1"/>
    <n v="2"/>
    <n v="2005"/>
    <x v="2"/>
  </r>
  <r>
    <n v="10164"/>
    <s v="S32_3522"/>
    <x v="74"/>
    <x v="60"/>
    <x v="11"/>
    <x v="1"/>
    <s v="Small"/>
    <n v="5"/>
    <n v="49"/>
    <n v="54.94"/>
    <n v="64"/>
    <n v="2692.06"/>
    <n v="-443.94"/>
    <x v="138"/>
    <x v="4"/>
    <n v="4"/>
    <n v="10"/>
    <n v="2003"/>
    <x v="2"/>
  </r>
  <r>
    <n v="10245"/>
    <s v="S32_3522"/>
    <x v="68"/>
    <x v="55"/>
    <x v="0"/>
    <x v="0"/>
    <s v="Medium"/>
    <n v="5"/>
    <n v="44"/>
    <n v="69.16"/>
    <n v="64"/>
    <n v="3043.04"/>
    <n v="227.04"/>
    <x v="205"/>
    <x v="0"/>
    <n v="2"/>
    <n v="5"/>
    <n v="2004"/>
    <x v="2"/>
  </r>
  <r>
    <n v="10270"/>
    <s v="S32_3522"/>
    <x v="64"/>
    <x v="51"/>
    <x v="2"/>
    <x v="2"/>
    <s v="Small"/>
    <n v="5"/>
    <n v="21"/>
    <n v="63.35"/>
    <n v="64"/>
    <n v="1330.35"/>
    <n v="-13.65"/>
    <x v="206"/>
    <x v="0"/>
    <n v="3"/>
    <n v="7"/>
    <n v="2004"/>
    <x v="2"/>
  </r>
  <r>
    <n v="10348"/>
    <s v="S32_3522"/>
    <x v="63"/>
    <x v="21"/>
    <x v="8"/>
    <x v="1"/>
    <s v="Medium"/>
    <n v="5"/>
    <n v="31"/>
    <n v="100"/>
    <n v="64"/>
    <n v="3139.99"/>
    <n v="1155.99"/>
    <x v="156"/>
    <x v="0"/>
    <n v="4"/>
    <n v="11"/>
    <n v="2004"/>
    <x v="2"/>
  </r>
  <r>
    <n v="10411"/>
    <s v="S32_3522"/>
    <x v="15"/>
    <x v="13"/>
    <x v="6"/>
    <x v="0"/>
    <s v="Small"/>
    <n v="5"/>
    <n v="27"/>
    <n v="69.16"/>
    <n v="64"/>
    <n v="1867.32"/>
    <n v="139.32"/>
    <x v="208"/>
    <x v="0"/>
    <n v="2"/>
    <n v="5"/>
    <n v="2005"/>
    <x v="2"/>
  </r>
  <r>
    <n v="10106"/>
    <s v="S32_4289"/>
    <x v="67"/>
    <x v="54"/>
    <x v="12"/>
    <x v="1"/>
    <s v="Small"/>
    <n v="5"/>
    <n v="33"/>
    <n v="72.92"/>
    <n v="68"/>
    <n v="2406.36"/>
    <n v="162.36000000000001"/>
    <x v="242"/>
    <x v="0"/>
    <n v="1"/>
    <n v="2"/>
    <n v="2003"/>
    <x v="3"/>
  </r>
  <r>
    <n v="10328"/>
    <s v="S32_4289"/>
    <x v="67"/>
    <x v="54"/>
    <x v="12"/>
    <x v="1"/>
    <s v="Small"/>
    <n v="5"/>
    <n v="24"/>
    <n v="81.17"/>
    <n v="68"/>
    <n v="1948.08"/>
    <n v="316.08"/>
    <x v="177"/>
    <x v="0"/>
    <n v="4"/>
    <n v="11"/>
    <n v="2004"/>
    <x v="3"/>
  </r>
  <r>
    <n v="10224"/>
    <s v="S32_4485"/>
    <x v="75"/>
    <x v="61"/>
    <x v="3"/>
    <x v="1"/>
    <s v="Medium"/>
    <n v="5"/>
    <n v="30"/>
    <n v="100"/>
    <n v="102"/>
    <n v="3336.9"/>
    <n v="276.89999999999998"/>
    <x v="124"/>
    <x v="0"/>
    <n v="1"/>
    <n v="2"/>
    <n v="2004"/>
    <x v="0"/>
  </r>
  <r>
    <n v="10237"/>
    <s v="S32_4485"/>
    <x v="28"/>
    <x v="5"/>
    <x v="0"/>
    <x v="0"/>
    <s v="Medium"/>
    <n v="5"/>
    <n v="27"/>
    <n v="100"/>
    <n v="102"/>
    <n v="3113.64"/>
    <n v="359.64"/>
    <x v="125"/>
    <x v="0"/>
    <n v="2"/>
    <n v="4"/>
    <n v="2004"/>
    <x v="0"/>
  </r>
  <r>
    <n v="10355"/>
    <s v="S32_4485"/>
    <x v="26"/>
    <x v="21"/>
    <x v="8"/>
    <x v="1"/>
    <s v="Medium"/>
    <n v="5"/>
    <n v="40"/>
    <n v="100"/>
    <n v="102"/>
    <n v="4326.8"/>
    <n v="246.8"/>
    <x v="127"/>
    <x v="0"/>
    <n v="4"/>
    <n v="12"/>
    <n v="2004"/>
    <x v="0"/>
  </r>
  <r>
    <n v="10403"/>
    <s v="S32_4485"/>
    <x v="50"/>
    <x v="41"/>
    <x v="15"/>
    <x v="1"/>
    <s v="Medium"/>
    <n v="5"/>
    <n v="45"/>
    <n v="100"/>
    <n v="102"/>
    <n v="5189.3999999999996"/>
    <n v="599.4"/>
    <x v="128"/>
    <x v="0"/>
    <n v="2"/>
    <n v="4"/>
    <n v="2005"/>
    <x v="0"/>
  </r>
  <r>
    <n v="10284"/>
    <s v="S50_1341"/>
    <x v="60"/>
    <x v="49"/>
    <x v="1"/>
    <x v="1"/>
    <s v="Small"/>
    <n v="5"/>
    <n v="33"/>
    <n v="51.93"/>
    <n v="43"/>
    <n v="1713.69"/>
    <n v="294.69"/>
    <x v="88"/>
    <x v="0"/>
    <n v="3"/>
    <n v="8"/>
    <n v="2004"/>
    <x v="3"/>
  </r>
  <r>
    <n v="10375"/>
    <s v="S50_1341"/>
    <x v="3"/>
    <x v="3"/>
    <x v="3"/>
    <x v="1"/>
    <s v="Medium"/>
    <n v="5"/>
    <n v="49"/>
    <n v="65.8"/>
    <n v="43"/>
    <n v="3224.2"/>
    <n v="1117.2"/>
    <x v="234"/>
    <x v="0"/>
    <n v="1"/>
    <n v="2"/>
    <n v="2005"/>
    <x v="3"/>
  </r>
  <r>
    <n v="10398"/>
    <s v="S50_1341"/>
    <x v="82"/>
    <x v="64"/>
    <x v="3"/>
    <x v="1"/>
    <s v="Small"/>
    <n v="5"/>
    <n v="49"/>
    <n v="36.659999999999997"/>
    <n v="43"/>
    <n v="1796.34"/>
    <n v="-310.66000000000003"/>
    <x v="248"/>
    <x v="0"/>
    <n v="1"/>
    <n v="3"/>
    <n v="2005"/>
    <x v="3"/>
  </r>
  <r>
    <n v="10207"/>
    <s v="S50_1392"/>
    <x v="77"/>
    <x v="14"/>
    <x v="0"/>
    <x v="0"/>
    <s v="Small"/>
    <n v="5"/>
    <n v="28"/>
    <n v="94.92"/>
    <n v="115"/>
    <n v="2657.76"/>
    <n v="-562.24"/>
    <x v="131"/>
    <x v="0"/>
    <n v="4"/>
    <n v="12"/>
    <n v="2003"/>
    <x v="2"/>
  </r>
  <r>
    <n v="10165"/>
    <s v="S50_1514"/>
    <x v="17"/>
    <x v="15"/>
    <x v="7"/>
    <x v="2"/>
    <s v="Small"/>
    <n v="5"/>
    <n v="38"/>
    <n v="66.78"/>
    <n v="58"/>
    <n v="2537.64"/>
    <n v="333.64"/>
    <x v="116"/>
    <x v="0"/>
    <n v="4"/>
    <n v="10"/>
    <n v="2003"/>
    <x v="6"/>
  </r>
  <r>
    <n v="10180"/>
    <s v="S50_4713"/>
    <x v="75"/>
    <x v="61"/>
    <x v="3"/>
    <x v="1"/>
    <s v="Small"/>
    <n v="5"/>
    <n v="21"/>
    <n v="93.56"/>
    <n v="81"/>
    <n v="1964.76"/>
    <n v="263.76"/>
    <x v="202"/>
    <x v="0"/>
    <n v="4"/>
    <n v="11"/>
    <n v="2003"/>
    <x v="0"/>
  </r>
  <r>
    <n v="10264"/>
    <s v="S50_4713"/>
    <x v="16"/>
    <x v="14"/>
    <x v="0"/>
    <x v="0"/>
    <s v="Medium"/>
    <n v="5"/>
    <n v="47"/>
    <n v="89.5"/>
    <n v="81"/>
    <n v="4206.5"/>
    <n v="399.5"/>
    <x v="203"/>
    <x v="0"/>
    <n v="2"/>
    <n v="6"/>
    <n v="2004"/>
    <x v="0"/>
  </r>
  <r>
    <n v="10299"/>
    <s v="S50_4713"/>
    <x v="44"/>
    <x v="35"/>
    <x v="14"/>
    <x v="1"/>
    <s v="Medium"/>
    <n v="5"/>
    <n v="44"/>
    <n v="80.55"/>
    <n v="81"/>
    <n v="3544.2"/>
    <n v="-19.8"/>
    <x v="204"/>
    <x v="0"/>
    <n v="3"/>
    <n v="9"/>
    <n v="2004"/>
    <x v="0"/>
  </r>
  <r>
    <n v="10331"/>
    <s v="S50_4713"/>
    <x v="9"/>
    <x v="8"/>
    <x v="0"/>
    <x v="0"/>
    <s v="Medium"/>
    <n v="5"/>
    <n v="20"/>
    <n v="100"/>
    <n v="81"/>
    <n v="3657.8"/>
    <n v="2037.8"/>
    <x v="95"/>
    <x v="0"/>
    <n v="4"/>
    <n v="11"/>
    <n v="2004"/>
    <x v="0"/>
  </r>
  <r>
    <n v="10105"/>
    <s v="S700_1138"/>
    <x v="30"/>
    <x v="24"/>
    <x v="10"/>
    <x v="1"/>
    <s v="Small"/>
    <n v="5"/>
    <n v="41"/>
    <n v="70.67"/>
    <n v="66"/>
    <n v="2897.47"/>
    <n v="191.47"/>
    <x v="187"/>
    <x v="0"/>
    <n v="1"/>
    <n v="2"/>
    <n v="2003"/>
    <x v="5"/>
  </r>
  <r>
    <n v="10129"/>
    <s v="S700_1138"/>
    <x v="42"/>
    <x v="33"/>
    <x v="15"/>
    <x v="1"/>
    <s v="Small"/>
    <n v="5"/>
    <n v="31"/>
    <n v="60"/>
    <n v="66"/>
    <n v="1860"/>
    <n v="-186"/>
    <x v="188"/>
    <x v="0"/>
    <n v="2"/>
    <n v="6"/>
    <n v="2003"/>
    <x v="5"/>
  </r>
  <r>
    <n v="10339"/>
    <s v="S700_1138"/>
    <x v="41"/>
    <x v="32"/>
    <x v="5"/>
    <x v="2"/>
    <s v="Small"/>
    <n v="5"/>
    <n v="22"/>
    <n v="100"/>
    <n v="66"/>
    <n v="2816.44"/>
    <n v="1364.44"/>
    <x v="90"/>
    <x v="0"/>
    <n v="4"/>
    <n v="11"/>
    <n v="2004"/>
    <x v="5"/>
  </r>
  <r>
    <n v="10340"/>
    <s v="S700_1691"/>
    <x v="88"/>
    <x v="69"/>
    <x v="8"/>
    <x v="1"/>
    <s v="Small"/>
    <n v="5"/>
    <n v="30"/>
    <n v="88.6"/>
    <n v="91"/>
    <n v="2658"/>
    <n v="-72"/>
    <x v="38"/>
    <x v="0"/>
    <n v="4"/>
    <n v="11"/>
    <n v="2004"/>
    <x v="4"/>
  </r>
  <r>
    <n v="10293"/>
    <s v="S700_1938"/>
    <x v="46"/>
    <x v="37"/>
    <x v="12"/>
    <x v="1"/>
    <s v="Small"/>
    <n v="5"/>
    <n v="29"/>
    <n v="71.89"/>
    <n v="86"/>
    <n v="2084.81"/>
    <n v="-409.19"/>
    <x v="249"/>
    <x v="0"/>
    <n v="3"/>
    <n v="9"/>
    <n v="2004"/>
    <x v="5"/>
  </r>
  <r>
    <n v="10397"/>
    <s v="S700_1938"/>
    <x v="57"/>
    <x v="46"/>
    <x v="3"/>
    <x v="1"/>
    <s v="Small"/>
    <n v="5"/>
    <n v="32"/>
    <n v="80.55"/>
    <n v="86"/>
    <n v="2577.6"/>
    <n v="-174.4"/>
    <x v="251"/>
    <x v="0"/>
    <n v="1"/>
    <n v="3"/>
    <n v="2005"/>
    <x v="5"/>
  </r>
  <r>
    <n v="10167"/>
    <s v="S700_2047"/>
    <x v="51"/>
    <x v="42"/>
    <x v="4"/>
    <x v="1"/>
    <s v="Small"/>
    <n v="5"/>
    <n v="29"/>
    <n v="100"/>
    <n v="90"/>
    <n v="2940.02"/>
    <n v="330.02"/>
    <x v="68"/>
    <x v="3"/>
    <n v="4"/>
    <n v="10"/>
    <n v="2003"/>
    <x v="5"/>
  </r>
  <r>
    <n v="10186"/>
    <s v="S700_2047"/>
    <x v="52"/>
    <x v="33"/>
    <x v="15"/>
    <x v="1"/>
    <s v="Small"/>
    <n v="5"/>
    <n v="24"/>
    <n v="99.57"/>
    <n v="90"/>
    <n v="2389.6799999999998"/>
    <n v="229.68"/>
    <x v="69"/>
    <x v="0"/>
    <n v="4"/>
    <n v="11"/>
    <n v="2003"/>
    <x v="5"/>
  </r>
  <r>
    <n v="10274"/>
    <s v="S700_2047"/>
    <x v="53"/>
    <x v="25"/>
    <x v="0"/>
    <x v="0"/>
    <s v="Small"/>
    <n v="5"/>
    <n v="24"/>
    <n v="90.52"/>
    <n v="90"/>
    <n v="2172.48"/>
    <n v="12.48"/>
    <x v="70"/>
    <x v="0"/>
    <n v="3"/>
    <n v="7"/>
    <n v="2004"/>
    <x v="5"/>
  </r>
  <r>
    <n v="10307"/>
    <s v="S700_2047"/>
    <x v="18"/>
    <x v="8"/>
    <x v="0"/>
    <x v="0"/>
    <s v="Medium"/>
    <n v="5"/>
    <n v="34"/>
    <n v="97.76"/>
    <n v="90"/>
    <n v="3323.84"/>
    <n v="263.83999999999997"/>
    <x v="71"/>
    <x v="0"/>
    <n v="4"/>
    <n v="10"/>
    <n v="2004"/>
    <x v="5"/>
  </r>
  <r>
    <n v="10400"/>
    <s v="S700_2047"/>
    <x v="55"/>
    <x v="44"/>
    <x v="0"/>
    <x v="0"/>
    <s v="Medium"/>
    <n v="5"/>
    <n v="46"/>
    <n v="87.8"/>
    <n v="90"/>
    <n v="4038.8"/>
    <n v="-101.2"/>
    <x v="74"/>
    <x v="0"/>
    <n v="2"/>
    <n v="4"/>
    <n v="2005"/>
    <x v="5"/>
  </r>
  <r>
    <n v="10273"/>
    <s v="S700_2610"/>
    <x v="66"/>
    <x v="53"/>
    <x v="17"/>
    <x v="1"/>
    <s v="Small"/>
    <n v="5"/>
    <n v="42"/>
    <n v="62.16"/>
    <n v="72"/>
    <n v="2610.7199999999998"/>
    <n v="-413.28"/>
    <x v="70"/>
    <x v="0"/>
    <n v="3"/>
    <n v="7"/>
    <n v="2004"/>
    <x v="5"/>
  </r>
  <r>
    <n v="10324"/>
    <s v="S700_2824"/>
    <x v="28"/>
    <x v="5"/>
    <x v="0"/>
    <x v="0"/>
    <s v="Medium"/>
    <n v="5"/>
    <n v="34"/>
    <n v="100"/>
    <n v="101"/>
    <n v="4248.3"/>
    <n v="814.3"/>
    <x v="33"/>
    <x v="0"/>
    <n v="4"/>
    <n v="11"/>
    <n v="2004"/>
    <x v="1"/>
  </r>
  <r>
    <n v="10361"/>
    <s v="S700_2834"/>
    <x v="64"/>
    <x v="51"/>
    <x v="2"/>
    <x v="2"/>
    <s v="Medium"/>
    <n v="5"/>
    <n v="44"/>
    <n v="72.42"/>
    <n v="118"/>
    <n v="3186.48"/>
    <n v="-2005.52"/>
    <x v="201"/>
    <x v="0"/>
    <n v="4"/>
    <n v="12"/>
    <n v="2004"/>
    <x v="4"/>
  </r>
  <r>
    <n v="10262"/>
    <s v="S700_3167"/>
    <x v="26"/>
    <x v="21"/>
    <x v="8"/>
    <x v="1"/>
    <s v="Small"/>
    <n v="5"/>
    <n v="27"/>
    <n v="76"/>
    <n v="80"/>
    <n v="2052"/>
    <n v="-108"/>
    <x v="155"/>
    <x v="3"/>
    <n v="2"/>
    <n v="6"/>
    <n v="2004"/>
    <x v="4"/>
  </r>
  <r>
    <n v="10316"/>
    <s v="S700_3167"/>
    <x v="84"/>
    <x v="66"/>
    <x v="15"/>
    <x v="1"/>
    <s v="Medium"/>
    <n v="5"/>
    <n v="48"/>
    <n v="75.2"/>
    <n v="80"/>
    <n v="3609.6"/>
    <n v="-230.4"/>
    <x v="156"/>
    <x v="0"/>
    <n v="4"/>
    <n v="11"/>
    <n v="2004"/>
    <x v="4"/>
  </r>
  <r>
    <n v="10341"/>
    <s v="S700_3167"/>
    <x v="32"/>
    <x v="26"/>
    <x v="11"/>
    <x v="1"/>
    <s v="Medium"/>
    <n v="5"/>
    <n v="34"/>
    <n v="100"/>
    <n v="80"/>
    <n v="3644.12"/>
    <n v="924.12"/>
    <x v="38"/>
    <x v="0"/>
    <n v="4"/>
    <n v="11"/>
    <n v="2004"/>
    <x v="4"/>
  </r>
  <r>
    <n v="10261"/>
    <s v="S700_3505"/>
    <x v="15"/>
    <x v="13"/>
    <x v="6"/>
    <x v="0"/>
    <s v="Small"/>
    <n v="5"/>
    <n v="25"/>
    <n v="88.15"/>
    <n v="100"/>
    <n v="2203.75"/>
    <n v="-296.25"/>
    <x v="16"/>
    <x v="0"/>
    <n v="2"/>
    <n v="6"/>
    <n v="2004"/>
    <x v="5"/>
  </r>
  <r>
    <n v="10295"/>
    <s v="S700_3505"/>
    <x v="16"/>
    <x v="14"/>
    <x v="0"/>
    <x v="0"/>
    <s v="Medium"/>
    <n v="5"/>
    <n v="34"/>
    <n v="100"/>
    <n v="100"/>
    <n v="3473.78"/>
    <n v="73.78"/>
    <x v="17"/>
    <x v="0"/>
    <n v="3"/>
    <n v="9"/>
    <n v="2004"/>
    <x v="5"/>
  </r>
  <r>
    <n v="10177"/>
    <s v="S700_3962"/>
    <x v="37"/>
    <x v="21"/>
    <x v="8"/>
    <x v="1"/>
    <s v="Small"/>
    <n v="5"/>
    <n v="24"/>
    <n v="100"/>
    <n v="99"/>
    <n v="2526.48"/>
    <n v="150.47999999999999"/>
    <x v="236"/>
    <x v="0"/>
    <n v="4"/>
    <n v="11"/>
    <n v="2003"/>
    <x v="5"/>
  </r>
  <r>
    <n v="10185"/>
    <s v="S700_3962"/>
    <x v="49"/>
    <x v="40"/>
    <x v="0"/>
    <x v="0"/>
    <s v="Small"/>
    <n v="5"/>
    <n v="22"/>
    <n v="79.45"/>
    <n v="99"/>
    <n v="1747.9"/>
    <n v="-430.1"/>
    <x v="69"/>
    <x v="0"/>
    <n v="4"/>
    <n v="11"/>
    <n v="2003"/>
    <x v="5"/>
  </r>
  <r>
    <n v="10208"/>
    <s v="S700_3962"/>
    <x v="73"/>
    <x v="59"/>
    <x v="3"/>
    <x v="1"/>
    <s v="Small"/>
    <n v="5"/>
    <n v="33"/>
    <n v="85.41"/>
    <n v="99"/>
    <n v="2818.53"/>
    <n v="-448.47"/>
    <x v="237"/>
    <x v="0"/>
    <n v="1"/>
    <n v="1"/>
    <n v="2004"/>
    <x v="5"/>
  </r>
  <r>
    <n v="10306"/>
    <s v="S700_3962"/>
    <x v="62"/>
    <x v="50"/>
    <x v="15"/>
    <x v="1"/>
    <s v="Medium"/>
    <n v="5"/>
    <n v="30"/>
    <n v="100"/>
    <n v="99"/>
    <n v="3515.7"/>
    <n v="545.70000000000005"/>
    <x v="71"/>
    <x v="0"/>
    <n v="4"/>
    <n v="10"/>
    <n v="2004"/>
    <x v="5"/>
  </r>
  <r>
    <n v="10143"/>
    <s v="S700_4002"/>
    <x v="49"/>
    <x v="40"/>
    <x v="0"/>
    <x v="0"/>
    <s v="Small"/>
    <n v="5"/>
    <n v="34"/>
    <n v="85.87"/>
    <n v="74"/>
    <n v="2919.58"/>
    <n v="403.58"/>
    <x v="221"/>
    <x v="0"/>
    <n v="3"/>
    <n v="8"/>
    <n v="2003"/>
    <x v="4"/>
  </r>
  <r>
    <n v="10296"/>
    <s v="S700_4002"/>
    <x v="91"/>
    <x v="72"/>
    <x v="9"/>
    <x v="1"/>
    <s v="Medium"/>
    <n v="5"/>
    <n v="47"/>
    <n v="86.62"/>
    <n v="74"/>
    <n v="4071.14"/>
    <n v="593.14"/>
    <x v="223"/>
    <x v="0"/>
    <n v="3"/>
    <n v="9"/>
    <n v="2004"/>
    <x v="4"/>
  </r>
  <r>
    <n v="10142"/>
    <s v="S72_3212"/>
    <x v="43"/>
    <x v="34"/>
    <x v="0"/>
    <x v="0"/>
    <s v="Small"/>
    <n v="5"/>
    <n v="39"/>
    <n v="44.23"/>
    <n v="54"/>
    <n v="1724.97"/>
    <n v="-381.03"/>
    <x v="182"/>
    <x v="0"/>
    <n v="3"/>
    <n v="8"/>
    <n v="2003"/>
    <x v="5"/>
  </r>
  <r>
    <n v="10315"/>
    <s v="S72_3212"/>
    <x v="3"/>
    <x v="3"/>
    <x v="3"/>
    <x v="1"/>
    <s v="Small"/>
    <n v="5"/>
    <n v="40"/>
    <n v="55.69"/>
    <n v="54"/>
    <n v="2227.6"/>
    <n v="67.599999999999994"/>
    <x v="183"/>
    <x v="0"/>
    <n v="4"/>
    <n v="10"/>
    <n v="2004"/>
    <x v="5"/>
  </r>
  <r>
    <n v="10337"/>
    <s v="S72_3212"/>
    <x v="7"/>
    <x v="5"/>
    <x v="0"/>
    <x v="0"/>
    <s v="Medium"/>
    <n v="5"/>
    <n v="42"/>
    <n v="97.16"/>
    <n v="54"/>
    <n v="4080.72"/>
    <n v="1812.72"/>
    <x v="245"/>
    <x v="0"/>
    <n v="4"/>
    <n v="11"/>
    <n v="2004"/>
    <x v="5"/>
  </r>
  <r>
    <n v="10145"/>
    <s v="S10_1678"/>
    <x v="22"/>
    <x v="18"/>
    <x v="0"/>
    <x v="0"/>
    <s v="Medium"/>
    <n v="6"/>
    <n v="45"/>
    <n v="83.26"/>
    <n v="95"/>
    <n v="3746.7"/>
    <n v="-528.29999999999995"/>
    <x v="213"/>
    <x v="0"/>
    <n v="3"/>
    <n v="8"/>
    <n v="2003"/>
    <x v="0"/>
  </r>
  <r>
    <n v="10285"/>
    <s v="S10_1678"/>
    <x v="87"/>
    <x v="36"/>
    <x v="0"/>
    <x v="0"/>
    <s v="Medium"/>
    <n v="6"/>
    <n v="36"/>
    <n v="100"/>
    <n v="95"/>
    <n v="4099.68"/>
    <n v="679.68"/>
    <x v="215"/>
    <x v="0"/>
    <n v="3"/>
    <n v="8"/>
    <n v="2004"/>
    <x v="0"/>
  </r>
  <r>
    <n v="10206"/>
    <s v="S10_1949"/>
    <x v="90"/>
    <x v="71"/>
    <x v="6"/>
    <x v="0"/>
    <s v="Large"/>
    <n v="6"/>
    <n v="47"/>
    <n v="100"/>
    <n v="214"/>
    <n v="9064.89"/>
    <n v="-993.11"/>
    <x v="240"/>
    <x v="0"/>
    <n v="4"/>
    <n v="12"/>
    <n v="2003"/>
    <x v="1"/>
  </r>
  <r>
    <n v="10258"/>
    <s v="S10_1949"/>
    <x v="41"/>
    <x v="32"/>
    <x v="5"/>
    <x v="2"/>
    <s v="Large"/>
    <n v="6"/>
    <n v="32"/>
    <n v="100"/>
    <n v="214"/>
    <n v="7680.64"/>
    <n v="832.64"/>
    <x v="147"/>
    <x v="0"/>
    <n v="2"/>
    <n v="6"/>
    <n v="2004"/>
    <x v="1"/>
  </r>
  <r>
    <n v="10304"/>
    <s v="S10_1949"/>
    <x v="20"/>
    <x v="16"/>
    <x v="3"/>
    <x v="1"/>
    <s v="Large"/>
    <n v="6"/>
    <n v="47"/>
    <n v="100"/>
    <n v="214"/>
    <n v="10172.700000000001"/>
    <n v="114.7"/>
    <x v="241"/>
    <x v="0"/>
    <n v="4"/>
    <n v="10"/>
    <n v="2004"/>
    <x v="1"/>
  </r>
  <r>
    <n v="10424"/>
    <s v="S10_1949"/>
    <x v="26"/>
    <x v="21"/>
    <x v="8"/>
    <x v="1"/>
    <s v="Large"/>
    <n v="6"/>
    <n v="50"/>
    <n v="100"/>
    <n v="214"/>
    <n v="12001"/>
    <n v="1301"/>
    <x v="148"/>
    <x v="2"/>
    <n v="2"/>
    <n v="5"/>
    <n v="2005"/>
    <x v="1"/>
  </r>
  <r>
    <n v="10197"/>
    <s v="S10_4757"/>
    <x v="88"/>
    <x v="69"/>
    <x v="8"/>
    <x v="1"/>
    <s v="Medium"/>
    <n v="6"/>
    <n v="45"/>
    <n v="100"/>
    <n v="136"/>
    <n v="5324.4"/>
    <n v="-795.6"/>
    <x v="108"/>
    <x v="0"/>
    <n v="4"/>
    <n v="11"/>
    <n v="2003"/>
    <x v="1"/>
  </r>
  <r>
    <n v="10283"/>
    <s v="S10_4757"/>
    <x v="89"/>
    <x v="70"/>
    <x v="6"/>
    <x v="0"/>
    <s v="Small"/>
    <n v="6"/>
    <n v="25"/>
    <n v="100"/>
    <n v="136"/>
    <n v="2992"/>
    <n v="-408"/>
    <x v="109"/>
    <x v="0"/>
    <n v="3"/>
    <n v="8"/>
    <n v="2004"/>
    <x v="1"/>
  </r>
  <r>
    <n v="10325"/>
    <s v="S10_4757"/>
    <x v="39"/>
    <x v="31"/>
    <x v="1"/>
    <x v="1"/>
    <s v="Medium"/>
    <n v="6"/>
    <n v="47"/>
    <n v="64.930000000000007"/>
    <n v="136"/>
    <n v="3051.71"/>
    <n v="-3340.29"/>
    <x v="33"/>
    <x v="0"/>
    <n v="4"/>
    <n v="11"/>
    <n v="2004"/>
    <x v="1"/>
  </r>
  <r>
    <n v="10359"/>
    <s v="S10_4757"/>
    <x v="82"/>
    <x v="64"/>
    <x v="3"/>
    <x v="1"/>
    <s v="Small"/>
    <n v="6"/>
    <n v="48"/>
    <n v="54.68"/>
    <n v="136"/>
    <n v="2624.64"/>
    <n v="-3903.36"/>
    <x v="218"/>
    <x v="0"/>
    <n v="4"/>
    <n v="12"/>
    <n v="2004"/>
    <x v="1"/>
  </r>
  <r>
    <n v="10381"/>
    <s v="S10_4962"/>
    <x v="21"/>
    <x v="17"/>
    <x v="0"/>
    <x v="0"/>
    <s v="Medium"/>
    <n v="6"/>
    <n v="37"/>
    <n v="100"/>
    <n v="147"/>
    <n v="6231.54"/>
    <n v="792.54"/>
    <x v="23"/>
    <x v="0"/>
    <n v="1"/>
    <n v="2"/>
    <n v="2005"/>
    <x v="1"/>
  </r>
  <r>
    <n v="10108"/>
    <s v="S12_1099"/>
    <x v="85"/>
    <x v="67"/>
    <x v="18"/>
    <x v="2"/>
    <s v="Medium"/>
    <n v="6"/>
    <n v="33"/>
    <n v="100"/>
    <n v="194"/>
    <n v="5265.15"/>
    <n v="-1136.8499999999999"/>
    <x v="189"/>
    <x v="0"/>
    <n v="1"/>
    <n v="3"/>
    <n v="2003"/>
    <x v="1"/>
  </r>
  <r>
    <n v="10371"/>
    <s v="S12_1108"/>
    <x v="43"/>
    <x v="34"/>
    <x v="0"/>
    <x v="0"/>
    <s v="Medium"/>
    <n v="6"/>
    <n v="32"/>
    <n v="100"/>
    <n v="207"/>
    <n v="3560.64"/>
    <n v="-3063.36"/>
    <x v="207"/>
    <x v="0"/>
    <n v="1"/>
    <n v="1"/>
    <n v="2005"/>
    <x v="1"/>
  </r>
  <r>
    <n v="10164"/>
    <s v="S12_1666"/>
    <x v="74"/>
    <x v="60"/>
    <x v="11"/>
    <x v="1"/>
    <s v="Medium"/>
    <n v="6"/>
    <n v="49"/>
    <n v="100"/>
    <n v="136"/>
    <n v="6563.06"/>
    <n v="-100.94"/>
    <x v="138"/>
    <x v="4"/>
    <n v="4"/>
    <n v="10"/>
    <n v="2003"/>
    <x v="2"/>
  </r>
  <r>
    <n v="10245"/>
    <s v="S12_1666"/>
    <x v="68"/>
    <x v="55"/>
    <x v="0"/>
    <x v="0"/>
    <s v="Medium"/>
    <n v="6"/>
    <n v="38"/>
    <n v="100"/>
    <n v="136"/>
    <n v="5920.4"/>
    <n v="752.4"/>
    <x v="205"/>
    <x v="0"/>
    <n v="2"/>
    <n v="5"/>
    <n v="2004"/>
    <x v="2"/>
  </r>
  <r>
    <n v="10270"/>
    <s v="S12_1666"/>
    <x v="64"/>
    <x v="51"/>
    <x v="2"/>
    <x v="2"/>
    <s v="Medium"/>
    <n v="6"/>
    <n v="28"/>
    <n v="100"/>
    <n v="136"/>
    <n v="4094.72"/>
    <n v="286.72000000000003"/>
    <x v="206"/>
    <x v="0"/>
    <n v="3"/>
    <n v="7"/>
    <n v="2004"/>
    <x v="2"/>
  </r>
  <r>
    <n v="10333"/>
    <s v="S12_1666"/>
    <x v="23"/>
    <x v="17"/>
    <x v="0"/>
    <x v="0"/>
    <s v="Medium"/>
    <n v="6"/>
    <n v="33"/>
    <n v="99.21"/>
    <n v="136"/>
    <n v="3273.93"/>
    <n v="-1214.07"/>
    <x v="200"/>
    <x v="0"/>
    <n v="4"/>
    <n v="11"/>
    <n v="2004"/>
    <x v="2"/>
  </r>
  <r>
    <n v="10411"/>
    <s v="S12_1666"/>
    <x v="15"/>
    <x v="13"/>
    <x v="6"/>
    <x v="0"/>
    <s v="Medium"/>
    <n v="6"/>
    <n v="40"/>
    <n v="100"/>
    <n v="136"/>
    <n v="6232"/>
    <n v="792"/>
    <x v="208"/>
    <x v="0"/>
    <n v="2"/>
    <n v="5"/>
    <n v="2005"/>
    <x v="2"/>
  </r>
  <r>
    <n v="10224"/>
    <s v="S12_2823"/>
    <x v="75"/>
    <x v="61"/>
    <x v="3"/>
    <x v="1"/>
    <s v="Medium"/>
    <n v="6"/>
    <n v="43"/>
    <n v="100"/>
    <n v="150"/>
    <n v="6087.94"/>
    <n v="-362.06"/>
    <x v="124"/>
    <x v="0"/>
    <n v="1"/>
    <n v="2"/>
    <n v="2004"/>
    <x v="0"/>
  </r>
  <r>
    <n v="10237"/>
    <s v="S12_2823"/>
    <x v="28"/>
    <x v="5"/>
    <x v="0"/>
    <x v="0"/>
    <s v="Medium"/>
    <n v="6"/>
    <n v="32"/>
    <n v="100"/>
    <n v="150"/>
    <n v="4193.28"/>
    <n v="-606.72"/>
    <x v="125"/>
    <x v="0"/>
    <n v="2"/>
    <n v="4"/>
    <n v="2004"/>
    <x v="0"/>
  </r>
  <r>
    <n v="10329"/>
    <s v="S12_2823"/>
    <x v="5"/>
    <x v="5"/>
    <x v="0"/>
    <x v="0"/>
    <s v="Medium"/>
    <n v="6"/>
    <n v="24"/>
    <n v="100"/>
    <n v="150"/>
    <n v="3542.64"/>
    <n v="-57.36"/>
    <x v="5"/>
    <x v="0"/>
    <n v="4"/>
    <n v="11"/>
    <n v="2004"/>
    <x v="0"/>
  </r>
  <r>
    <n v="10388"/>
    <s v="S12_2823"/>
    <x v="78"/>
    <x v="40"/>
    <x v="0"/>
    <x v="0"/>
    <s v="Medium"/>
    <n v="6"/>
    <n v="44"/>
    <n v="100"/>
    <n v="150"/>
    <n v="5951.44"/>
    <n v="-648.55999999999995"/>
    <x v="150"/>
    <x v="0"/>
    <n v="1"/>
    <n v="3"/>
    <n v="2005"/>
    <x v="0"/>
  </r>
  <r>
    <n v="10403"/>
    <s v="S12_2823"/>
    <x v="50"/>
    <x v="41"/>
    <x v="15"/>
    <x v="1"/>
    <s v="Large"/>
    <n v="6"/>
    <n v="66"/>
    <n v="100"/>
    <n v="150"/>
    <n v="8648.64"/>
    <n v="-1251.3599999999999"/>
    <x v="128"/>
    <x v="0"/>
    <n v="2"/>
    <n v="4"/>
    <n v="2005"/>
    <x v="0"/>
  </r>
  <r>
    <n v="10196"/>
    <s v="S12_3148"/>
    <x v="68"/>
    <x v="55"/>
    <x v="0"/>
    <x v="0"/>
    <s v="Medium"/>
    <n v="6"/>
    <n v="24"/>
    <n v="100"/>
    <n v="151"/>
    <n v="3807.12"/>
    <n v="183.12"/>
    <x v="108"/>
    <x v="0"/>
    <n v="4"/>
    <n v="11"/>
    <n v="2003"/>
    <x v="1"/>
  </r>
  <r>
    <n v="10282"/>
    <s v="S12_3148"/>
    <x v="43"/>
    <x v="34"/>
    <x v="0"/>
    <x v="0"/>
    <s v="Medium"/>
    <n v="6"/>
    <n v="27"/>
    <n v="100"/>
    <n v="151"/>
    <n v="4364.82"/>
    <n v="287.82"/>
    <x v="109"/>
    <x v="0"/>
    <n v="3"/>
    <n v="8"/>
    <n v="2004"/>
    <x v="1"/>
  </r>
  <r>
    <n v="10314"/>
    <s v="S12_3148"/>
    <x v="69"/>
    <x v="56"/>
    <x v="10"/>
    <x v="1"/>
    <s v="Medium"/>
    <n v="6"/>
    <n v="46"/>
    <n v="100"/>
    <n v="151"/>
    <n v="6393.54"/>
    <n v="-552.46"/>
    <x v="110"/>
    <x v="0"/>
    <n v="4"/>
    <n v="10"/>
    <n v="2004"/>
    <x v="1"/>
  </r>
  <r>
    <n v="10160"/>
    <s v="S12_3380"/>
    <x v="70"/>
    <x v="57"/>
    <x v="0"/>
    <x v="0"/>
    <s v="Medium"/>
    <n v="6"/>
    <n v="46"/>
    <n v="100"/>
    <n v="117"/>
    <n v="5294.14"/>
    <n v="-87.86"/>
    <x v="112"/>
    <x v="0"/>
    <n v="4"/>
    <n v="10"/>
    <n v="2003"/>
    <x v="1"/>
  </r>
  <r>
    <n v="10203"/>
    <s v="S12_3380"/>
    <x v="26"/>
    <x v="21"/>
    <x v="8"/>
    <x v="1"/>
    <s v="Small"/>
    <n v="6"/>
    <n v="20"/>
    <n v="100"/>
    <n v="117"/>
    <n v="2254.8000000000002"/>
    <n v="-85.2"/>
    <x v="86"/>
    <x v="0"/>
    <n v="4"/>
    <n v="12"/>
    <n v="2003"/>
    <x v="1"/>
  </r>
  <r>
    <n v="10389"/>
    <s v="S12_3380"/>
    <x v="51"/>
    <x v="42"/>
    <x v="4"/>
    <x v="1"/>
    <s v="Small"/>
    <n v="6"/>
    <n v="25"/>
    <n v="72.38"/>
    <n v="117"/>
    <n v="1809.5"/>
    <n v="-1115.5"/>
    <x v="150"/>
    <x v="0"/>
    <n v="1"/>
    <n v="3"/>
    <n v="2005"/>
    <x v="1"/>
  </r>
  <r>
    <n v="10300"/>
    <s v="S12_3990"/>
    <x v="27"/>
    <x v="22"/>
    <x v="9"/>
    <x v="1"/>
    <s v="Small"/>
    <n v="6"/>
    <n v="22"/>
    <n v="76.61"/>
    <n v="79"/>
    <n v="1685.42"/>
    <n v="-52.58"/>
    <x v="77"/>
    <x v="0"/>
    <n v="4"/>
    <n v="10"/>
    <n v="2003"/>
    <x v="1"/>
  </r>
  <r>
    <n v="10184"/>
    <s v="S12_4473"/>
    <x v="86"/>
    <x v="68"/>
    <x v="8"/>
    <x v="1"/>
    <s v="Medium"/>
    <n v="6"/>
    <n v="37"/>
    <n v="100"/>
    <n v="118"/>
    <n v="4516.22"/>
    <n v="150.22"/>
    <x v="69"/>
    <x v="0"/>
    <n v="4"/>
    <n v="11"/>
    <n v="2003"/>
    <x v="2"/>
  </r>
  <r>
    <n v="10195"/>
    <s v="S12_4473"/>
    <x v="13"/>
    <x v="11"/>
    <x v="0"/>
    <x v="0"/>
    <s v="Medium"/>
    <n v="6"/>
    <n v="49"/>
    <n v="100"/>
    <n v="118"/>
    <n v="6445.46"/>
    <n v="663.46"/>
    <x v="169"/>
    <x v="0"/>
    <n v="4"/>
    <n v="11"/>
    <n v="2003"/>
    <x v="2"/>
  </r>
  <r>
    <n v="10225"/>
    <s v="S12_4675"/>
    <x v="48"/>
    <x v="39"/>
    <x v="16"/>
    <x v="1"/>
    <s v="Small"/>
    <n v="6"/>
    <n v="21"/>
    <n v="100"/>
    <n v="115"/>
    <n v="2684.43"/>
    <n v="269.43"/>
    <x v="56"/>
    <x v="0"/>
    <n v="1"/>
    <n v="2"/>
    <n v="2004"/>
    <x v="1"/>
  </r>
  <r>
    <n v="10363"/>
    <s v="S12_4675"/>
    <x v="38"/>
    <x v="30"/>
    <x v="14"/>
    <x v="1"/>
    <s v="Medium"/>
    <n v="6"/>
    <n v="46"/>
    <n v="88.45"/>
    <n v="115"/>
    <n v="4068.7"/>
    <n v="-1221.3"/>
    <x v="190"/>
    <x v="0"/>
    <n v="1"/>
    <n v="1"/>
    <n v="2005"/>
    <x v="1"/>
  </r>
  <r>
    <n v="10181"/>
    <s v="S18_1129"/>
    <x v="1"/>
    <x v="1"/>
    <x v="1"/>
    <x v="1"/>
    <s v="Medium"/>
    <n v="6"/>
    <n v="44"/>
    <n v="100"/>
    <n v="141"/>
    <n v="5418.16"/>
    <n v="-785.84"/>
    <x v="117"/>
    <x v="0"/>
    <n v="4"/>
    <n v="11"/>
    <n v="2003"/>
    <x v="1"/>
  </r>
  <r>
    <n v="10266"/>
    <s v="S18_1129"/>
    <x v="35"/>
    <x v="28"/>
    <x v="12"/>
    <x v="1"/>
    <s v="Small"/>
    <n v="6"/>
    <n v="21"/>
    <n v="100"/>
    <n v="141"/>
    <n v="2526.5100000000002"/>
    <n v="-434.49"/>
    <x v="153"/>
    <x v="0"/>
    <n v="3"/>
    <n v="7"/>
    <n v="2004"/>
    <x v="1"/>
  </r>
  <r>
    <n v="10278"/>
    <s v="S18_1129"/>
    <x v="83"/>
    <x v="65"/>
    <x v="0"/>
    <x v="0"/>
    <s v="Medium"/>
    <n v="6"/>
    <n v="34"/>
    <n v="100"/>
    <n v="141"/>
    <n v="4667.8599999999997"/>
    <n v="-126.14"/>
    <x v="154"/>
    <x v="0"/>
    <n v="3"/>
    <n v="8"/>
    <n v="2004"/>
    <x v="1"/>
  </r>
  <r>
    <n v="10331"/>
    <s v="S18_1129"/>
    <x v="9"/>
    <x v="8"/>
    <x v="0"/>
    <x v="0"/>
    <s v="Medium"/>
    <n v="6"/>
    <n v="46"/>
    <n v="100"/>
    <n v="141"/>
    <n v="6434.02"/>
    <n v="-51.98"/>
    <x v="95"/>
    <x v="0"/>
    <n v="4"/>
    <n v="11"/>
    <n v="2004"/>
    <x v="1"/>
  </r>
  <r>
    <n v="10111"/>
    <s v="S18_1342"/>
    <x v="23"/>
    <x v="17"/>
    <x v="0"/>
    <x v="0"/>
    <s v="Medium"/>
    <n v="6"/>
    <n v="33"/>
    <n v="99.66"/>
    <n v="102"/>
    <n v="3288.78"/>
    <n v="-77.22"/>
    <x v="107"/>
    <x v="0"/>
    <n v="1"/>
    <n v="3"/>
    <n v="2003"/>
    <x v="3"/>
  </r>
  <r>
    <n v="10173"/>
    <s v="S18_1342"/>
    <x v="67"/>
    <x v="54"/>
    <x v="12"/>
    <x v="1"/>
    <s v="Medium"/>
    <n v="6"/>
    <n v="43"/>
    <n v="100"/>
    <n v="102"/>
    <n v="5036.16"/>
    <n v="650.16"/>
    <x v="80"/>
    <x v="0"/>
    <n v="4"/>
    <n v="11"/>
    <n v="2003"/>
    <x v="3"/>
  </r>
  <r>
    <n v="10139"/>
    <s v="S18_1367"/>
    <x v="64"/>
    <x v="51"/>
    <x v="2"/>
    <x v="2"/>
    <s v="Small"/>
    <n v="6"/>
    <n v="49"/>
    <n v="43.13"/>
    <n v="53"/>
    <n v="2113.37"/>
    <n v="-483.63"/>
    <x v="100"/>
    <x v="0"/>
    <n v="3"/>
    <n v="7"/>
    <n v="2003"/>
    <x v="3"/>
  </r>
  <r>
    <n v="10193"/>
    <s v="S18_1367"/>
    <x v="65"/>
    <x v="52"/>
    <x v="2"/>
    <x v="2"/>
    <s v="Small"/>
    <n v="6"/>
    <n v="46"/>
    <n v="53.37"/>
    <n v="53"/>
    <n v="2455.02"/>
    <n v="17.02"/>
    <x v="101"/>
    <x v="0"/>
    <n v="4"/>
    <n v="11"/>
    <n v="2003"/>
    <x v="3"/>
  </r>
  <r>
    <n v="10244"/>
    <s v="S18_1367"/>
    <x v="26"/>
    <x v="21"/>
    <x v="8"/>
    <x v="1"/>
    <s v="Small"/>
    <n v="6"/>
    <n v="20"/>
    <n v="58.22"/>
    <n v="53"/>
    <n v="1164.4000000000001"/>
    <n v="104.4"/>
    <x v="102"/>
    <x v="0"/>
    <n v="2"/>
    <n v="4"/>
    <n v="2004"/>
    <x v="3"/>
  </r>
  <r>
    <n v="10356"/>
    <s v="S18_1367"/>
    <x v="19"/>
    <x v="9"/>
    <x v="3"/>
    <x v="1"/>
    <s v="Small"/>
    <n v="6"/>
    <n v="22"/>
    <n v="72.41"/>
    <n v="53"/>
    <n v="1593.02"/>
    <n v="427.02"/>
    <x v="96"/>
    <x v="0"/>
    <n v="4"/>
    <n v="12"/>
    <n v="2004"/>
    <x v="3"/>
  </r>
  <r>
    <n v="10172"/>
    <s v="S18_1589"/>
    <x v="25"/>
    <x v="20"/>
    <x v="0"/>
    <x v="0"/>
    <s v="Medium"/>
    <n v="6"/>
    <n v="42"/>
    <n v="100"/>
    <n v="124"/>
    <n v="4965.24"/>
    <n v="-242.76"/>
    <x v="80"/>
    <x v="0"/>
    <n v="4"/>
    <n v="11"/>
    <n v="2003"/>
    <x v="1"/>
  </r>
  <r>
    <n v="10212"/>
    <s v="S18_1589"/>
    <x v="26"/>
    <x v="21"/>
    <x v="8"/>
    <x v="1"/>
    <s v="Medium"/>
    <n v="6"/>
    <n v="38"/>
    <n v="100"/>
    <n v="124"/>
    <n v="4492.3599999999997"/>
    <n v="-219.64"/>
    <x v="173"/>
    <x v="0"/>
    <n v="1"/>
    <n v="1"/>
    <n v="2004"/>
    <x v="1"/>
  </r>
  <r>
    <n v="10321"/>
    <s v="S18_1589"/>
    <x v="78"/>
    <x v="40"/>
    <x v="0"/>
    <x v="0"/>
    <s v="Medium"/>
    <n v="6"/>
    <n v="44"/>
    <n v="100"/>
    <n v="124"/>
    <n v="4489.76"/>
    <n v="-966.24"/>
    <x v="8"/>
    <x v="0"/>
    <n v="4"/>
    <n v="11"/>
    <n v="2004"/>
    <x v="1"/>
  </r>
  <r>
    <n v="10327"/>
    <s v="S18_1662"/>
    <x v="30"/>
    <x v="24"/>
    <x v="10"/>
    <x v="1"/>
    <s v="Small"/>
    <n v="6"/>
    <n v="25"/>
    <n v="100"/>
    <n v="157"/>
    <n v="2804.75"/>
    <n v="-1120.25"/>
    <x v="239"/>
    <x v="4"/>
    <n v="4"/>
    <n v="11"/>
    <n v="2004"/>
    <x v="4"/>
  </r>
  <r>
    <n v="10124"/>
    <s v="S18_1749"/>
    <x v="83"/>
    <x v="65"/>
    <x v="0"/>
    <x v="0"/>
    <s v="Small"/>
    <n v="6"/>
    <n v="21"/>
    <n v="100"/>
    <n v="170"/>
    <n v="2856"/>
    <n v="-714"/>
    <x v="58"/>
    <x v="0"/>
    <n v="2"/>
    <n v="5"/>
    <n v="2003"/>
    <x v="3"/>
  </r>
  <r>
    <n v="10122"/>
    <s v="S18_1889"/>
    <x v="56"/>
    <x v="45"/>
    <x v="3"/>
    <x v="1"/>
    <s v="Medium"/>
    <n v="6"/>
    <n v="43"/>
    <n v="72.38"/>
    <n v="77"/>
    <n v="3112.34"/>
    <n v="-198.66"/>
    <x v="78"/>
    <x v="0"/>
    <n v="2"/>
    <n v="5"/>
    <n v="2003"/>
    <x v="1"/>
  </r>
  <r>
    <n v="10310"/>
    <s v="S18_1889"/>
    <x v="29"/>
    <x v="23"/>
    <x v="9"/>
    <x v="1"/>
    <s v="Small"/>
    <n v="6"/>
    <n v="20"/>
    <n v="91.63"/>
    <n v="77"/>
    <n v="1832.6"/>
    <n v="292.60000000000002"/>
    <x v="81"/>
    <x v="0"/>
    <n v="4"/>
    <n v="10"/>
    <n v="2004"/>
    <x v="1"/>
  </r>
  <r>
    <n v="10377"/>
    <s v="S18_1984"/>
    <x v="44"/>
    <x v="35"/>
    <x v="14"/>
    <x v="1"/>
    <s v="Medium"/>
    <n v="6"/>
    <n v="36"/>
    <n v="100"/>
    <n v="142"/>
    <n v="4352.76"/>
    <n v="-759.24"/>
    <x v="51"/>
    <x v="0"/>
    <n v="1"/>
    <n v="2"/>
    <n v="2005"/>
    <x v="1"/>
  </r>
  <r>
    <n v="10207"/>
    <s v="S18_2238"/>
    <x v="77"/>
    <x v="14"/>
    <x v="0"/>
    <x v="0"/>
    <s v="Large"/>
    <n v="6"/>
    <n v="44"/>
    <n v="100"/>
    <n v="163"/>
    <n v="7060.24"/>
    <n v="-111.76"/>
    <x v="131"/>
    <x v="0"/>
    <n v="4"/>
    <n v="12"/>
    <n v="2003"/>
    <x v="1"/>
  </r>
  <r>
    <n v="10336"/>
    <s v="S18_2238"/>
    <x v="40"/>
    <x v="9"/>
    <x v="3"/>
    <x v="1"/>
    <s v="Large"/>
    <n v="6"/>
    <n v="49"/>
    <n v="100"/>
    <n v="163"/>
    <n v="7460.74"/>
    <n v="-526.26"/>
    <x v="45"/>
    <x v="0"/>
    <n v="4"/>
    <n v="11"/>
    <n v="2004"/>
    <x v="1"/>
  </r>
  <r>
    <n v="10110"/>
    <s v="S18_2248"/>
    <x v="62"/>
    <x v="50"/>
    <x v="15"/>
    <x v="1"/>
    <s v="Small"/>
    <n v="6"/>
    <n v="32"/>
    <n v="50.25"/>
    <n v="60"/>
    <n v="1608"/>
    <n v="-312"/>
    <x v="92"/>
    <x v="0"/>
    <n v="1"/>
    <n v="3"/>
    <n v="2003"/>
    <x v="3"/>
  </r>
  <r>
    <n v="10214"/>
    <s v="S18_2248"/>
    <x v="63"/>
    <x v="21"/>
    <x v="8"/>
    <x v="1"/>
    <s v="Small"/>
    <n v="6"/>
    <n v="21"/>
    <n v="62.96"/>
    <n v="60"/>
    <n v="1322.16"/>
    <n v="62.16"/>
    <x v="93"/>
    <x v="0"/>
    <n v="1"/>
    <n v="1"/>
    <n v="2004"/>
    <x v="3"/>
  </r>
  <r>
    <n v="10151"/>
    <s v="S18_2319"/>
    <x v="71"/>
    <x v="58"/>
    <x v="14"/>
    <x v="1"/>
    <s v="Medium"/>
    <n v="6"/>
    <n v="49"/>
    <n v="100"/>
    <n v="122"/>
    <n v="5412.54"/>
    <n v="-565.46"/>
    <x v="224"/>
    <x v="0"/>
    <n v="3"/>
    <n v="9"/>
    <n v="2003"/>
    <x v="2"/>
  </r>
  <r>
    <n v="10334"/>
    <s v="S18_2319"/>
    <x v="6"/>
    <x v="6"/>
    <x v="4"/>
    <x v="1"/>
    <s v="Medium"/>
    <n v="6"/>
    <n v="46"/>
    <n v="100"/>
    <n v="122"/>
    <n v="5814.86"/>
    <n v="202.86"/>
    <x v="87"/>
    <x v="5"/>
    <n v="4"/>
    <n v="11"/>
    <n v="2004"/>
    <x v="2"/>
  </r>
  <r>
    <n v="10162"/>
    <s v="S18_2325"/>
    <x v="21"/>
    <x v="17"/>
    <x v="0"/>
    <x v="0"/>
    <s v="Medium"/>
    <n v="6"/>
    <n v="38"/>
    <n v="100"/>
    <n v="127"/>
    <n v="4299.7"/>
    <n v="-526.29999999999995"/>
    <x v="60"/>
    <x v="0"/>
    <n v="4"/>
    <n v="10"/>
    <n v="2003"/>
    <x v="3"/>
  </r>
  <r>
    <n v="10322"/>
    <s v="S18_2325"/>
    <x v="8"/>
    <x v="7"/>
    <x v="0"/>
    <x v="0"/>
    <s v="Large"/>
    <n v="6"/>
    <n v="50"/>
    <n v="100"/>
    <n v="127"/>
    <n v="12536.5"/>
    <n v="6186.5"/>
    <x v="8"/>
    <x v="0"/>
    <n v="4"/>
    <n v="11"/>
    <n v="2004"/>
    <x v="3"/>
  </r>
  <r>
    <n v="10114"/>
    <s v="S18_2432"/>
    <x v="40"/>
    <x v="9"/>
    <x v="3"/>
    <x v="1"/>
    <s v="Medium"/>
    <n v="6"/>
    <n v="45"/>
    <n v="68.67"/>
    <n v="60"/>
    <n v="3090.15"/>
    <n v="390.15"/>
    <x v="174"/>
    <x v="0"/>
    <n v="2"/>
    <n v="4"/>
    <n v="2003"/>
    <x v="2"/>
  </r>
  <r>
    <n v="10107"/>
    <s v="S18_2625"/>
    <x v="5"/>
    <x v="5"/>
    <x v="0"/>
    <x v="0"/>
    <s v="Small"/>
    <n v="6"/>
    <n v="29"/>
    <n v="70.87"/>
    <n v="60"/>
    <n v="2055.23"/>
    <n v="315.23"/>
    <x v="24"/>
    <x v="0"/>
    <n v="1"/>
    <n v="2"/>
    <n v="2003"/>
    <x v="0"/>
  </r>
  <r>
    <n v="10134"/>
    <s v="S18_2625"/>
    <x v="19"/>
    <x v="9"/>
    <x v="3"/>
    <x v="1"/>
    <s v="Small"/>
    <n v="6"/>
    <n v="30"/>
    <n v="61.78"/>
    <n v="60"/>
    <n v="1853.4"/>
    <n v="53.4"/>
    <x v="25"/>
    <x v="0"/>
    <n v="3"/>
    <n v="7"/>
    <n v="2003"/>
    <x v="0"/>
  </r>
  <r>
    <n v="10201"/>
    <s v="S18_2625"/>
    <x v="23"/>
    <x v="17"/>
    <x v="0"/>
    <x v="0"/>
    <s v="Small"/>
    <n v="6"/>
    <n v="30"/>
    <n v="64.81"/>
    <n v="60"/>
    <n v="1944.3"/>
    <n v="144.30000000000001"/>
    <x v="26"/>
    <x v="0"/>
    <n v="4"/>
    <n v="12"/>
    <n v="2003"/>
    <x v="0"/>
  </r>
  <r>
    <n v="10251"/>
    <s v="S18_2625"/>
    <x v="24"/>
    <x v="19"/>
    <x v="0"/>
    <x v="0"/>
    <s v="Small"/>
    <n v="6"/>
    <n v="29"/>
    <n v="61.18"/>
    <n v="60"/>
    <n v="1774.22"/>
    <n v="34.22"/>
    <x v="27"/>
    <x v="0"/>
    <n v="2"/>
    <n v="5"/>
    <n v="2004"/>
    <x v="0"/>
  </r>
  <r>
    <n v="10263"/>
    <s v="S18_2625"/>
    <x v="25"/>
    <x v="20"/>
    <x v="0"/>
    <x v="0"/>
    <s v="Small"/>
    <n v="6"/>
    <n v="34"/>
    <n v="58.75"/>
    <n v="60"/>
    <n v="1997.5"/>
    <n v="-42.5"/>
    <x v="28"/>
    <x v="0"/>
    <n v="2"/>
    <n v="6"/>
    <n v="2004"/>
    <x v="0"/>
  </r>
  <r>
    <n v="10417"/>
    <s v="S18_2625"/>
    <x v="26"/>
    <x v="21"/>
    <x v="8"/>
    <x v="1"/>
    <s v="Small"/>
    <n v="6"/>
    <n v="36"/>
    <n v="61.18"/>
    <n v="60"/>
    <n v="2202.48"/>
    <n v="42.48"/>
    <x v="30"/>
    <x v="1"/>
    <n v="2"/>
    <n v="5"/>
    <n v="2005"/>
    <x v="0"/>
  </r>
  <r>
    <n v="10347"/>
    <s v="S18_2795"/>
    <x v="2"/>
    <x v="2"/>
    <x v="2"/>
    <x v="2"/>
    <s v="Medium"/>
    <n v="6"/>
    <n v="21"/>
    <n v="100"/>
    <n v="168"/>
    <n v="4815.3"/>
    <n v="1287.3"/>
    <x v="9"/>
    <x v="0"/>
    <n v="4"/>
    <n v="11"/>
    <n v="2004"/>
    <x v="3"/>
  </r>
  <r>
    <n v="10357"/>
    <s v="S18_2949"/>
    <x v="43"/>
    <x v="34"/>
    <x v="0"/>
    <x v="0"/>
    <s v="Medium"/>
    <n v="6"/>
    <n v="41"/>
    <n v="87.13"/>
    <n v="101"/>
    <n v="3572.33"/>
    <n v="-568.66999999999996"/>
    <x v="54"/>
    <x v="0"/>
    <n v="4"/>
    <n v="12"/>
    <n v="2004"/>
    <x v="3"/>
  </r>
  <r>
    <n v="10391"/>
    <s v="S18_2949"/>
    <x v="47"/>
    <x v="38"/>
    <x v="2"/>
    <x v="2"/>
    <s v="Small"/>
    <n v="6"/>
    <n v="32"/>
    <n v="45.25"/>
    <n v="101"/>
    <n v="1448"/>
    <n v="-1784"/>
    <x v="165"/>
    <x v="0"/>
    <n v="1"/>
    <n v="3"/>
    <n v="2005"/>
    <x v="3"/>
  </r>
  <r>
    <n v="10215"/>
    <s v="S18_2957"/>
    <x v="79"/>
    <x v="62"/>
    <x v="0"/>
    <x v="0"/>
    <s v="Small"/>
    <n v="6"/>
    <n v="31"/>
    <n v="58.71"/>
    <n v="62"/>
    <n v="1820.01"/>
    <n v="-101.99"/>
    <x v="139"/>
    <x v="0"/>
    <n v="1"/>
    <n v="1"/>
    <n v="2004"/>
    <x v="3"/>
  </r>
  <r>
    <n v="10312"/>
    <s v="S18_2957"/>
    <x v="43"/>
    <x v="34"/>
    <x v="0"/>
    <x v="0"/>
    <s v="Small"/>
    <n v="6"/>
    <n v="35"/>
    <n v="53.72"/>
    <n v="62"/>
    <n v="1880.2"/>
    <n v="-289.8"/>
    <x v="140"/>
    <x v="0"/>
    <n v="4"/>
    <n v="10"/>
    <n v="2004"/>
    <x v="3"/>
  </r>
  <r>
    <n v="10369"/>
    <s v="S18_2957"/>
    <x v="53"/>
    <x v="25"/>
    <x v="0"/>
    <x v="0"/>
    <s v="Small"/>
    <n v="6"/>
    <n v="28"/>
    <n v="44.21"/>
    <n v="62"/>
    <n v="1237.8800000000001"/>
    <n v="-498.12"/>
    <x v="55"/>
    <x v="0"/>
    <n v="1"/>
    <n v="1"/>
    <n v="2005"/>
    <x v="3"/>
  </r>
  <r>
    <n v="10209"/>
    <s v="S18_3029"/>
    <x v="70"/>
    <x v="57"/>
    <x v="0"/>
    <x v="0"/>
    <s v="Small"/>
    <n v="6"/>
    <n v="28"/>
    <n v="100"/>
    <n v="86"/>
    <n v="2817.92"/>
    <n v="409.92"/>
    <x v="175"/>
    <x v="0"/>
    <n v="1"/>
    <n v="1"/>
    <n v="2004"/>
    <x v="5"/>
  </r>
  <r>
    <n v="10350"/>
    <s v="S18_3029"/>
    <x v="26"/>
    <x v="21"/>
    <x v="8"/>
    <x v="1"/>
    <s v="Small"/>
    <n v="6"/>
    <n v="43"/>
    <n v="64.97"/>
    <n v="86"/>
    <n v="2793.71"/>
    <n v="-904.29"/>
    <x v="111"/>
    <x v="0"/>
    <n v="4"/>
    <n v="12"/>
    <n v="2004"/>
    <x v="5"/>
  </r>
  <r>
    <n v="10232"/>
    <s v="S18_3140"/>
    <x v="84"/>
    <x v="66"/>
    <x v="15"/>
    <x v="1"/>
    <s v="Medium"/>
    <n v="6"/>
    <n v="22"/>
    <n v="100"/>
    <n v="136"/>
    <n v="3606.02"/>
    <n v="614.02"/>
    <x v="244"/>
    <x v="0"/>
    <n v="1"/>
    <n v="3"/>
    <n v="2004"/>
    <x v="3"/>
  </r>
  <r>
    <n v="10253"/>
    <s v="S18_3232"/>
    <x v="50"/>
    <x v="41"/>
    <x v="15"/>
    <x v="1"/>
    <s v="Medium"/>
    <n v="6"/>
    <n v="40"/>
    <n v="100"/>
    <n v="169"/>
    <n v="6773.6"/>
    <n v="13.6"/>
    <x v="65"/>
    <x v="3"/>
    <n v="2"/>
    <n v="6"/>
    <n v="2004"/>
    <x v="1"/>
  </r>
  <r>
    <n v="10349"/>
    <s v="S18_3232"/>
    <x v="34"/>
    <x v="5"/>
    <x v="0"/>
    <x v="0"/>
    <s v="Large"/>
    <n v="6"/>
    <n v="48"/>
    <n v="100"/>
    <n v="169"/>
    <n v="7396.8"/>
    <n v="-715.2"/>
    <x v="216"/>
    <x v="0"/>
    <n v="4"/>
    <n v="12"/>
    <n v="2004"/>
    <x v="1"/>
  </r>
  <r>
    <n v="10383"/>
    <s v="S18_3232"/>
    <x v="26"/>
    <x v="21"/>
    <x v="8"/>
    <x v="1"/>
    <s v="Medium"/>
    <n v="6"/>
    <n v="47"/>
    <n v="100"/>
    <n v="169"/>
    <n v="6869.05"/>
    <n v="-1073.95"/>
    <x v="132"/>
    <x v="0"/>
    <n v="1"/>
    <n v="2"/>
    <n v="2005"/>
    <x v="1"/>
  </r>
  <r>
    <n v="10419"/>
    <s v="S18_3232"/>
    <x v="32"/>
    <x v="26"/>
    <x v="11"/>
    <x v="1"/>
    <s v="Medium"/>
    <n v="6"/>
    <n v="35"/>
    <n v="100"/>
    <n v="169"/>
    <n v="5926.9"/>
    <n v="11.9"/>
    <x v="67"/>
    <x v="0"/>
    <n v="2"/>
    <n v="5"/>
    <n v="2005"/>
    <x v="1"/>
  </r>
  <r>
    <n v="10293"/>
    <s v="S18_3259"/>
    <x v="46"/>
    <x v="37"/>
    <x v="12"/>
    <x v="1"/>
    <s v="Small"/>
    <n v="6"/>
    <n v="22"/>
    <n v="100"/>
    <n v="100"/>
    <n v="2418.2399999999998"/>
    <n v="218.24"/>
    <x v="249"/>
    <x v="0"/>
    <n v="3"/>
    <n v="9"/>
    <n v="2004"/>
    <x v="6"/>
  </r>
  <r>
    <n v="10326"/>
    <s v="S18_3259"/>
    <x v="6"/>
    <x v="6"/>
    <x v="4"/>
    <x v="1"/>
    <s v="Medium"/>
    <n v="6"/>
    <n v="32"/>
    <n v="100"/>
    <n v="100"/>
    <n v="3807.68"/>
    <n v="607.67999999999995"/>
    <x v="227"/>
    <x v="0"/>
    <n v="4"/>
    <n v="11"/>
    <n v="2004"/>
    <x v="6"/>
  </r>
  <r>
    <n v="10191"/>
    <s v="S18_3278"/>
    <x v="29"/>
    <x v="23"/>
    <x v="9"/>
    <x v="1"/>
    <s v="Medium"/>
    <n v="6"/>
    <n v="36"/>
    <n v="94.88"/>
    <n v="80"/>
    <n v="3415.68"/>
    <n v="535.67999999999995"/>
    <x v="34"/>
    <x v="0"/>
    <n v="4"/>
    <n v="11"/>
    <n v="2003"/>
    <x v="1"/>
  </r>
  <r>
    <n v="10238"/>
    <s v="S18_3278"/>
    <x v="30"/>
    <x v="24"/>
    <x v="10"/>
    <x v="1"/>
    <s v="Small"/>
    <n v="6"/>
    <n v="41"/>
    <n v="73.17"/>
    <n v="80"/>
    <n v="2999.97"/>
    <n v="-280.02999999999997"/>
    <x v="35"/>
    <x v="0"/>
    <n v="2"/>
    <n v="4"/>
    <n v="2004"/>
    <x v="1"/>
  </r>
  <r>
    <n v="10276"/>
    <s v="S18_3278"/>
    <x v="31"/>
    <x v="25"/>
    <x v="0"/>
    <x v="0"/>
    <s v="Small"/>
    <n v="6"/>
    <n v="38"/>
    <n v="69.959999999999994"/>
    <n v="80"/>
    <n v="2658.48"/>
    <n v="-381.52"/>
    <x v="36"/>
    <x v="0"/>
    <n v="3"/>
    <n v="8"/>
    <n v="2004"/>
    <x v="1"/>
  </r>
  <r>
    <n v="10163"/>
    <s v="S18_3320"/>
    <x v="7"/>
    <x v="5"/>
    <x v="0"/>
    <x v="0"/>
    <s v="Medium"/>
    <n v="6"/>
    <n v="43"/>
    <n v="100"/>
    <n v="99"/>
    <n v="4991.4399999999996"/>
    <n v="734.44"/>
    <x v="7"/>
    <x v="0"/>
    <n v="4"/>
    <n v="10"/>
    <n v="2003"/>
    <x v="3"/>
  </r>
  <r>
    <n v="10226"/>
    <s v="S18_3685"/>
    <x v="80"/>
    <x v="63"/>
    <x v="0"/>
    <x v="0"/>
    <s v="Large"/>
    <n v="6"/>
    <n v="46"/>
    <n v="100"/>
    <n v="141"/>
    <n v="7343.9"/>
    <n v="857.9"/>
    <x v="145"/>
    <x v="0"/>
    <n v="1"/>
    <n v="2"/>
    <n v="2004"/>
    <x v="1"/>
  </r>
  <r>
    <n v="10301"/>
    <s v="S18_3685"/>
    <x v="60"/>
    <x v="49"/>
    <x v="1"/>
    <x v="1"/>
    <s v="Medium"/>
    <n v="6"/>
    <n v="39"/>
    <n v="100"/>
    <n v="141"/>
    <n v="6446.7"/>
    <n v="947.7"/>
    <x v="146"/>
    <x v="0"/>
    <n v="4"/>
    <n v="10"/>
    <n v="2003"/>
    <x v="1"/>
  </r>
  <r>
    <n v="10367"/>
    <s v="S18_3685"/>
    <x v="22"/>
    <x v="18"/>
    <x v="0"/>
    <x v="0"/>
    <s v="Medium"/>
    <n v="6"/>
    <n v="46"/>
    <n v="100"/>
    <n v="141"/>
    <n v="4808.38"/>
    <n v="-1677.62"/>
    <x v="66"/>
    <x v="4"/>
    <n v="1"/>
    <n v="1"/>
    <n v="2005"/>
    <x v="1"/>
  </r>
  <r>
    <n v="10167"/>
    <s v="S18_3856"/>
    <x v="51"/>
    <x v="42"/>
    <x v="4"/>
    <x v="1"/>
    <s v="Medium"/>
    <n v="6"/>
    <n v="34"/>
    <n v="100"/>
    <n v="105"/>
    <n v="3599.58"/>
    <n v="29.58"/>
    <x v="68"/>
    <x v="3"/>
    <n v="4"/>
    <n v="10"/>
    <n v="2003"/>
    <x v="3"/>
  </r>
  <r>
    <n v="10186"/>
    <s v="S18_3856"/>
    <x v="52"/>
    <x v="33"/>
    <x v="15"/>
    <x v="1"/>
    <s v="Medium"/>
    <n v="6"/>
    <n v="46"/>
    <n v="100"/>
    <n v="105"/>
    <n v="4918.78"/>
    <n v="88.78"/>
    <x v="69"/>
    <x v="0"/>
    <n v="4"/>
    <n v="11"/>
    <n v="2003"/>
    <x v="3"/>
  </r>
  <r>
    <n v="10307"/>
    <s v="S18_3856"/>
    <x v="18"/>
    <x v="8"/>
    <x v="0"/>
    <x v="0"/>
    <s v="Medium"/>
    <n v="6"/>
    <n v="48"/>
    <n v="86.81"/>
    <n v="105"/>
    <n v="4166.88"/>
    <n v="-873.12"/>
    <x v="71"/>
    <x v="0"/>
    <n v="4"/>
    <n v="10"/>
    <n v="2004"/>
    <x v="3"/>
  </r>
  <r>
    <n v="10328"/>
    <s v="S18_3856"/>
    <x v="67"/>
    <x v="54"/>
    <x v="12"/>
    <x v="1"/>
    <s v="Medium"/>
    <n v="6"/>
    <n v="34"/>
    <n v="100"/>
    <n v="105"/>
    <n v="3815.48"/>
    <n v="245.48"/>
    <x v="177"/>
    <x v="0"/>
    <n v="4"/>
    <n v="11"/>
    <n v="2004"/>
    <x v="3"/>
  </r>
  <r>
    <n v="10373"/>
    <s v="S18_3856"/>
    <x v="71"/>
    <x v="58"/>
    <x v="14"/>
    <x v="1"/>
    <s v="Medium"/>
    <n v="6"/>
    <n v="50"/>
    <n v="60.49"/>
    <n v="105"/>
    <n v="3024.5"/>
    <n v="-2225.5"/>
    <x v="250"/>
    <x v="0"/>
    <n v="1"/>
    <n v="1"/>
    <n v="2005"/>
    <x v="3"/>
  </r>
  <r>
    <n v="10386"/>
    <s v="S18_3856"/>
    <x v="26"/>
    <x v="21"/>
    <x v="8"/>
    <x v="1"/>
    <s v="Small"/>
    <n v="6"/>
    <n v="22"/>
    <n v="57.55"/>
    <n v="105"/>
    <n v="1266.0999999999999"/>
    <n v="-1043.9000000000001"/>
    <x v="178"/>
    <x v="4"/>
    <n v="1"/>
    <n v="3"/>
    <n v="2005"/>
    <x v="3"/>
  </r>
  <r>
    <n v="10400"/>
    <s v="S18_3856"/>
    <x v="55"/>
    <x v="44"/>
    <x v="0"/>
    <x v="0"/>
    <s v="Large"/>
    <n v="6"/>
    <n v="58"/>
    <n v="100"/>
    <n v="105"/>
    <n v="7307.42"/>
    <n v="1217.42"/>
    <x v="74"/>
    <x v="0"/>
    <n v="2"/>
    <n v="4"/>
    <n v="2005"/>
    <x v="3"/>
  </r>
  <r>
    <n v="10165"/>
    <s v="S18_4027"/>
    <x v="17"/>
    <x v="15"/>
    <x v="7"/>
    <x v="2"/>
    <s v="Medium"/>
    <n v="6"/>
    <n v="28"/>
    <n v="100"/>
    <n v="143"/>
    <n v="3337.6"/>
    <n v="-666.4"/>
    <x v="116"/>
    <x v="0"/>
    <n v="4"/>
    <n v="10"/>
    <n v="2003"/>
    <x v="1"/>
  </r>
  <r>
    <n v="10372"/>
    <s v="S18_4027"/>
    <x v="41"/>
    <x v="32"/>
    <x v="5"/>
    <x v="2"/>
    <s v="Large"/>
    <n v="6"/>
    <n v="48"/>
    <n v="100"/>
    <n v="143"/>
    <n v="7031.52"/>
    <n v="167.52"/>
    <x v="46"/>
    <x v="0"/>
    <n v="1"/>
    <n v="1"/>
    <n v="2005"/>
    <x v="1"/>
  </r>
  <r>
    <n v="10288"/>
    <s v="S18_4409"/>
    <x v="81"/>
    <x v="15"/>
    <x v="7"/>
    <x v="2"/>
    <s v="Small"/>
    <n v="6"/>
    <n v="35"/>
    <n v="80.989999999999995"/>
    <n v="92"/>
    <n v="2834.65"/>
    <n v="-385.35"/>
    <x v="158"/>
    <x v="0"/>
    <n v="3"/>
    <n v="9"/>
    <n v="2004"/>
    <x v="3"/>
  </r>
  <r>
    <n v="10420"/>
    <s v="S18_4409"/>
    <x v="64"/>
    <x v="51"/>
    <x v="2"/>
    <x v="2"/>
    <s v="Medium"/>
    <n v="6"/>
    <n v="66"/>
    <n v="92.95"/>
    <n v="92"/>
    <n v="6134.7"/>
    <n v="62.7"/>
    <x v="97"/>
    <x v="2"/>
    <n v="2"/>
    <n v="5"/>
    <n v="2005"/>
    <x v="3"/>
  </r>
  <r>
    <n v="10153"/>
    <s v="S18_4522"/>
    <x v="26"/>
    <x v="21"/>
    <x v="8"/>
    <x v="1"/>
    <s v="Small"/>
    <n v="6"/>
    <n v="22"/>
    <n v="83.38"/>
    <n v="87"/>
    <n v="1834.36"/>
    <n v="-79.64"/>
    <x v="226"/>
    <x v="0"/>
    <n v="3"/>
    <n v="9"/>
    <n v="2003"/>
    <x v="3"/>
  </r>
  <r>
    <n v="10370"/>
    <s v="S18_4600"/>
    <x v="47"/>
    <x v="38"/>
    <x v="2"/>
    <x v="2"/>
    <s v="Small"/>
    <n v="6"/>
    <n v="29"/>
    <n v="57.53"/>
    <n v="121"/>
    <n v="1668.37"/>
    <n v="-1840.63"/>
    <x v="55"/>
    <x v="0"/>
    <n v="1"/>
    <n v="1"/>
    <n v="2005"/>
    <x v="2"/>
  </r>
  <r>
    <n v="10150"/>
    <s v="S18_4668"/>
    <x v="17"/>
    <x v="15"/>
    <x v="7"/>
    <x v="2"/>
    <s v="Small"/>
    <n v="6"/>
    <n v="30"/>
    <n v="42.76"/>
    <n v="50"/>
    <n v="1282.8"/>
    <n v="-217.2"/>
    <x v="18"/>
    <x v="0"/>
    <n v="3"/>
    <n v="9"/>
    <n v="2003"/>
    <x v="3"/>
  </r>
  <r>
    <n v="10183"/>
    <s v="S18_4668"/>
    <x v="18"/>
    <x v="8"/>
    <x v="0"/>
    <x v="0"/>
    <s v="Small"/>
    <n v="6"/>
    <n v="40"/>
    <n v="49.3"/>
    <n v="50"/>
    <n v="1972"/>
    <n v="-28"/>
    <x v="19"/>
    <x v="0"/>
    <n v="4"/>
    <n v="11"/>
    <n v="2003"/>
    <x v="3"/>
  </r>
  <r>
    <n v="10324"/>
    <s v="S18_4668"/>
    <x v="28"/>
    <x v="5"/>
    <x v="0"/>
    <x v="0"/>
    <s v="Medium"/>
    <n v="6"/>
    <n v="38"/>
    <n v="100"/>
    <n v="50"/>
    <n v="6832.02"/>
    <n v="4932.0200000000004"/>
    <x v="33"/>
    <x v="0"/>
    <n v="4"/>
    <n v="11"/>
    <n v="2004"/>
    <x v="3"/>
  </r>
  <r>
    <n v="10348"/>
    <s v="S18_4668"/>
    <x v="63"/>
    <x v="21"/>
    <x v="8"/>
    <x v="1"/>
    <s v="Large"/>
    <n v="6"/>
    <n v="29"/>
    <n v="100"/>
    <n v="50"/>
    <n v="7110.8"/>
    <n v="5660.8"/>
    <x v="156"/>
    <x v="0"/>
    <n v="4"/>
    <n v="11"/>
    <n v="2004"/>
    <x v="3"/>
  </r>
  <r>
    <n v="10204"/>
    <s v="S18_4933"/>
    <x v="34"/>
    <x v="5"/>
    <x v="0"/>
    <x v="0"/>
    <s v="Medium"/>
    <n v="6"/>
    <n v="45"/>
    <n v="76.260000000000005"/>
    <n v="71"/>
    <n v="3431.7"/>
    <n v="236.7"/>
    <x v="86"/>
    <x v="0"/>
    <n v="4"/>
    <n v="12"/>
    <n v="2003"/>
    <x v="1"/>
  </r>
  <r>
    <n v="10148"/>
    <s v="S24_1046"/>
    <x v="47"/>
    <x v="38"/>
    <x v="2"/>
    <x v="2"/>
    <s v="Small"/>
    <n v="6"/>
    <n v="25"/>
    <n v="60.26"/>
    <n v="73"/>
    <n v="1506.5"/>
    <n v="-318.5"/>
    <x v="134"/>
    <x v="0"/>
    <n v="3"/>
    <n v="9"/>
    <n v="2003"/>
    <x v="1"/>
  </r>
  <r>
    <n v="10311"/>
    <s v="S24_1046"/>
    <x v="26"/>
    <x v="21"/>
    <x v="8"/>
    <x v="1"/>
    <s v="Small"/>
    <n v="6"/>
    <n v="26"/>
    <n v="87.45"/>
    <n v="73"/>
    <n v="2273.6999999999998"/>
    <n v="375.7"/>
    <x v="81"/>
    <x v="0"/>
    <n v="4"/>
    <n v="10"/>
    <n v="2004"/>
    <x v="1"/>
  </r>
  <r>
    <n v="10104"/>
    <s v="S24_1444"/>
    <x v="26"/>
    <x v="21"/>
    <x v="8"/>
    <x v="1"/>
    <s v="Small"/>
    <n v="6"/>
    <n v="35"/>
    <n v="55.49"/>
    <n v="57"/>
    <n v="1942.15"/>
    <n v="-52.85"/>
    <x v="31"/>
    <x v="0"/>
    <n v="1"/>
    <n v="1"/>
    <n v="2003"/>
    <x v="1"/>
  </r>
  <r>
    <n v="10230"/>
    <s v="S24_1444"/>
    <x v="27"/>
    <x v="22"/>
    <x v="9"/>
    <x v="1"/>
    <s v="Small"/>
    <n v="6"/>
    <n v="36"/>
    <n v="54.33"/>
    <n v="57"/>
    <n v="1955.88"/>
    <n v="-96.12"/>
    <x v="32"/>
    <x v="0"/>
    <n v="1"/>
    <n v="3"/>
    <n v="2004"/>
    <x v="1"/>
  </r>
  <r>
    <n v="10309"/>
    <s v="S24_1578"/>
    <x v="39"/>
    <x v="31"/>
    <x v="1"/>
    <x v="1"/>
    <s v="Small"/>
    <n v="6"/>
    <n v="21"/>
    <n v="100"/>
    <n v="112"/>
    <n v="2650.62"/>
    <n v="298.62"/>
    <x v="14"/>
    <x v="0"/>
    <n v="4"/>
    <n v="10"/>
    <n v="2004"/>
    <x v="0"/>
  </r>
  <r>
    <n v="10374"/>
    <s v="S24_1578"/>
    <x v="14"/>
    <x v="12"/>
    <x v="2"/>
    <x v="2"/>
    <s v="Medium"/>
    <n v="6"/>
    <n v="38"/>
    <n v="100"/>
    <n v="112"/>
    <n v="4197.1000000000004"/>
    <n v="-58.9"/>
    <x v="15"/>
    <x v="0"/>
    <n v="1"/>
    <n v="2"/>
    <n v="2005"/>
    <x v="0"/>
  </r>
  <r>
    <n v="10192"/>
    <s v="S24_1628"/>
    <x v="8"/>
    <x v="7"/>
    <x v="0"/>
    <x v="0"/>
    <s v="Small"/>
    <n v="6"/>
    <n v="47"/>
    <n v="53.83"/>
    <n v="50"/>
    <n v="2530.0100000000002"/>
    <n v="180.01"/>
    <x v="34"/>
    <x v="0"/>
    <n v="4"/>
    <n v="11"/>
    <n v="2003"/>
    <x v="1"/>
  </r>
  <r>
    <n v="10343"/>
    <s v="S24_1628"/>
    <x v="82"/>
    <x v="64"/>
    <x v="3"/>
    <x v="1"/>
    <s v="Small"/>
    <n v="6"/>
    <n v="27"/>
    <n v="36.21"/>
    <n v="50"/>
    <n v="977.67"/>
    <n v="-372.33"/>
    <x v="38"/>
    <x v="0"/>
    <n v="4"/>
    <n v="11"/>
    <n v="2004"/>
    <x v="1"/>
  </r>
  <r>
    <n v="10250"/>
    <s v="S24_1785"/>
    <x v="55"/>
    <x v="44"/>
    <x v="0"/>
    <x v="0"/>
    <s v="Small"/>
    <n v="6"/>
    <n v="31"/>
    <n v="88.63"/>
    <n v="109"/>
    <n v="2747.53"/>
    <n v="-631.47"/>
    <x v="161"/>
    <x v="0"/>
    <n v="2"/>
    <n v="5"/>
    <n v="2004"/>
    <x v="4"/>
  </r>
  <r>
    <n v="10297"/>
    <s v="S24_1785"/>
    <x v="36"/>
    <x v="29"/>
    <x v="13"/>
    <x v="1"/>
    <s v="Medium"/>
    <n v="6"/>
    <n v="32"/>
    <n v="100"/>
    <n v="109"/>
    <n v="4061.76"/>
    <n v="573.76"/>
    <x v="162"/>
    <x v="0"/>
    <n v="3"/>
    <n v="9"/>
    <n v="2004"/>
    <x v="4"/>
  </r>
  <r>
    <n v="10416"/>
    <s v="S24_1785"/>
    <x v="35"/>
    <x v="28"/>
    <x v="12"/>
    <x v="1"/>
    <s v="Medium"/>
    <n v="6"/>
    <n v="47"/>
    <n v="88.63"/>
    <n v="109"/>
    <n v="4165.6099999999997"/>
    <n v="-957.39"/>
    <x v="163"/>
    <x v="0"/>
    <n v="2"/>
    <n v="5"/>
    <n v="2005"/>
    <x v="4"/>
  </r>
  <r>
    <n v="10182"/>
    <s v="S24_1937"/>
    <x v="43"/>
    <x v="34"/>
    <x v="0"/>
    <x v="0"/>
    <s v="Small"/>
    <n v="6"/>
    <n v="39"/>
    <n v="36.840000000000003"/>
    <n v="33"/>
    <n v="1436.76"/>
    <n v="149.76"/>
    <x v="117"/>
    <x v="0"/>
    <n v="4"/>
    <n v="11"/>
    <n v="2003"/>
    <x v="3"/>
  </r>
  <r>
    <n v="10227"/>
    <s v="S24_1937"/>
    <x v="73"/>
    <x v="59"/>
    <x v="3"/>
    <x v="1"/>
    <s v="Small"/>
    <n v="6"/>
    <n v="42"/>
    <n v="29.21"/>
    <n v="33"/>
    <n v="1226.82"/>
    <n v="-159.18"/>
    <x v="118"/>
    <x v="0"/>
    <n v="1"/>
    <n v="3"/>
    <n v="2004"/>
    <x v="3"/>
  </r>
  <r>
    <n v="10332"/>
    <s v="S24_1937"/>
    <x v="62"/>
    <x v="50"/>
    <x v="15"/>
    <x v="1"/>
    <s v="Medium"/>
    <n v="6"/>
    <n v="45"/>
    <n v="81.91"/>
    <n v="33"/>
    <n v="3685.95"/>
    <n v="2200.9499999999998"/>
    <x v="95"/>
    <x v="0"/>
    <n v="4"/>
    <n v="11"/>
    <n v="2004"/>
    <x v="3"/>
  </r>
  <r>
    <n v="10344"/>
    <s v="S24_1937"/>
    <x v="56"/>
    <x v="45"/>
    <x v="3"/>
    <x v="1"/>
    <s v="Small"/>
    <n v="6"/>
    <n v="20"/>
    <n v="35.18"/>
    <n v="33"/>
    <n v="703.6"/>
    <n v="43.6"/>
    <x v="76"/>
    <x v="0"/>
    <n v="4"/>
    <n v="11"/>
    <n v="2004"/>
    <x v="3"/>
  </r>
  <r>
    <n v="10168"/>
    <s v="S24_2000"/>
    <x v="0"/>
    <x v="0"/>
    <x v="0"/>
    <x v="0"/>
    <s v="Small"/>
    <n v="6"/>
    <n v="29"/>
    <n v="75.41"/>
    <n v="76"/>
    <n v="2186.89"/>
    <n v="-17.11"/>
    <x v="0"/>
    <x v="0"/>
    <n v="4"/>
    <n v="10"/>
    <n v="2003"/>
    <x v="0"/>
  </r>
  <r>
    <n v="10188"/>
    <s v="S24_2000"/>
    <x v="1"/>
    <x v="1"/>
    <x v="1"/>
    <x v="1"/>
    <s v="Medium"/>
    <n v="6"/>
    <n v="40"/>
    <n v="91.4"/>
    <n v="76"/>
    <n v="3656"/>
    <n v="616"/>
    <x v="1"/>
    <x v="0"/>
    <n v="4"/>
    <n v="11"/>
    <n v="2003"/>
    <x v="0"/>
  </r>
  <r>
    <n v="10223"/>
    <s v="S24_2000"/>
    <x v="2"/>
    <x v="2"/>
    <x v="2"/>
    <x v="2"/>
    <s v="Small"/>
    <n v="6"/>
    <n v="38"/>
    <n v="69.31"/>
    <n v="76"/>
    <n v="2633.78"/>
    <n v="-254.22"/>
    <x v="2"/>
    <x v="0"/>
    <n v="1"/>
    <n v="2"/>
    <n v="2004"/>
    <x v="0"/>
  </r>
  <r>
    <n v="10275"/>
    <s v="S24_2000"/>
    <x v="3"/>
    <x v="3"/>
    <x v="3"/>
    <x v="1"/>
    <s v="Small"/>
    <n v="6"/>
    <n v="30"/>
    <n v="79.98"/>
    <n v="76"/>
    <n v="2399.4"/>
    <n v="119.4"/>
    <x v="3"/>
    <x v="0"/>
    <n v="3"/>
    <n v="7"/>
    <n v="2004"/>
    <x v="0"/>
  </r>
  <r>
    <n v="10318"/>
    <s v="S24_2000"/>
    <x v="4"/>
    <x v="4"/>
    <x v="0"/>
    <x v="0"/>
    <s v="Small"/>
    <n v="6"/>
    <n v="26"/>
    <n v="86.83"/>
    <n v="76"/>
    <n v="2257.58"/>
    <n v="281.58"/>
    <x v="4"/>
    <x v="0"/>
    <n v="4"/>
    <n v="11"/>
    <n v="2004"/>
    <x v="0"/>
  </r>
  <r>
    <n v="10142"/>
    <s v="S24_2011"/>
    <x v="43"/>
    <x v="34"/>
    <x v="0"/>
    <x v="0"/>
    <s v="Medium"/>
    <n v="6"/>
    <n v="33"/>
    <n v="100"/>
    <n v="122"/>
    <n v="3366"/>
    <n v="-660"/>
    <x v="182"/>
    <x v="0"/>
    <n v="3"/>
    <n v="8"/>
    <n v="2003"/>
    <x v="5"/>
  </r>
  <r>
    <n v="10315"/>
    <s v="S24_2011"/>
    <x v="3"/>
    <x v="3"/>
    <x v="3"/>
    <x v="1"/>
    <s v="Medium"/>
    <n v="6"/>
    <n v="35"/>
    <n v="100"/>
    <n v="122"/>
    <n v="4215.05"/>
    <n v="-54.95"/>
    <x v="183"/>
    <x v="0"/>
    <n v="4"/>
    <n v="10"/>
    <n v="2004"/>
    <x v="5"/>
  </r>
  <r>
    <n v="10396"/>
    <s v="S24_2011"/>
    <x v="43"/>
    <x v="34"/>
    <x v="0"/>
    <x v="0"/>
    <s v="Medium"/>
    <n v="6"/>
    <n v="49"/>
    <n v="100"/>
    <n v="122"/>
    <n v="5720.75"/>
    <n v="-257.25"/>
    <x v="229"/>
    <x v="0"/>
    <n v="1"/>
    <n v="3"/>
    <n v="2005"/>
    <x v="5"/>
  </r>
  <r>
    <n v="10149"/>
    <s v="S24_2022"/>
    <x v="58"/>
    <x v="47"/>
    <x v="0"/>
    <x v="0"/>
    <s v="Small"/>
    <n v="6"/>
    <n v="49"/>
    <n v="49.28"/>
    <n v="44"/>
    <n v="2414.7199999999998"/>
    <n v="258.72000000000003"/>
    <x v="198"/>
    <x v="0"/>
    <n v="3"/>
    <n v="9"/>
    <n v="2003"/>
    <x v="3"/>
  </r>
  <r>
    <n v="10175"/>
    <s v="S24_2300"/>
    <x v="42"/>
    <x v="33"/>
    <x v="15"/>
    <x v="1"/>
    <s v="Small"/>
    <n v="6"/>
    <n v="28"/>
    <n v="100"/>
    <n v="127"/>
    <n v="2969.96"/>
    <n v="-586.04"/>
    <x v="21"/>
    <x v="0"/>
    <n v="4"/>
    <n v="11"/>
    <n v="2003"/>
    <x v="2"/>
  </r>
  <r>
    <n v="10229"/>
    <s v="S24_2300"/>
    <x v="43"/>
    <x v="34"/>
    <x v="0"/>
    <x v="0"/>
    <s v="Medium"/>
    <n v="6"/>
    <n v="48"/>
    <n v="100"/>
    <n v="127"/>
    <n v="5704.32"/>
    <n v="-391.68"/>
    <x v="48"/>
    <x v="0"/>
    <n v="1"/>
    <n v="3"/>
    <n v="2004"/>
    <x v="2"/>
  </r>
  <r>
    <n v="10281"/>
    <s v="S24_2300"/>
    <x v="4"/>
    <x v="4"/>
    <x v="0"/>
    <x v="0"/>
    <s v="Small"/>
    <n v="6"/>
    <n v="25"/>
    <n v="100"/>
    <n v="127"/>
    <n v="2779.5"/>
    <n v="-395.5"/>
    <x v="49"/>
    <x v="0"/>
    <n v="3"/>
    <n v="8"/>
    <n v="2004"/>
    <x v="2"/>
  </r>
  <r>
    <n v="10180"/>
    <s v="S24_2360"/>
    <x v="75"/>
    <x v="61"/>
    <x v="3"/>
    <x v="1"/>
    <s v="Small"/>
    <n v="6"/>
    <n v="35"/>
    <n v="72.03"/>
    <n v="69"/>
    <n v="2521.0500000000002"/>
    <n v="106.05"/>
    <x v="202"/>
    <x v="0"/>
    <n v="4"/>
    <n v="11"/>
    <n v="2003"/>
    <x v="0"/>
  </r>
  <r>
    <n v="10264"/>
    <s v="S24_2360"/>
    <x v="16"/>
    <x v="14"/>
    <x v="0"/>
    <x v="0"/>
    <s v="Small"/>
    <n v="6"/>
    <n v="37"/>
    <n v="65.099999999999994"/>
    <n v="69"/>
    <n v="2408.6999999999998"/>
    <n v="-144.30000000000001"/>
    <x v="203"/>
    <x v="0"/>
    <n v="2"/>
    <n v="6"/>
    <n v="2004"/>
    <x v="0"/>
  </r>
  <r>
    <n v="10299"/>
    <s v="S24_2360"/>
    <x v="44"/>
    <x v="35"/>
    <x v="14"/>
    <x v="1"/>
    <s v="Small"/>
    <n v="6"/>
    <n v="33"/>
    <n v="66.489999999999995"/>
    <n v="69"/>
    <n v="2194.17"/>
    <n v="-82.83"/>
    <x v="204"/>
    <x v="0"/>
    <n v="3"/>
    <n v="9"/>
    <n v="2004"/>
    <x v="0"/>
  </r>
  <r>
    <n v="10341"/>
    <s v="S24_2360"/>
    <x v="32"/>
    <x v="26"/>
    <x v="11"/>
    <x v="1"/>
    <s v="Medium"/>
    <n v="6"/>
    <n v="32"/>
    <n v="100"/>
    <n v="69"/>
    <n v="3307.2"/>
    <n v="1099.2"/>
    <x v="38"/>
    <x v="0"/>
    <n v="4"/>
    <n v="11"/>
    <n v="2004"/>
    <x v="0"/>
  </r>
  <r>
    <n v="10241"/>
    <s v="S24_2766"/>
    <x v="59"/>
    <x v="48"/>
    <x v="3"/>
    <x v="1"/>
    <s v="Medium"/>
    <n v="6"/>
    <n v="47"/>
    <n v="94.5"/>
    <n v="90"/>
    <n v="4441.5"/>
    <n v="211.5"/>
    <x v="83"/>
    <x v="0"/>
    <n v="2"/>
    <n v="4"/>
    <n v="2004"/>
    <x v="1"/>
  </r>
  <r>
    <n v="10380"/>
    <s v="S24_2766"/>
    <x v="26"/>
    <x v="21"/>
    <x v="8"/>
    <x v="1"/>
    <s v="Small"/>
    <n v="6"/>
    <n v="36"/>
    <n v="37.5"/>
    <n v="90"/>
    <n v="1350"/>
    <n v="-1890"/>
    <x v="136"/>
    <x v="0"/>
    <n v="1"/>
    <n v="2"/>
    <n v="2005"/>
    <x v="1"/>
  </r>
  <r>
    <n v="10407"/>
    <s v="S24_2766"/>
    <x v="55"/>
    <x v="44"/>
    <x v="0"/>
    <x v="0"/>
    <s v="Large"/>
    <n v="6"/>
    <n v="76"/>
    <n v="94.5"/>
    <n v="90"/>
    <n v="7182"/>
    <n v="342"/>
    <x v="85"/>
    <x v="5"/>
    <n v="2"/>
    <n v="4"/>
    <n v="2005"/>
    <x v="1"/>
  </r>
  <r>
    <n v="10141"/>
    <s v="S24_2840"/>
    <x v="38"/>
    <x v="30"/>
    <x v="14"/>
    <x v="1"/>
    <s v="Small"/>
    <n v="6"/>
    <n v="21"/>
    <n v="42.43"/>
    <n v="35"/>
    <n v="891.03"/>
    <n v="156.03"/>
    <x v="195"/>
    <x v="0"/>
    <n v="3"/>
    <n v="8"/>
    <n v="2003"/>
    <x v="1"/>
  </r>
  <r>
    <n v="10246"/>
    <s v="S24_2840"/>
    <x v="26"/>
    <x v="21"/>
    <x v="8"/>
    <x v="1"/>
    <s v="Small"/>
    <n v="6"/>
    <n v="49"/>
    <n v="36.07"/>
    <n v="35"/>
    <n v="1767.43"/>
    <n v="52.43"/>
    <x v="43"/>
    <x v="0"/>
    <n v="2"/>
    <n v="5"/>
    <n v="2004"/>
    <x v="1"/>
  </r>
  <r>
    <n v="10271"/>
    <s v="S24_2840"/>
    <x v="43"/>
    <x v="34"/>
    <x v="0"/>
    <x v="0"/>
    <s v="Small"/>
    <n v="6"/>
    <n v="38"/>
    <n v="41.72"/>
    <n v="35"/>
    <n v="1585.36"/>
    <n v="255.36"/>
    <x v="44"/>
    <x v="0"/>
    <n v="3"/>
    <n v="7"/>
    <n v="2004"/>
    <x v="1"/>
  </r>
  <r>
    <n v="10305"/>
    <s v="S24_2840"/>
    <x v="87"/>
    <x v="36"/>
    <x v="0"/>
    <x v="0"/>
    <s v="Small"/>
    <n v="6"/>
    <n v="48"/>
    <n v="31.47"/>
    <n v="35"/>
    <n v="1510.56"/>
    <n v="-169.44"/>
    <x v="196"/>
    <x v="0"/>
    <n v="4"/>
    <n v="10"/>
    <n v="2004"/>
    <x v="1"/>
  </r>
  <r>
    <n v="10394"/>
    <s v="S24_2840"/>
    <x v="26"/>
    <x v="21"/>
    <x v="8"/>
    <x v="1"/>
    <s v="Small"/>
    <n v="6"/>
    <n v="46"/>
    <n v="38.9"/>
    <n v="35"/>
    <n v="1789.4"/>
    <n v="179.4"/>
    <x v="133"/>
    <x v="0"/>
    <n v="1"/>
    <n v="3"/>
    <n v="2005"/>
    <x v="1"/>
  </r>
  <r>
    <n v="10412"/>
    <s v="S24_2840"/>
    <x v="26"/>
    <x v="21"/>
    <x v="8"/>
    <x v="1"/>
    <s v="Small"/>
    <n v="6"/>
    <n v="30"/>
    <n v="36.07"/>
    <n v="35"/>
    <n v="1082.0999999999999"/>
    <n v="32.1"/>
    <x v="197"/>
    <x v="0"/>
    <n v="2"/>
    <n v="5"/>
    <n v="2005"/>
    <x v="1"/>
  </r>
  <r>
    <n v="10155"/>
    <s v="S24_2841"/>
    <x v="44"/>
    <x v="35"/>
    <x v="14"/>
    <x v="1"/>
    <s v="Small"/>
    <n v="6"/>
    <n v="23"/>
    <n v="72.62"/>
    <n v="68"/>
    <n v="1670.26"/>
    <n v="106.26"/>
    <x v="75"/>
    <x v="0"/>
    <n v="4"/>
    <n v="10"/>
    <n v="2003"/>
    <x v="4"/>
  </r>
  <r>
    <n v="10109"/>
    <s v="S24_2972"/>
    <x v="9"/>
    <x v="8"/>
    <x v="0"/>
    <x v="0"/>
    <s v="Small"/>
    <n v="6"/>
    <n v="29"/>
    <n v="32.1"/>
    <n v="37"/>
    <n v="930.9"/>
    <n v="-142.1"/>
    <x v="98"/>
    <x v="0"/>
    <n v="1"/>
    <n v="3"/>
    <n v="2003"/>
    <x v="1"/>
  </r>
  <r>
    <n v="10287"/>
    <s v="S24_2972"/>
    <x v="48"/>
    <x v="39"/>
    <x v="16"/>
    <x v="1"/>
    <s v="Small"/>
    <n v="6"/>
    <n v="36"/>
    <n v="39.65"/>
    <n v="37"/>
    <n v="1427.4"/>
    <n v="95.4"/>
    <x v="99"/>
    <x v="0"/>
    <n v="3"/>
    <n v="8"/>
    <n v="2004"/>
    <x v="1"/>
  </r>
  <r>
    <n v="10273"/>
    <s v="S24_3151"/>
    <x v="66"/>
    <x v="53"/>
    <x v="17"/>
    <x v="1"/>
    <s v="Small"/>
    <n v="6"/>
    <n v="27"/>
    <n v="100"/>
    <n v="88"/>
    <n v="2796.12"/>
    <n v="420.12"/>
    <x v="70"/>
    <x v="0"/>
    <n v="3"/>
    <n v="7"/>
    <n v="2004"/>
    <x v="3"/>
  </r>
  <r>
    <n v="10302"/>
    <s v="S24_3191"/>
    <x v="50"/>
    <x v="41"/>
    <x v="15"/>
    <x v="1"/>
    <s v="Medium"/>
    <n v="6"/>
    <n v="48"/>
    <n v="74.48"/>
    <n v="85"/>
    <n v="3575.04"/>
    <n v="-504.96"/>
    <x v="75"/>
    <x v="0"/>
    <n v="4"/>
    <n v="10"/>
    <n v="2003"/>
    <x v="1"/>
  </r>
  <r>
    <n v="10135"/>
    <s v="S24_3371"/>
    <x v="43"/>
    <x v="34"/>
    <x v="0"/>
    <x v="0"/>
    <s v="Small"/>
    <n v="6"/>
    <n v="27"/>
    <n v="66.13"/>
    <n v="61"/>
    <n v="1785.51"/>
    <n v="138.51"/>
    <x v="180"/>
    <x v="0"/>
    <n v="3"/>
    <n v="7"/>
    <n v="2003"/>
    <x v="1"/>
  </r>
  <r>
    <n v="10147"/>
    <s v="S24_3371"/>
    <x v="53"/>
    <x v="25"/>
    <x v="0"/>
    <x v="0"/>
    <s v="Small"/>
    <n v="6"/>
    <n v="30"/>
    <n v="68.58"/>
    <n v="61"/>
    <n v="2057.4"/>
    <n v="227.4"/>
    <x v="181"/>
    <x v="0"/>
    <n v="3"/>
    <n v="9"/>
    <n v="2003"/>
    <x v="1"/>
  </r>
  <r>
    <n v="10355"/>
    <s v="S24_3371"/>
    <x v="26"/>
    <x v="21"/>
    <x v="8"/>
    <x v="1"/>
    <s v="Small"/>
    <n v="6"/>
    <n v="44"/>
    <n v="62.45"/>
    <n v="61"/>
    <n v="2747.8"/>
    <n v="63.8"/>
    <x v="127"/>
    <x v="0"/>
    <n v="4"/>
    <n v="12"/>
    <n v="2004"/>
    <x v="1"/>
  </r>
  <r>
    <n v="10378"/>
    <s v="S24_3371"/>
    <x v="26"/>
    <x v="21"/>
    <x v="8"/>
    <x v="1"/>
    <s v="Small"/>
    <n v="6"/>
    <n v="46"/>
    <n v="41.54"/>
    <n v="61"/>
    <n v="1910.84"/>
    <n v="-895.16"/>
    <x v="84"/>
    <x v="0"/>
    <n v="1"/>
    <n v="2"/>
    <n v="2005"/>
    <x v="1"/>
  </r>
  <r>
    <n v="10390"/>
    <s v="S24_3371"/>
    <x v="43"/>
    <x v="34"/>
    <x v="0"/>
    <x v="0"/>
    <s v="Small"/>
    <n v="6"/>
    <n v="46"/>
    <n v="52.84"/>
    <n v="61"/>
    <n v="2430.64"/>
    <n v="-375.36"/>
    <x v="122"/>
    <x v="0"/>
    <n v="1"/>
    <n v="3"/>
    <n v="2005"/>
    <x v="1"/>
  </r>
  <r>
    <n v="10131"/>
    <s v="S24_3420"/>
    <x v="61"/>
    <x v="27"/>
    <x v="0"/>
    <x v="0"/>
    <s v="Small"/>
    <n v="6"/>
    <n v="29"/>
    <n v="59.18"/>
    <n v="65"/>
    <n v="1716.22"/>
    <n v="-168.78"/>
    <x v="129"/>
    <x v="0"/>
    <n v="2"/>
    <n v="6"/>
    <n v="2003"/>
    <x v="3"/>
  </r>
  <r>
    <n v="10178"/>
    <s v="S24_3420"/>
    <x v="57"/>
    <x v="46"/>
    <x v="3"/>
    <x v="1"/>
    <s v="Small"/>
    <n v="6"/>
    <n v="27"/>
    <n v="73.64"/>
    <n v="65"/>
    <n v="1988.28"/>
    <n v="233.28"/>
    <x v="231"/>
    <x v="0"/>
    <n v="4"/>
    <n v="11"/>
    <n v="2003"/>
    <x v="3"/>
  </r>
  <r>
    <n v="10198"/>
    <s v="S24_3420"/>
    <x v="85"/>
    <x v="67"/>
    <x v="18"/>
    <x v="2"/>
    <s v="Small"/>
    <n v="6"/>
    <n v="27"/>
    <n v="71.67"/>
    <n v="65"/>
    <n v="1935.09"/>
    <n v="180.09"/>
    <x v="232"/>
    <x v="0"/>
    <n v="4"/>
    <n v="11"/>
    <n v="2003"/>
    <x v="3"/>
  </r>
  <r>
    <n v="10222"/>
    <s v="S24_3420"/>
    <x v="80"/>
    <x v="63"/>
    <x v="0"/>
    <x v="0"/>
    <s v="Medium"/>
    <n v="6"/>
    <n v="43"/>
    <n v="70.349999999999994"/>
    <n v="65"/>
    <n v="3025.05"/>
    <n v="230.05"/>
    <x v="233"/>
    <x v="0"/>
    <n v="1"/>
    <n v="2"/>
    <n v="2004"/>
    <x v="3"/>
  </r>
  <r>
    <n v="10361"/>
    <s v="S24_3420"/>
    <x v="64"/>
    <x v="51"/>
    <x v="2"/>
    <x v="2"/>
    <s v="Medium"/>
    <n v="6"/>
    <n v="34"/>
    <n v="100"/>
    <n v="65"/>
    <n v="3871.92"/>
    <n v="1661.92"/>
    <x v="201"/>
    <x v="0"/>
    <n v="4"/>
    <n v="12"/>
    <n v="2004"/>
    <x v="3"/>
  </r>
  <r>
    <n v="10161"/>
    <s v="S24_3432"/>
    <x v="69"/>
    <x v="56"/>
    <x v="10"/>
    <x v="1"/>
    <s v="Medium"/>
    <n v="6"/>
    <n v="30"/>
    <n v="100"/>
    <n v="107"/>
    <n v="3148.2"/>
    <n v="-61.8"/>
    <x v="142"/>
    <x v="0"/>
    <n v="4"/>
    <n v="10"/>
    <n v="2003"/>
    <x v="1"/>
  </r>
  <r>
    <n v="10267"/>
    <s v="S24_3432"/>
    <x v="34"/>
    <x v="5"/>
    <x v="0"/>
    <x v="0"/>
    <s v="Medium"/>
    <n v="6"/>
    <n v="43"/>
    <n v="100"/>
    <n v="107"/>
    <n v="5110.9799999999996"/>
    <n v="509.98"/>
    <x v="143"/>
    <x v="0"/>
    <n v="3"/>
    <n v="7"/>
    <n v="2004"/>
    <x v="1"/>
  </r>
  <r>
    <n v="10279"/>
    <s v="S24_3432"/>
    <x v="26"/>
    <x v="21"/>
    <x v="8"/>
    <x v="1"/>
    <s v="Medium"/>
    <n v="6"/>
    <n v="48"/>
    <n v="100"/>
    <n v="107"/>
    <n v="6168"/>
    <n v="1032"/>
    <x v="144"/>
    <x v="0"/>
    <n v="3"/>
    <n v="8"/>
    <n v="2004"/>
    <x v="1"/>
  </r>
  <r>
    <n v="10346"/>
    <s v="S24_3432"/>
    <x v="83"/>
    <x v="65"/>
    <x v="0"/>
    <x v="0"/>
    <s v="Small"/>
    <n v="6"/>
    <n v="26"/>
    <n v="95.88"/>
    <n v="107"/>
    <n v="2492.88"/>
    <n v="-289.12"/>
    <x v="9"/>
    <x v="0"/>
    <n v="4"/>
    <n v="11"/>
    <n v="2004"/>
    <x v="1"/>
  </r>
  <r>
    <n v="10342"/>
    <s v="S24_3856"/>
    <x v="2"/>
    <x v="2"/>
    <x v="2"/>
    <x v="2"/>
    <s v="Medium"/>
    <n v="6"/>
    <n v="42"/>
    <n v="100"/>
    <n v="140"/>
    <n v="5013.54"/>
    <n v="-866.46"/>
    <x v="38"/>
    <x v="0"/>
    <n v="4"/>
    <n v="11"/>
    <n v="2004"/>
    <x v="1"/>
  </r>
  <r>
    <n v="10143"/>
    <s v="S24_3949"/>
    <x v="49"/>
    <x v="40"/>
    <x v="0"/>
    <x v="0"/>
    <s v="Small"/>
    <n v="6"/>
    <n v="28"/>
    <n v="66.19"/>
    <n v="68"/>
    <n v="1853.32"/>
    <n v="-50.68"/>
    <x v="221"/>
    <x v="0"/>
    <n v="3"/>
    <n v="8"/>
    <n v="2003"/>
    <x v="4"/>
  </r>
  <r>
    <n v="10296"/>
    <s v="S24_3949"/>
    <x v="91"/>
    <x v="72"/>
    <x v="9"/>
    <x v="1"/>
    <s v="Small"/>
    <n v="6"/>
    <n v="32"/>
    <n v="71.650000000000006"/>
    <n v="68"/>
    <n v="2292.8000000000002"/>
    <n v="116.8"/>
    <x v="223"/>
    <x v="0"/>
    <n v="3"/>
    <n v="9"/>
    <n v="2004"/>
    <x v="4"/>
  </r>
  <r>
    <n v="10228"/>
    <s v="S24_4258"/>
    <x v="45"/>
    <x v="36"/>
    <x v="0"/>
    <x v="0"/>
    <s v="Medium"/>
    <n v="6"/>
    <n v="33"/>
    <n v="100"/>
    <n v="97"/>
    <n v="3406.59"/>
    <n v="205.59"/>
    <x v="52"/>
    <x v="0"/>
    <n v="1"/>
    <n v="3"/>
    <n v="2004"/>
    <x v="3"/>
  </r>
  <r>
    <n v="10280"/>
    <s v="S24_4258"/>
    <x v="46"/>
    <x v="37"/>
    <x v="12"/>
    <x v="1"/>
    <s v="Small"/>
    <n v="6"/>
    <n v="21"/>
    <n v="78.89"/>
    <n v="97"/>
    <n v="1656.69"/>
    <n v="-380.31"/>
    <x v="53"/>
    <x v="0"/>
    <n v="3"/>
    <n v="8"/>
    <n v="2004"/>
    <x v="3"/>
  </r>
  <r>
    <n v="10358"/>
    <s v="S24_4258"/>
    <x v="26"/>
    <x v="21"/>
    <x v="8"/>
    <x v="1"/>
    <s v="Medium"/>
    <n v="6"/>
    <n v="41"/>
    <n v="100"/>
    <n v="97"/>
    <n v="6847"/>
    <n v="2870"/>
    <x v="54"/>
    <x v="0"/>
    <n v="4"/>
    <n v="12"/>
    <n v="2004"/>
    <x v="3"/>
  </r>
  <r>
    <n v="10159"/>
    <s v="S24_4620"/>
    <x v="21"/>
    <x v="17"/>
    <x v="0"/>
    <x v="0"/>
    <s v="Small"/>
    <n v="6"/>
    <n v="23"/>
    <n v="67.099999999999994"/>
    <n v="80"/>
    <n v="1543.3"/>
    <n v="-296.7"/>
    <x v="160"/>
    <x v="0"/>
    <n v="4"/>
    <n v="10"/>
    <n v="2003"/>
    <x v="1"/>
  </r>
  <r>
    <n v="10169"/>
    <s v="S24_4620"/>
    <x v="47"/>
    <x v="38"/>
    <x v="2"/>
    <x v="2"/>
    <s v="Small"/>
    <n v="6"/>
    <n v="24"/>
    <n v="94.58"/>
    <n v="80"/>
    <n v="2269.92"/>
    <n v="349.92"/>
    <x v="185"/>
    <x v="0"/>
    <n v="4"/>
    <n v="11"/>
    <n v="2003"/>
    <x v="1"/>
  </r>
  <r>
    <n v="10211"/>
    <s v="S24_4620"/>
    <x v="11"/>
    <x v="9"/>
    <x v="3"/>
    <x v="1"/>
    <s v="Small"/>
    <n v="6"/>
    <n v="22"/>
    <n v="92.16"/>
    <n v="80"/>
    <n v="2027.52"/>
    <n v="267.52"/>
    <x v="186"/>
    <x v="0"/>
    <n v="1"/>
    <n v="1"/>
    <n v="2004"/>
    <x v="1"/>
  </r>
  <r>
    <n v="10313"/>
    <s v="S32_1268"/>
    <x v="90"/>
    <x v="71"/>
    <x v="6"/>
    <x v="0"/>
    <s v="Small"/>
    <n v="6"/>
    <n v="27"/>
    <n v="87.64"/>
    <n v="96"/>
    <n v="2366.2800000000002"/>
    <n v="-225.72"/>
    <x v="110"/>
    <x v="0"/>
    <n v="4"/>
    <n v="10"/>
    <n v="2004"/>
    <x v="2"/>
  </r>
  <r>
    <n v="10382"/>
    <s v="S32_1268"/>
    <x v="43"/>
    <x v="34"/>
    <x v="0"/>
    <x v="0"/>
    <s v="Small"/>
    <n v="6"/>
    <n v="26"/>
    <n v="100"/>
    <n v="96"/>
    <n v="2708.42"/>
    <n v="212.42"/>
    <x v="23"/>
    <x v="0"/>
    <n v="1"/>
    <n v="2"/>
    <n v="2005"/>
    <x v="2"/>
  </r>
  <r>
    <n v="10120"/>
    <s v="S32_1374"/>
    <x v="2"/>
    <x v="2"/>
    <x v="2"/>
    <x v="2"/>
    <s v="Small"/>
    <n v="6"/>
    <n v="22"/>
    <n v="100"/>
    <n v="99"/>
    <n v="2461.36"/>
    <n v="283.36"/>
    <x v="149"/>
    <x v="0"/>
    <n v="2"/>
    <n v="4"/>
    <n v="2003"/>
    <x v="0"/>
  </r>
  <r>
    <n v="10252"/>
    <s v="S32_2206"/>
    <x v="11"/>
    <x v="9"/>
    <x v="3"/>
    <x v="1"/>
    <s v="Small"/>
    <n v="6"/>
    <n v="36"/>
    <n v="48.28"/>
    <n v="40"/>
    <n v="1738.08"/>
    <n v="298.08"/>
    <x v="120"/>
    <x v="0"/>
    <n v="2"/>
    <n v="5"/>
    <n v="2004"/>
    <x v="0"/>
  </r>
  <r>
    <n v="10259"/>
    <s v="S32_2509"/>
    <x v="81"/>
    <x v="15"/>
    <x v="7"/>
    <x v="2"/>
    <s v="Small"/>
    <n v="6"/>
    <n v="40"/>
    <n v="43.83"/>
    <n v="54"/>
    <n v="1753.2"/>
    <n v="-406.8"/>
    <x v="147"/>
    <x v="0"/>
    <n v="2"/>
    <n v="6"/>
    <n v="2004"/>
    <x v="2"/>
  </r>
  <r>
    <n v="10425"/>
    <s v="S32_2509"/>
    <x v="3"/>
    <x v="3"/>
    <x v="3"/>
    <x v="1"/>
    <s v="Small"/>
    <n v="6"/>
    <n v="11"/>
    <n v="43.83"/>
    <n v="54"/>
    <n v="482.13"/>
    <n v="-111.87"/>
    <x v="148"/>
    <x v="2"/>
    <n v="2"/>
    <n v="5"/>
    <n v="2005"/>
    <x v="2"/>
  </r>
  <r>
    <n v="10127"/>
    <s v="S32_3207"/>
    <x v="34"/>
    <x v="5"/>
    <x v="0"/>
    <x v="0"/>
    <s v="Small"/>
    <n v="6"/>
    <n v="29"/>
    <n v="70.84"/>
    <n v="62"/>
    <n v="2054.36"/>
    <n v="256.36"/>
    <x v="40"/>
    <x v="0"/>
    <n v="2"/>
    <n v="6"/>
    <n v="2003"/>
    <x v="6"/>
  </r>
  <r>
    <n v="10176"/>
    <s v="S32_3207"/>
    <x v="35"/>
    <x v="28"/>
    <x v="12"/>
    <x v="1"/>
    <s v="Small"/>
    <n v="6"/>
    <n v="22"/>
    <n v="64"/>
    <n v="62"/>
    <n v="1408"/>
    <n v="44"/>
    <x v="21"/>
    <x v="0"/>
    <n v="4"/>
    <n v="11"/>
    <n v="2003"/>
    <x v="6"/>
  </r>
  <r>
    <n v="10220"/>
    <s v="S32_3207"/>
    <x v="36"/>
    <x v="29"/>
    <x v="13"/>
    <x v="1"/>
    <s v="Small"/>
    <n v="6"/>
    <n v="20"/>
    <n v="52.82"/>
    <n v="62"/>
    <n v="1056.4000000000001"/>
    <n v="-183.6"/>
    <x v="41"/>
    <x v="0"/>
    <n v="1"/>
    <n v="2"/>
    <n v="2004"/>
    <x v="6"/>
  </r>
  <r>
    <n v="10247"/>
    <s v="S32_3207"/>
    <x v="38"/>
    <x v="30"/>
    <x v="14"/>
    <x v="1"/>
    <s v="Small"/>
    <n v="6"/>
    <n v="40"/>
    <n v="49.71"/>
    <n v="62"/>
    <n v="1988.4"/>
    <n v="-491.6"/>
    <x v="43"/>
    <x v="0"/>
    <n v="2"/>
    <n v="5"/>
    <n v="2004"/>
    <x v="6"/>
  </r>
  <r>
    <n v="10272"/>
    <s v="S32_3207"/>
    <x v="4"/>
    <x v="4"/>
    <x v="0"/>
    <x v="0"/>
    <s v="Small"/>
    <n v="6"/>
    <n v="45"/>
    <n v="64.63"/>
    <n v="62"/>
    <n v="2908.35"/>
    <n v="118.35"/>
    <x v="44"/>
    <x v="0"/>
    <n v="3"/>
    <n v="7"/>
    <n v="2004"/>
    <x v="6"/>
  </r>
  <r>
    <n v="10413"/>
    <s v="S32_3207"/>
    <x v="25"/>
    <x v="20"/>
    <x v="0"/>
    <x v="0"/>
    <s v="Small"/>
    <n v="6"/>
    <n v="24"/>
    <n v="49.71"/>
    <n v="62"/>
    <n v="1193.04"/>
    <n v="-294.95999999999998"/>
    <x v="47"/>
    <x v="0"/>
    <n v="2"/>
    <n v="5"/>
    <n v="2005"/>
    <x v="6"/>
  </r>
  <r>
    <n v="10133"/>
    <s v="S32_4289"/>
    <x v="26"/>
    <x v="21"/>
    <x v="8"/>
    <x v="1"/>
    <s v="Small"/>
    <n v="6"/>
    <n v="49"/>
    <n v="57.1"/>
    <n v="68"/>
    <n v="2797.9"/>
    <n v="-534.1"/>
    <x v="209"/>
    <x v="0"/>
    <n v="2"/>
    <n v="6"/>
    <n v="2003"/>
    <x v="3"/>
  </r>
  <r>
    <n v="10235"/>
    <s v="S32_4289"/>
    <x v="89"/>
    <x v="70"/>
    <x v="6"/>
    <x v="0"/>
    <s v="Small"/>
    <n v="6"/>
    <n v="34"/>
    <n v="77.73"/>
    <n v="68"/>
    <n v="2642.82"/>
    <n v="330.82"/>
    <x v="210"/>
    <x v="0"/>
    <n v="2"/>
    <n v="4"/>
    <n v="2004"/>
    <x v="3"/>
  </r>
  <r>
    <n v="10401"/>
    <s v="S32_4289"/>
    <x v="24"/>
    <x v="19"/>
    <x v="0"/>
    <x v="0"/>
    <s v="Medium"/>
    <n v="6"/>
    <n v="62"/>
    <n v="77.73"/>
    <n v="68"/>
    <n v="4819.26"/>
    <n v="603.26"/>
    <x v="212"/>
    <x v="5"/>
    <n v="2"/>
    <n v="4"/>
    <n v="2005"/>
    <x v="3"/>
  </r>
  <r>
    <n v="10106"/>
    <s v="S50_1341"/>
    <x v="67"/>
    <x v="54"/>
    <x v="12"/>
    <x v="1"/>
    <s v="Small"/>
    <n v="6"/>
    <n v="39"/>
    <n v="40.15"/>
    <n v="43"/>
    <n v="1565.85"/>
    <n v="-111.15"/>
    <x v="242"/>
    <x v="0"/>
    <n v="1"/>
    <n v="2"/>
    <n v="2003"/>
    <x v="3"/>
  </r>
  <r>
    <n v="10292"/>
    <s v="S50_1392"/>
    <x v="5"/>
    <x v="5"/>
    <x v="0"/>
    <x v="0"/>
    <s v="Medium"/>
    <n v="6"/>
    <n v="41"/>
    <n v="100"/>
    <n v="115"/>
    <n v="4983.1400000000003"/>
    <n v="268.14"/>
    <x v="171"/>
    <x v="0"/>
    <n v="3"/>
    <n v="9"/>
    <n v="2004"/>
    <x v="2"/>
  </r>
  <r>
    <n v="10337"/>
    <s v="S50_1514"/>
    <x v="7"/>
    <x v="5"/>
    <x v="0"/>
    <x v="0"/>
    <s v="Small"/>
    <n v="6"/>
    <n v="21"/>
    <n v="100"/>
    <n v="58"/>
    <n v="2296.77"/>
    <n v="1078.77"/>
    <x v="245"/>
    <x v="0"/>
    <n v="4"/>
    <n v="11"/>
    <n v="2004"/>
    <x v="6"/>
  </r>
  <r>
    <n v="10319"/>
    <s v="S50_4713"/>
    <x v="72"/>
    <x v="5"/>
    <x v="0"/>
    <x v="0"/>
    <s v="Medium"/>
    <n v="6"/>
    <n v="45"/>
    <n v="77.290000000000006"/>
    <n v="81"/>
    <n v="3478.05"/>
    <n v="-166.95"/>
    <x v="37"/>
    <x v="0"/>
    <n v="4"/>
    <n v="11"/>
    <n v="2004"/>
    <x v="0"/>
  </r>
  <r>
    <n v="10248"/>
    <s v="S700_1138"/>
    <x v="5"/>
    <x v="5"/>
    <x v="0"/>
    <x v="0"/>
    <s v="Small"/>
    <n v="6"/>
    <n v="36"/>
    <n v="71.34"/>
    <n v="66"/>
    <n v="2568.2399999999998"/>
    <n v="192.24"/>
    <x v="105"/>
    <x v="3"/>
    <n v="2"/>
    <n v="5"/>
    <n v="2004"/>
    <x v="5"/>
  </r>
  <r>
    <n v="10414"/>
    <s v="S700_1138"/>
    <x v="16"/>
    <x v="14"/>
    <x v="0"/>
    <x v="0"/>
    <s v="Small"/>
    <n v="6"/>
    <n v="37"/>
    <n v="71.34"/>
    <n v="66"/>
    <n v="2639.58"/>
    <n v="197.58"/>
    <x v="106"/>
    <x v="5"/>
    <n v="2"/>
    <n v="5"/>
    <n v="2005"/>
    <x v="5"/>
  </r>
  <r>
    <n v="10284"/>
    <s v="S700_1691"/>
    <x v="60"/>
    <x v="49"/>
    <x v="1"/>
    <x v="1"/>
    <s v="Small"/>
    <n v="6"/>
    <n v="24"/>
    <n v="83.12"/>
    <n v="91"/>
    <n v="1994.88"/>
    <n v="-189.12"/>
    <x v="88"/>
    <x v="0"/>
    <n v="3"/>
    <n v="8"/>
    <n v="2004"/>
    <x v="4"/>
  </r>
  <r>
    <n v="10375"/>
    <s v="S700_1691"/>
    <x v="3"/>
    <x v="3"/>
    <x v="3"/>
    <x v="1"/>
    <s v="Medium"/>
    <n v="6"/>
    <n v="37"/>
    <n v="81.87"/>
    <n v="91"/>
    <n v="3029.19"/>
    <n v="-337.81"/>
    <x v="234"/>
    <x v="0"/>
    <n v="1"/>
    <n v="2"/>
    <n v="2005"/>
    <x v="4"/>
  </r>
  <r>
    <n v="10398"/>
    <s v="S700_1691"/>
    <x v="82"/>
    <x v="64"/>
    <x v="3"/>
    <x v="1"/>
    <s v="Medium"/>
    <n v="6"/>
    <n v="47"/>
    <n v="87.69"/>
    <n v="91"/>
    <n v="4121.43"/>
    <n v="-155.57"/>
    <x v="248"/>
    <x v="0"/>
    <n v="1"/>
    <n v="3"/>
    <n v="2005"/>
    <x v="4"/>
  </r>
  <r>
    <n v="10117"/>
    <s v="S700_1938"/>
    <x v="17"/>
    <x v="15"/>
    <x v="7"/>
    <x v="2"/>
    <s v="Medium"/>
    <n v="6"/>
    <n v="38"/>
    <n v="79.680000000000007"/>
    <n v="86"/>
    <n v="3027.84"/>
    <n v="-240.16"/>
    <x v="246"/>
    <x v="0"/>
    <n v="2"/>
    <n v="4"/>
    <n v="2003"/>
    <x v="5"/>
  </r>
  <r>
    <n v="10262"/>
    <s v="S700_2466"/>
    <x v="26"/>
    <x v="21"/>
    <x v="8"/>
    <x v="1"/>
    <s v="Small"/>
    <n v="6"/>
    <n v="33"/>
    <n v="90.75"/>
    <n v="99"/>
    <n v="2994.75"/>
    <n v="-272.25"/>
    <x v="155"/>
    <x v="3"/>
    <n v="2"/>
    <n v="6"/>
    <n v="2004"/>
    <x v="4"/>
  </r>
  <r>
    <n v="10316"/>
    <s v="S700_2466"/>
    <x v="84"/>
    <x v="66"/>
    <x v="15"/>
    <x v="1"/>
    <s v="Small"/>
    <n v="6"/>
    <n v="23"/>
    <n v="100"/>
    <n v="99"/>
    <n v="2706.41"/>
    <n v="429.41"/>
    <x v="156"/>
    <x v="0"/>
    <n v="4"/>
    <n v="11"/>
    <n v="2004"/>
    <x v="4"/>
  </r>
  <r>
    <n v="10103"/>
    <s v="S700_2824"/>
    <x v="39"/>
    <x v="31"/>
    <x v="1"/>
    <x v="1"/>
    <s v="Medium"/>
    <n v="6"/>
    <n v="42"/>
    <n v="100"/>
    <n v="101"/>
    <n v="4460.82"/>
    <n v="218.82"/>
    <x v="166"/>
    <x v="0"/>
    <n v="1"/>
    <n v="1"/>
    <n v="2003"/>
    <x v="1"/>
  </r>
  <r>
    <n v="10126"/>
    <s v="S700_2824"/>
    <x v="63"/>
    <x v="21"/>
    <x v="8"/>
    <x v="1"/>
    <s v="Medium"/>
    <n v="6"/>
    <n v="45"/>
    <n v="100"/>
    <n v="101"/>
    <n v="4597.2"/>
    <n v="52.2"/>
    <x v="167"/>
    <x v="0"/>
    <n v="2"/>
    <n v="5"/>
    <n v="2003"/>
    <x v="1"/>
  </r>
  <r>
    <n v="10140"/>
    <s v="S700_2824"/>
    <x v="0"/>
    <x v="0"/>
    <x v="0"/>
    <x v="0"/>
    <s v="Medium"/>
    <n v="6"/>
    <n v="36"/>
    <n v="100"/>
    <n v="101"/>
    <n v="4114.8"/>
    <n v="478.8"/>
    <x v="168"/>
    <x v="0"/>
    <n v="3"/>
    <n v="7"/>
    <n v="2003"/>
    <x v="1"/>
  </r>
  <r>
    <n v="10194"/>
    <s v="S700_2824"/>
    <x v="73"/>
    <x v="59"/>
    <x v="3"/>
    <x v="1"/>
    <s v="Small"/>
    <n v="6"/>
    <n v="26"/>
    <n v="89.01"/>
    <n v="101"/>
    <n v="2314.2600000000002"/>
    <n v="-311.74"/>
    <x v="169"/>
    <x v="0"/>
    <n v="4"/>
    <n v="11"/>
    <n v="2003"/>
    <x v="1"/>
  </r>
  <r>
    <n v="10217"/>
    <s v="S700_2824"/>
    <x v="81"/>
    <x v="15"/>
    <x v="7"/>
    <x v="2"/>
    <s v="Small"/>
    <n v="6"/>
    <n v="31"/>
    <n v="88"/>
    <n v="101"/>
    <n v="2728"/>
    <n v="-403"/>
    <x v="170"/>
    <x v="0"/>
    <n v="1"/>
    <n v="2"/>
    <n v="2004"/>
    <x v="1"/>
  </r>
  <r>
    <n v="10291"/>
    <s v="S700_2824"/>
    <x v="51"/>
    <x v="42"/>
    <x v="4"/>
    <x v="1"/>
    <s v="Medium"/>
    <n v="6"/>
    <n v="28"/>
    <n v="100"/>
    <n v="101"/>
    <n v="3256.96"/>
    <n v="428.96"/>
    <x v="171"/>
    <x v="0"/>
    <n v="3"/>
    <n v="9"/>
    <n v="2004"/>
    <x v="1"/>
  </r>
  <r>
    <n v="10210"/>
    <s v="S700_2834"/>
    <x v="12"/>
    <x v="10"/>
    <x v="5"/>
    <x v="2"/>
    <s v="Small"/>
    <n v="6"/>
    <n v="25"/>
    <n v="100"/>
    <n v="118"/>
    <n v="2818"/>
    <n v="-132"/>
    <x v="13"/>
    <x v="0"/>
    <n v="1"/>
    <n v="1"/>
    <n v="2004"/>
    <x v="4"/>
  </r>
  <r>
    <n v="10308"/>
    <s v="S700_2834"/>
    <x v="13"/>
    <x v="11"/>
    <x v="0"/>
    <x v="0"/>
    <s v="Medium"/>
    <n v="6"/>
    <n v="31"/>
    <n v="100"/>
    <n v="118"/>
    <n v="4009.23"/>
    <n v="351.23"/>
    <x v="14"/>
    <x v="0"/>
    <n v="4"/>
    <n v="10"/>
    <n v="2004"/>
    <x v="4"/>
  </r>
  <r>
    <n v="10340"/>
    <s v="S700_2834"/>
    <x v="88"/>
    <x v="69"/>
    <x v="8"/>
    <x v="1"/>
    <s v="Medium"/>
    <n v="6"/>
    <n v="29"/>
    <n v="100"/>
    <n v="118"/>
    <n v="4094.51"/>
    <n v="672.51"/>
    <x v="38"/>
    <x v="0"/>
    <n v="4"/>
    <n v="11"/>
    <n v="2004"/>
    <x v="4"/>
  </r>
  <r>
    <n v="10353"/>
    <s v="S700_3167"/>
    <x v="61"/>
    <x v="27"/>
    <x v="0"/>
    <x v="0"/>
    <s v="Medium"/>
    <n v="6"/>
    <n v="43"/>
    <n v="81.95"/>
    <n v="80"/>
    <n v="3523.85"/>
    <n v="83.85"/>
    <x v="89"/>
    <x v="0"/>
    <n v="4"/>
    <n v="12"/>
    <n v="2004"/>
    <x v="4"/>
  </r>
  <r>
    <n v="10105"/>
    <s v="S700_3505"/>
    <x v="30"/>
    <x v="24"/>
    <x v="10"/>
    <x v="1"/>
    <s v="Medium"/>
    <n v="6"/>
    <n v="39"/>
    <n v="81.14"/>
    <n v="100"/>
    <n v="3164.46"/>
    <n v="-735.54"/>
    <x v="187"/>
    <x v="0"/>
    <n v="1"/>
    <n v="2"/>
    <n v="2003"/>
    <x v="5"/>
  </r>
  <r>
    <n v="10129"/>
    <s v="S700_3505"/>
    <x v="42"/>
    <x v="33"/>
    <x v="15"/>
    <x v="1"/>
    <s v="Medium"/>
    <n v="6"/>
    <n v="42"/>
    <n v="91.15"/>
    <n v="100"/>
    <n v="3828.3"/>
    <n v="-371.7"/>
    <x v="188"/>
    <x v="0"/>
    <n v="2"/>
    <n v="6"/>
    <n v="2003"/>
    <x v="5"/>
  </r>
  <r>
    <n v="10261"/>
    <s v="S700_3962"/>
    <x v="15"/>
    <x v="13"/>
    <x v="6"/>
    <x v="0"/>
    <s v="Medium"/>
    <n v="6"/>
    <n v="50"/>
    <n v="81.430000000000007"/>
    <n v="99"/>
    <n v="4071.5"/>
    <n v="-878.5"/>
    <x v="16"/>
    <x v="0"/>
    <n v="2"/>
    <n v="6"/>
    <n v="2004"/>
    <x v="5"/>
  </r>
  <r>
    <n v="10119"/>
    <s v="S72_1253"/>
    <x v="32"/>
    <x v="26"/>
    <x v="11"/>
    <x v="1"/>
    <s v="Small"/>
    <n v="6"/>
    <n v="28"/>
    <n v="48.17"/>
    <n v="49"/>
    <n v="1348.76"/>
    <n v="-23.24"/>
    <x v="247"/>
    <x v="0"/>
    <n v="2"/>
    <n v="4"/>
    <n v="2003"/>
    <x v="4"/>
  </r>
  <r>
    <n v="10339"/>
    <s v="S72_1253"/>
    <x v="41"/>
    <x v="32"/>
    <x v="5"/>
    <x v="2"/>
    <s v="Small"/>
    <n v="6"/>
    <n v="27"/>
    <n v="76.31"/>
    <n v="49"/>
    <n v="2060.37"/>
    <n v="737.37"/>
    <x v="90"/>
    <x v="0"/>
    <n v="4"/>
    <n v="11"/>
    <n v="2004"/>
    <x v="4"/>
  </r>
  <r>
    <n v="10177"/>
    <s v="S72_3212"/>
    <x v="37"/>
    <x v="21"/>
    <x v="8"/>
    <x v="1"/>
    <s v="Small"/>
    <n v="6"/>
    <n v="40"/>
    <n v="50.23"/>
    <n v="54"/>
    <n v="2009.2"/>
    <n v="-150.80000000000001"/>
    <x v="236"/>
    <x v="0"/>
    <n v="4"/>
    <n v="11"/>
    <n v="2003"/>
    <x v="5"/>
  </r>
  <r>
    <n v="10185"/>
    <s v="S72_3212"/>
    <x v="49"/>
    <x v="40"/>
    <x v="0"/>
    <x v="0"/>
    <s v="Small"/>
    <n v="6"/>
    <n v="28"/>
    <n v="64.430000000000007"/>
    <n v="54"/>
    <n v="1804.04"/>
    <n v="292.04000000000002"/>
    <x v="69"/>
    <x v="0"/>
    <n v="4"/>
    <n v="11"/>
    <n v="2003"/>
    <x v="5"/>
  </r>
  <r>
    <n v="10208"/>
    <s v="S72_3212"/>
    <x v="73"/>
    <x v="59"/>
    <x v="3"/>
    <x v="1"/>
    <s v="Small"/>
    <n v="6"/>
    <n v="42"/>
    <n v="63.88"/>
    <n v="54"/>
    <n v="2682.96"/>
    <n v="414.96"/>
    <x v="237"/>
    <x v="0"/>
    <n v="1"/>
    <n v="1"/>
    <n v="2004"/>
    <x v="5"/>
  </r>
  <r>
    <n v="10306"/>
    <s v="S72_3212"/>
    <x v="62"/>
    <x v="50"/>
    <x v="15"/>
    <x v="1"/>
    <s v="Small"/>
    <n v="6"/>
    <n v="35"/>
    <n v="59.51"/>
    <n v="54"/>
    <n v="2082.85"/>
    <n v="192.85"/>
    <x v="71"/>
    <x v="0"/>
    <n v="4"/>
    <n v="10"/>
    <n v="2004"/>
    <x v="5"/>
  </r>
  <r>
    <n v="10237"/>
    <s v="S10_1678"/>
    <x v="28"/>
    <x v="5"/>
    <x v="0"/>
    <x v="0"/>
    <s v="Small"/>
    <n v="7"/>
    <n v="23"/>
    <n v="100"/>
    <n v="95"/>
    <n v="2333.12"/>
    <n v="148.12"/>
    <x v="125"/>
    <x v="0"/>
    <n v="2"/>
    <n v="4"/>
    <n v="2004"/>
    <x v="0"/>
  </r>
  <r>
    <n v="10403"/>
    <s v="S10_1678"/>
    <x v="50"/>
    <x v="41"/>
    <x v="15"/>
    <x v="1"/>
    <s v="Small"/>
    <n v="7"/>
    <n v="24"/>
    <n v="100"/>
    <n v="95"/>
    <n v="2434.56"/>
    <n v="154.56"/>
    <x v="128"/>
    <x v="0"/>
    <n v="2"/>
    <n v="4"/>
    <n v="2005"/>
    <x v="0"/>
  </r>
  <r>
    <n v="10388"/>
    <s v="S10_4698"/>
    <x v="78"/>
    <x v="40"/>
    <x v="0"/>
    <x v="0"/>
    <s v="Small"/>
    <n v="7"/>
    <n v="21"/>
    <n v="86.77"/>
    <n v="193"/>
    <n v="1822.17"/>
    <n v="-2230.83"/>
    <x v="150"/>
    <x v="0"/>
    <n v="1"/>
    <n v="3"/>
    <n v="2005"/>
    <x v="0"/>
  </r>
  <r>
    <n v="10313"/>
    <s v="S10_4962"/>
    <x v="90"/>
    <x v="71"/>
    <x v="6"/>
    <x v="0"/>
    <s v="Medium"/>
    <n v="7"/>
    <n v="40"/>
    <n v="100"/>
    <n v="147"/>
    <n v="6678"/>
    <n v="798"/>
    <x v="110"/>
    <x v="0"/>
    <n v="4"/>
    <n v="10"/>
    <n v="2004"/>
    <x v="1"/>
  </r>
  <r>
    <n v="10391"/>
    <s v="S10_4962"/>
    <x v="47"/>
    <x v="38"/>
    <x v="2"/>
    <x v="2"/>
    <s v="Small"/>
    <n v="7"/>
    <n v="37"/>
    <n v="46.9"/>
    <n v="147"/>
    <n v="1735.3"/>
    <n v="-3703.7"/>
    <x v="165"/>
    <x v="0"/>
    <n v="1"/>
    <n v="3"/>
    <n v="2005"/>
    <x v="1"/>
  </r>
  <r>
    <n v="10135"/>
    <s v="S12_1099"/>
    <x v="43"/>
    <x v="34"/>
    <x v="0"/>
    <x v="0"/>
    <s v="Large"/>
    <n v="7"/>
    <n v="42"/>
    <n v="100"/>
    <n v="194"/>
    <n v="8008.56"/>
    <n v="-139.44"/>
    <x v="180"/>
    <x v="0"/>
    <n v="3"/>
    <n v="7"/>
    <n v="2003"/>
    <x v="1"/>
  </r>
  <r>
    <n v="10147"/>
    <s v="S12_1099"/>
    <x v="53"/>
    <x v="25"/>
    <x v="0"/>
    <x v="0"/>
    <s v="Large"/>
    <n v="7"/>
    <n v="48"/>
    <n v="100"/>
    <n v="194"/>
    <n v="9245.76"/>
    <n v="-66.239999999999995"/>
    <x v="181"/>
    <x v="0"/>
    <n v="3"/>
    <n v="9"/>
    <n v="2003"/>
    <x v="1"/>
  </r>
  <r>
    <n v="10375"/>
    <s v="S12_1099"/>
    <x v="3"/>
    <x v="3"/>
    <x v="3"/>
    <x v="1"/>
    <s v="Medium"/>
    <n v="7"/>
    <n v="45"/>
    <n v="76"/>
    <n v="194"/>
    <n v="3420"/>
    <n v="-5310"/>
    <x v="234"/>
    <x v="0"/>
    <n v="1"/>
    <n v="2"/>
    <n v="2005"/>
    <x v="1"/>
  </r>
  <r>
    <n v="10225"/>
    <s v="S12_3380"/>
    <x v="48"/>
    <x v="39"/>
    <x v="16"/>
    <x v="1"/>
    <s v="Small"/>
    <n v="7"/>
    <n v="25"/>
    <n v="99.82"/>
    <n v="117"/>
    <n v="2495.5"/>
    <n v="-429.5"/>
    <x v="56"/>
    <x v="0"/>
    <n v="1"/>
    <n v="2"/>
    <n v="2004"/>
    <x v="1"/>
  </r>
  <r>
    <n v="10293"/>
    <s v="S12_3891"/>
    <x v="46"/>
    <x v="37"/>
    <x v="12"/>
    <x v="1"/>
    <s v="Large"/>
    <n v="7"/>
    <n v="45"/>
    <n v="100"/>
    <n v="173"/>
    <n v="8253"/>
    <n v="468"/>
    <x v="249"/>
    <x v="0"/>
    <n v="3"/>
    <n v="9"/>
    <n v="2004"/>
    <x v="1"/>
  </r>
  <r>
    <n v="10108"/>
    <s v="S12_3990"/>
    <x v="85"/>
    <x v="67"/>
    <x v="18"/>
    <x v="2"/>
    <s v="Medium"/>
    <n v="7"/>
    <n v="39"/>
    <n v="89.38"/>
    <n v="79"/>
    <n v="3485.82"/>
    <n v="404.82"/>
    <x v="189"/>
    <x v="0"/>
    <n v="1"/>
    <n v="3"/>
    <n v="2003"/>
    <x v="1"/>
  </r>
  <r>
    <n v="10389"/>
    <s v="S12_3990"/>
    <x v="51"/>
    <x v="42"/>
    <x v="4"/>
    <x v="1"/>
    <s v="Small"/>
    <n v="7"/>
    <n v="36"/>
    <n v="70.260000000000005"/>
    <n v="79"/>
    <n v="2529.36"/>
    <n v="-314.64"/>
    <x v="150"/>
    <x v="0"/>
    <n v="1"/>
    <n v="3"/>
    <n v="2005"/>
    <x v="1"/>
  </r>
  <r>
    <n v="10207"/>
    <s v="S12_4473"/>
    <x v="77"/>
    <x v="14"/>
    <x v="0"/>
    <x v="0"/>
    <s v="Medium"/>
    <n v="7"/>
    <n v="34"/>
    <n v="99.54"/>
    <n v="118"/>
    <n v="3384.36"/>
    <n v="-627.64"/>
    <x v="131"/>
    <x v="0"/>
    <n v="4"/>
    <n v="12"/>
    <n v="2003"/>
    <x v="2"/>
  </r>
  <r>
    <n v="10324"/>
    <s v="S12_4473"/>
    <x v="28"/>
    <x v="5"/>
    <x v="0"/>
    <x v="0"/>
    <s v="Small"/>
    <n v="7"/>
    <n v="26"/>
    <n v="58.38"/>
    <n v="118"/>
    <n v="1517.88"/>
    <n v="-1550.12"/>
    <x v="33"/>
    <x v="0"/>
    <n v="4"/>
    <n v="11"/>
    <n v="2004"/>
    <x v="2"/>
  </r>
  <r>
    <n v="10122"/>
    <s v="S12_4675"/>
    <x v="56"/>
    <x v="45"/>
    <x v="3"/>
    <x v="1"/>
    <s v="Small"/>
    <n v="7"/>
    <n v="20"/>
    <n v="100"/>
    <n v="115"/>
    <n v="2142"/>
    <n v="-158"/>
    <x v="78"/>
    <x v="0"/>
    <n v="2"/>
    <n v="5"/>
    <n v="2003"/>
    <x v="1"/>
  </r>
  <r>
    <n v="10310"/>
    <s v="S12_4675"/>
    <x v="29"/>
    <x v="23"/>
    <x v="9"/>
    <x v="1"/>
    <s v="Small"/>
    <n v="7"/>
    <n v="25"/>
    <n v="100"/>
    <n v="115"/>
    <n v="2504.75"/>
    <n v="-370.25"/>
    <x v="81"/>
    <x v="0"/>
    <n v="4"/>
    <n v="10"/>
    <n v="2004"/>
    <x v="1"/>
  </r>
  <r>
    <n v="10341"/>
    <s v="S12_4675"/>
    <x v="32"/>
    <x v="26"/>
    <x v="11"/>
    <x v="1"/>
    <s v="Medium"/>
    <n v="7"/>
    <n v="55"/>
    <n v="75.2"/>
    <n v="115"/>
    <n v="4136"/>
    <n v="-2189"/>
    <x v="38"/>
    <x v="0"/>
    <n v="4"/>
    <n v="11"/>
    <n v="2004"/>
    <x v="1"/>
  </r>
  <r>
    <n v="10150"/>
    <s v="S18_1097"/>
    <x v="17"/>
    <x v="15"/>
    <x v="7"/>
    <x v="2"/>
    <s v="Medium"/>
    <n v="7"/>
    <n v="34"/>
    <n v="100"/>
    <n v="116"/>
    <n v="4641"/>
    <n v="697"/>
    <x v="18"/>
    <x v="0"/>
    <n v="3"/>
    <n v="9"/>
    <n v="2003"/>
    <x v="2"/>
  </r>
  <r>
    <n v="10183"/>
    <s v="S18_1097"/>
    <x v="18"/>
    <x v="8"/>
    <x v="0"/>
    <x v="0"/>
    <s v="Small"/>
    <n v="7"/>
    <n v="21"/>
    <n v="96.84"/>
    <n v="116"/>
    <n v="2033.64"/>
    <n v="-402.36"/>
    <x v="19"/>
    <x v="0"/>
    <n v="4"/>
    <n v="11"/>
    <n v="2003"/>
    <x v="2"/>
  </r>
  <r>
    <n v="10333"/>
    <s v="S18_1097"/>
    <x v="23"/>
    <x v="17"/>
    <x v="0"/>
    <x v="0"/>
    <s v="Small"/>
    <n v="7"/>
    <n v="29"/>
    <n v="40.25"/>
    <n v="116"/>
    <n v="1167.25"/>
    <n v="-2196.75"/>
    <x v="200"/>
    <x v="0"/>
    <n v="4"/>
    <n v="11"/>
    <n v="2004"/>
    <x v="2"/>
  </r>
  <r>
    <n v="10139"/>
    <s v="S18_1342"/>
    <x v="64"/>
    <x v="51"/>
    <x v="2"/>
    <x v="2"/>
    <s v="Medium"/>
    <n v="7"/>
    <n v="31"/>
    <n v="100"/>
    <n v="102"/>
    <n v="3184.94"/>
    <n v="22.94"/>
    <x v="100"/>
    <x v="0"/>
    <n v="3"/>
    <n v="7"/>
    <n v="2003"/>
    <x v="3"/>
  </r>
  <r>
    <n v="10193"/>
    <s v="S18_1342"/>
    <x v="65"/>
    <x v="52"/>
    <x v="2"/>
    <x v="2"/>
    <s v="Medium"/>
    <n v="7"/>
    <n v="28"/>
    <n v="100"/>
    <n v="102"/>
    <n v="3106.88"/>
    <n v="250.88"/>
    <x v="101"/>
    <x v="0"/>
    <n v="4"/>
    <n v="11"/>
    <n v="2003"/>
    <x v="3"/>
  </r>
  <r>
    <n v="10244"/>
    <s v="S18_1342"/>
    <x v="26"/>
    <x v="21"/>
    <x v="8"/>
    <x v="1"/>
    <s v="Medium"/>
    <n v="7"/>
    <n v="40"/>
    <n v="100"/>
    <n v="102"/>
    <n v="4684.8"/>
    <n v="604.79999999999995"/>
    <x v="102"/>
    <x v="0"/>
    <n v="2"/>
    <n v="4"/>
    <n v="2004"/>
    <x v="3"/>
  </r>
  <r>
    <n v="10347"/>
    <s v="S18_1367"/>
    <x v="2"/>
    <x v="2"/>
    <x v="2"/>
    <x v="2"/>
    <s v="Small"/>
    <n v="7"/>
    <n v="21"/>
    <n v="58.95"/>
    <n v="53"/>
    <n v="1237.95"/>
    <n v="124.95"/>
    <x v="9"/>
    <x v="0"/>
    <n v="4"/>
    <n v="11"/>
    <n v="2004"/>
    <x v="3"/>
  </r>
  <r>
    <n v="10369"/>
    <s v="S18_1367"/>
    <x v="53"/>
    <x v="25"/>
    <x v="0"/>
    <x v="0"/>
    <s v="Medium"/>
    <n v="7"/>
    <n v="32"/>
    <n v="98.63"/>
    <n v="53"/>
    <n v="3156.16"/>
    <n v="1460.16"/>
    <x v="55"/>
    <x v="0"/>
    <n v="1"/>
    <n v="1"/>
    <n v="2005"/>
    <x v="3"/>
  </r>
  <r>
    <n v="10192"/>
    <s v="S18_1589"/>
    <x v="8"/>
    <x v="7"/>
    <x v="0"/>
    <x v="0"/>
    <s v="Medium"/>
    <n v="7"/>
    <n v="29"/>
    <n v="100"/>
    <n v="124"/>
    <n v="4258.3599999999997"/>
    <n v="662.36"/>
    <x v="34"/>
    <x v="0"/>
    <n v="4"/>
    <n v="11"/>
    <n v="2003"/>
    <x v="1"/>
  </r>
  <r>
    <n v="10143"/>
    <s v="S18_1662"/>
    <x v="49"/>
    <x v="40"/>
    <x v="0"/>
    <x v="0"/>
    <s v="Medium"/>
    <n v="7"/>
    <n v="32"/>
    <n v="100"/>
    <n v="157"/>
    <n v="5248"/>
    <n v="224"/>
    <x v="221"/>
    <x v="0"/>
    <n v="3"/>
    <n v="8"/>
    <n v="2003"/>
    <x v="4"/>
  </r>
  <r>
    <n v="10296"/>
    <s v="S18_1662"/>
    <x v="91"/>
    <x v="72"/>
    <x v="9"/>
    <x v="1"/>
    <s v="Medium"/>
    <n v="7"/>
    <n v="36"/>
    <n v="100"/>
    <n v="157"/>
    <n v="5676.84"/>
    <n v="24.84"/>
    <x v="223"/>
    <x v="0"/>
    <n v="3"/>
    <n v="9"/>
    <n v="2004"/>
    <x v="4"/>
  </r>
  <r>
    <n v="10386"/>
    <s v="S18_1662"/>
    <x v="26"/>
    <x v="21"/>
    <x v="8"/>
    <x v="1"/>
    <s v="Small"/>
    <n v="7"/>
    <n v="25"/>
    <n v="54.57"/>
    <n v="157"/>
    <n v="1364.25"/>
    <n v="-2560.75"/>
    <x v="178"/>
    <x v="4"/>
    <n v="1"/>
    <n v="3"/>
    <n v="2005"/>
    <x v="4"/>
  </r>
  <r>
    <n v="10110"/>
    <s v="S18_1749"/>
    <x v="62"/>
    <x v="50"/>
    <x v="15"/>
    <x v="1"/>
    <s v="Medium"/>
    <n v="7"/>
    <n v="42"/>
    <n v="100"/>
    <n v="170"/>
    <n v="6069"/>
    <n v="-1071"/>
    <x v="92"/>
    <x v="0"/>
    <n v="1"/>
    <n v="3"/>
    <n v="2003"/>
    <x v="3"/>
  </r>
  <r>
    <n v="10214"/>
    <s v="S18_1749"/>
    <x v="63"/>
    <x v="21"/>
    <x v="8"/>
    <x v="1"/>
    <s v="Medium"/>
    <n v="7"/>
    <n v="30"/>
    <n v="100"/>
    <n v="170"/>
    <n v="5967"/>
    <n v="867"/>
    <x v="93"/>
    <x v="0"/>
    <n v="1"/>
    <n v="1"/>
    <n v="2004"/>
    <x v="3"/>
  </r>
  <r>
    <n v="10331"/>
    <s v="S18_1749"/>
    <x v="9"/>
    <x v="8"/>
    <x v="0"/>
    <x v="0"/>
    <s v="Medium"/>
    <n v="7"/>
    <n v="44"/>
    <n v="74.040000000000006"/>
    <n v="170"/>
    <n v="3257.76"/>
    <n v="-4222.24"/>
    <x v="95"/>
    <x v="0"/>
    <n v="4"/>
    <n v="11"/>
    <n v="2004"/>
    <x v="3"/>
  </r>
  <r>
    <n v="10363"/>
    <s v="S18_1889"/>
    <x v="38"/>
    <x v="30"/>
    <x v="14"/>
    <x v="1"/>
    <s v="Medium"/>
    <n v="7"/>
    <n v="22"/>
    <n v="100"/>
    <n v="77"/>
    <n v="3686.54"/>
    <n v="1992.54"/>
    <x v="190"/>
    <x v="0"/>
    <n v="1"/>
    <n v="1"/>
    <n v="2005"/>
    <x v="1"/>
  </r>
  <r>
    <n v="10226"/>
    <s v="S18_1984"/>
    <x v="80"/>
    <x v="63"/>
    <x v="0"/>
    <x v="0"/>
    <s v="Medium"/>
    <n v="7"/>
    <n v="24"/>
    <n v="100"/>
    <n v="142"/>
    <n v="3892.08"/>
    <n v="484.08"/>
    <x v="145"/>
    <x v="0"/>
    <n v="1"/>
    <n v="2"/>
    <n v="2004"/>
    <x v="1"/>
  </r>
  <r>
    <n v="10301"/>
    <s v="S18_1984"/>
    <x v="60"/>
    <x v="49"/>
    <x v="1"/>
    <x v="1"/>
    <s v="Large"/>
    <n v="7"/>
    <n v="47"/>
    <n v="100"/>
    <n v="142"/>
    <n v="7488.04"/>
    <n v="814.04"/>
    <x v="146"/>
    <x v="0"/>
    <n v="4"/>
    <n v="10"/>
    <n v="2003"/>
    <x v="1"/>
  </r>
  <r>
    <n v="10292"/>
    <s v="S18_2238"/>
    <x v="5"/>
    <x v="5"/>
    <x v="0"/>
    <x v="0"/>
    <s v="Medium"/>
    <n v="7"/>
    <n v="26"/>
    <n v="100"/>
    <n v="163"/>
    <n v="4554.9399999999996"/>
    <n v="316.94"/>
    <x v="171"/>
    <x v="0"/>
    <n v="3"/>
    <n v="9"/>
    <n v="2004"/>
    <x v="1"/>
  </r>
  <r>
    <n v="10371"/>
    <s v="S18_2238"/>
    <x v="43"/>
    <x v="34"/>
    <x v="0"/>
    <x v="0"/>
    <s v="Small"/>
    <n v="7"/>
    <n v="25"/>
    <n v="100"/>
    <n v="163"/>
    <n v="2602.25"/>
    <n v="-1472.75"/>
    <x v="207"/>
    <x v="0"/>
    <n v="1"/>
    <n v="1"/>
    <n v="2005"/>
    <x v="1"/>
  </r>
  <r>
    <n v="10259"/>
    <s v="S18_2319"/>
    <x v="81"/>
    <x v="15"/>
    <x v="7"/>
    <x v="2"/>
    <s v="Medium"/>
    <n v="7"/>
    <n v="34"/>
    <n v="99.41"/>
    <n v="122"/>
    <n v="3379.94"/>
    <n v="-768.06"/>
    <x v="147"/>
    <x v="0"/>
    <n v="2"/>
    <n v="6"/>
    <n v="2004"/>
    <x v="2"/>
  </r>
  <r>
    <n v="10349"/>
    <s v="S18_2319"/>
    <x v="34"/>
    <x v="5"/>
    <x v="0"/>
    <x v="0"/>
    <s v="Medium"/>
    <n v="7"/>
    <n v="38"/>
    <n v="100"/>
    <n v="122"/>
    <n v="5223.4799999999996"/>
    <n v="587.48"/>
    <x v="216"/>
    <x v="0"/>
    <n v="4"/>
    <n v="12"/>
    <n v="2004"/>
    <x v="2"/>
  </r>
  <r>
    <n v="10425"/>
    <s v="S18_2319"/>
    <x v="3"/>
    <x v="3"/>
    <x v="3"/>
    <x v="1"/>
    <s v="Medium"/>
    <n v="7"/>
    <n v="38"/>
    <n v="99.41"/>
    <n v="122"/>
    <n v="3777.58"/>
    <n v="-858.42"/>
    <x v="148"/>
    <x v="2"/>
    <n v="2"/>
    <n v="5"/>
    <n v="2005"/>
    <x v="2"/>
  </r>
  <r>
    <n v="10182"/>
    <s v="S18_2325"/>
    <x v="43"/>
    <x v="34"/>
    <x v="0"/>
    <x v="0"/>
    <s v="Small"/>
    <n v="7"/>
    <n v="20"/>
    <n v="100"/>
    <n v="127"/>
    <n v="2212"/>
    <n v="-328"/>
    <x v="117"/>
    <x v="0"/>
    <n v="4"/>
    <n v="11"/>
    <n v="2003"/>
    <x v="3"/>
  </r>
  <r>
    <n v="10227"/>
    <s v="S18_2325"/>
    <x v="73"/>
    <x v="59"/>
    <x v="3"/>
    <x v="1"/>
    <s v="Large"/>
    <n v="7"/>
    <n v="46"/>
    <n v="100"/>
    <n v="127"/>
    <n v="7017.76"/>
    <n v="1175.76"/>
    <x v="118"/>
    <x v="0"/>
    <n v="1"/>
    <n v="3"/>
    <n v="2004"/>
    <x v="3"/>
  </r>
  <r>
    <n v="10175"/>
    <s v="S18_2432"/>
    <x v="42"/>
    <x v="33"/>
    <x v="15"/>
    <x v="1"/>
    <s v="Small"/>
    <n v="7"/>
    <n v="41"/>
    <n v="69.28"/>
    <n v="60"/>
    <n v="2840.48"/>
    <n v="380.48"/>
    <x v="21"/>
    <x v="0"/>
    <n v="4"/>
    <n v="11"/>
    <n v="2003"/>
    <x v="2"/>
  </r>
  <r>
    <n v="10229"/>
    <s v="S18_2432"/>
    <x v="43"/>
    <x v="34"/>
    <x v="0"/>
    <x v="0"/>
    <s v="Small"/>
    <n v="7"/>
    <n v="28"/>
    <n v="59.55"/>
    <n v="60"/>
    <n v="1667.4"/>
    <n v="-12.6"/>
    <x v="48"/>
    <x v="0"/>
    <n v="1"/>
    <n v="3"/>
    <n v="2004"/>
    <x v="2"/>
  </r>
  <r>
    <n v="10281"/>
    <s v="S18_2432"/>
    <x v="4"/>
    <x v="4"/>
    <x v="0"/>
    <x v="0"/>
    <s v="Small"/>
    <n v="7"/>
    <n v="29"/>
    <n v="57.73"/>
    <n v="60"/>
    <n v="1674.17"/>
    <n v="-65.83"/>
    <x v="49"/>
    <x v="0"/>
    <n v="3"/>
    <n v="8"/>
    <n v="2004"/>
    <x v="2"/>
  </r>
  <r>
    <n v="10357"/>
    <s v="S18_2432"/>
    <x v="43"/>
    <x v="34"/>
    <x v="0"/>
    <x v="0"/>
    <s v="Small"/>
    <n v="7"/>
    <n v="41"/>
    <n v="61.99"/>
    <n v="60"/>
    <n v="2541.59"/>
    <n v="81.59"/>
    <x v="54"/>
    <x v="0"/>
    <n v="4"/>
    <n v="12"/>
    <n v="2004"/>
    <x v="2"/>
  </r>
  <r>
    <n v="10370"/>
    <s v="S18_2432"/>
    <x v="47"/>
    <x v="38"/>
    <x v="2"/>
    <x v="2"/>
    <s v="Small"/>
    <n v="7"/>
    <n v="22"/>
    <n v="96.86"/>
    <n v="60"/>
    <n v="2130.92"/>
    <n v="810.92"/>
    <x v="55"/>
    <x v="0"/>
    <n v="1"/>
    <n v="1"/>
    <n v="2005"/>
    <x v="2"/>
  </r>
  <r>
    <n v="10381"/>
    <s v="S18_2432"/>
    <x v="21"/>
    <x v="17"/>
    <x v="0"/>
    <x v="0"/>
    <s v="Small"/>
    <n v="7"/>
    <n v="35"/>
    <n v="48.62"/>
    <n v="60"/>
    <n v="1701.7"/>
    <n v="-398.3"/>
    <x v="23"/>
    <x v="0"/>
    <n v="1"/>
    <n v="2"/>
    <n v="2005"/>
    <x v="2"/>
  </r>
  <r>
    <n v="10210"/>
    <s v="S18_2581"/>
    <x v="12"/>
    <x v="10"/>
    <x v="5"/>
    <x v="2"/>
    <s v="Medium"/>
    <n v="7"/>
    <n v="50"/>
    <n v="76.88"/>
    <n v="84"/>
    <n v="3844"/>
    <n v="-356"/>
    <x v="13"/>
    <x v="0"/>
    <n v="1"/>
    <n v="1"/>
    <n v="2004"/>
    <x v="4"/>
  </r>
  <r>
    <n v="10308"/>
    <s v="S18_2581"/>
    <x v="13"/>
    <x v="11"/>
    <x v="0"/>
    <x v="0"/>
    <s v="Small"/>
    <n v="7"/>
    <n v="27"/>
    <n v="82.79"/>
    <n v="84"/>
    <n v="2235.33"/>
    <n v="-32.67"/>
    <x v="14"/>
    <x v="0"/>
    <n v="4"/>
    <n v="10"/>
    <n v="2004"/>
    <x v="4"/>
  </r>
  <r>
    <n v="10173"/>
    <s v="S18_2795"/>
    <x v="67"/>
    <x v="54"/>
    <x v="12"/>
    <x v="1"/>
    <s v="Medium"/>
    <n v="7"/>
    <n v="22"/>
    <n v="100"/>
    <n v="168"/>
    <n v="3452.68"/>
    <n v="-243.32"/>
    <x v="80"/>
    <x v="0"/>
    <n v="4"/>
    <n v="11"/>
    <n v="2003"/>
    <x v="3"/>
  </r>
  <r>
    <n v="10367"/>
    <s v="S18_2795"/>
    <x v="22"/>
    <x v="18"/>
    <x v="0"/>
    <x v="0"/>
    <s v="Medium"/>
    <n v="7"/>
    <n v="32"/>
    <n v="94.79"/>
    <n v="168"/>
    <n v="3033.28"/>
    <n v="-2342.7199999999998"/>
    <x v="66"/>
    <x v="4"/>
    <n v="1"/>
    <n v="1"/>
    <n v="2005"/>
    <x v="3"/>
  </r>
  <r>
    <n v="10390"/>
    <s v="S18_2795"/>
    <x v="43"/>
    <x v="34"/>
    <x v="0"/>
    <x v="0"/>
    <s v="Small"/>
    <n v="7"/>
    <n v="26"/>
    <n v="78.11"/>
    <n v="168"/>
    <n v="2030.86"/>
    <n v="-2337.14"/>
    <x v="122"/>
    <x v="0"/>
    <n v="1"/>
    <n v="3"/>
    <n v="2005"/>
    <x v="3"/>
  </r>
  <r>
    <n v="10172"/>
    <s v="S18_2870"/>
    <x v="25"/>
    <x v="20"/>
    <x v="0"/>
    <x v="0"/>
    <s v="Medium"/>
    <n v="7"/>
    <n v="39"/>
    <n v="100"/>
    <n v="132"/>
    <n v="6023.16"/>
    <n v="875.16"/>
    <x v="80"/>
    <x v="0"/>
    <n v="4"/>
    <n v="11"/>
    <n v="2003"/>
    <x v="1"/>
  </r>
  <r>
    <n v="10212"/>
    <s v="S18_2870"/>
    <x v="26"/>
    <x v="21"/>
    <x v="8"/>
    <x v="1"/>
    <s v="Medium"/>
    <n v="7"/>
    <n v="40"/>
    <n v="100"/>
    <n v="132"/>
    <n v="4910.3999999999996"/>
    <n v="-369.6"/>
    <x v="173"/>
    <x v="0"/>
    <n v="1"/>
    <n v="1"/>
    <n v="2004"/>
    <x v="1"/>
  </r>
  <r>
    <n v="10321"/>
    <s v="S18_2870"/>
    <x v="78"/>
    <x v="40"/>
    <x v="0"/>
    <x v="0"/>
    <s v="Small"/>
    <n v="7"/>
    <n v="27"/>
    <n v="100"/>
    <n v="132"/>
    <n v="2851.2"/>
    <n v="-712.8"/>
    <x v="8"/>
    <x v="0"/>
    <n v="4"/>
    <n v="11"/>
    <n v="2004"/>
    <x v="1"/>
  </r>
  <r>
    <n v="10206"/>
    <s v="S18_2949"/>
    <x v="90"/>
    <x v="71"/>
    <x v="6"/>
    <x v="0"/>
    <s v="Medium"/>
    <n v="7"/>
    <n v="37"/>
    <n v="90.17"/>
    <n v="101"/>
    <n v="3336.29"/>
    <n v="-400.71"/>
    <x v="240"/>
    <x v="0"/>
    <n v="4"/>
    <n v="12"/>
    <n v="2003"/>
    <x v="3"/>
  </r>
  <r>
    <n v="10304"/>
    <s v="S18_2949"/>
    <x v="20"/>
    <x v="16"/>
    <x v="3"/>
    <x v="1"/>
    <s v="Medium"/>
    <n v="7"/>
    <n v="46"/>
    <n v="100"/>
    <n v="101"/>
    <n v="4613.8"/>
    <n v="-32.200000000000003"/>
    <x v="241"/>
    <x v="0"/>
    <n v="4"/>
    <n v="10"/>
    <n v="2004"/>
    <x v="3"/>
  </r>
  <r>
    <n v="10167"/>
    <s v="S18_3029"/>
    <x v="51"/>
    <x v="42"/>
    <x v="4"/>
    <x v="1"/>
    <s v="Medium"/>
    <n v="7"/>
    <n v="46"/>
    <n v="73.12"/>
    <n v="86"/>
    <n v="3363.52"/>
    <n v="-592.48"/>
    <x v="68"/>
    <x v="3"/>
    <n v="4"/>
    <n v="10"/>
    <n v="2003"/>
    <x v="5"/>
  </r>
  <r>
    <n v="10186"/>
    <s v="S18_3029"/>
    <x v="52"/>
    <x v="33"/>
    <x v="15"/>
    <x v="1"/>
    <s v="Small"/>
    <n v="7"/>
    <n v="32"/>
    <n v="89.46"/>
    <n v="86"/>
    <n v="2862.72"/>
    <n v="110.72"/>
    <x v="69"/>
    <x v="0"/>
    <n v="4"/>
    <n v="11"/>
    <n v="2003"/>
    <x v="5"/>
  </r>
  <r>
    <n v="10307"/>
    <s v="S18_3029"/>
    <x v="18"/>
    <x v="8"/>
    <x v="0"/>
    <x v="0"/>
    <s v="Small"/>
    <n v="7"/>
    <n v="31"/>
    <n v="83.44"/>
    <n v="86"/>
    <n v="2586.64"/>
    <n v="-79.36"/>
    <x v="71"/>
    <x v="0"/>
    <n v="4"/>
    <n v="10"/>
    <n v="2004"/>
    <x v="5"/>
  </r>
  <r>
    <n v="10400"/>
    <s v="S18_3029"/>
    <x v="55"/>
    <x v="44"/>
    <x v="0"/>
    <x v="0"/>
    <s v="Small"/>
    <n v="7"/>
    <n v="30"/>
    <n v="74.84"/>
    <n v="86"/>
    <n v="2245.1999999999998"/>
    <n v="-334.8"/>
    <x v="74"/>
    <x v="0"/>
    <n v="2"/>
    <n v="4"/>
    <n v="2005"/>
    <x v="5"/>
  </r>
  <r>
    <n v="10322"/>
    <s v="S18_3136"/>
    <x v="8"/>
    <x v="7"/>
    <x v="0"/>
    <x v="0"/>
    <s v="Small"/>
    <n v="7"/>
    <n v="48"/>
    <n v="47.04"/>
    <n v="104"/>
    <n v="2257.92"/>
    <n v="-2734.08"/>
    <x v="8"/>
    <x v="0"/>
    <n v="4"/>
    <n v="11"/>
    <n v="2004"/>
    <x v="3"/>
  </r>
  <r>
    <n v="10153"/>
    <s v="S18_3140"/>
    <x v="26"/>
    <x v="21"/>
    <x v="8"/>
    <x v="1"/>
    <s v="Medium"/>
    <n v="7"/>
    <n v="31"/>
    <n v="100"/>
    <n v="136"/>
    <n v="3641.57"/>
    <n v="-574.42999999999995"/>
    <x v="226"/>
    <x v="0"/>
    <n v="3"/>
    <n v="9"/>
    <n v="2003"/>
    <x v="3"/>
  </r>
  <r>
    <n v="10151"/>
    <s v="S18_3232"/>
    <x v="71"/>
    <x v="58"/>
    <x v="14"/>
    <x v="1"/>
    <s v="Medium"/>
    <n v="7"/>
    <n v="21"/>
    <n v="100"/>
    <n v="169"/>
    <n v="3734.01"/>
    <n v="185.01"/>
    <x v="224"/>
    <x v="0"/>
    <n v="3"/>
    <n v="9"/>
    <n v="2003"/>
    <x v="1"/>
  </r>
  <r>
    <n v="10181"/>
    <s v="S18_3232"/>
    <x v="1"/>
    <x v="1"/>
    <x v="1"/>
    <x v="1"/>
    <s v="Medium"/>
    <n v="7"/>
    <n v="45"/>
    <n v="100"/>
    <n v="169"/>
    <n v="6324.75"/>
    <n v="-1280.25"/>
    <x v="117"/>
    <x v="0"/>
    <n v="4"/>
    <n v="11"/>
    <n v="2003"/>
    <x v="1"/>
  </r>
  <r>
    <n v="10266"/>
    <s v="S18_3232"/>
    <x v="35"/>
    <x v="28"/>
    <x v="12"/>
    <x v="1"/>
    <s v="Medium"/>
    <n v="7"/>
    <n v="29"/>
    <n v="100"/>
    <n v="169"/>
    <n v="4812.55"/>
    <n v="-88.45"/>
    <x v="153"/>
    <x v="0"/>
    <n v="3"/>
    <n v="7"/>
    <n v="2004"/>
    <x v="1"/>
  </r>
  <r>
    <n v="10278"/>
    <s v="S18_3232"/>
    <x v="83"/>
    <x v="65"/>
    <x v="0"/>
    <x v="0"/>
    <s v="Medium"/>
    <n v="7"/>
    <n v="42"/>
    <n v="100"/>
    <n v="169"/>
    <n v="6401.22"/>
    <n v="-696.78"/>
    <x v="154"/>
    <x v="0"/>
    <n v="3"/>
    <n v="8"/>
    <n v="2004"/>
    <x v="1"/>
  </r>
  <r>
    <n v="10117"/>
    <s v="S18_3259"/>
    <x v="17"/>
    <x v="15"/>
    <x v="7"/>
    <x v="2"/>
    <s v="Small"/>
    <n v="7"/>
    <n v="21"/>
    <n v="95.8"/>
    <n v="100"/>
    <n v="2011.8"/>
    <n v="-88.2"/>
    <x v="246"/>
    <x v="0"/>
    <n v="2"/>
    <n v="4"/>
    <n v="2003"/>
    <x v="6"/>
  </r>
  <r>
    <n v="10336"/>
    <s v="S18_3259"/>
    <x v="40"/>
    <x v="9"/>
    <x v="3"/>
    <x v="1"/>
    <s v="Small"/>
    <n v="7"/>
    <n v="21"/>
    <n v="100"/>
    <n v="100"/>
    <n v="2230.41"/>
    <n v="130.41"/>
    <x v="45"/>
    <x v="0"/>
    <n v="4"/>
    <n v="11"/>
    <n v="2004"/>
    <x v="6"/>
  </r>
  <r>
    <n v="10280"/>
    <s v="S18_3320"/>
    <x v="46"/>
    <x v="37"/>
    <x v="12"/>
    <x v="1"/>
    <s v="Medium"/>
    <n v="7"/>
    <n v="34"/>
    <n v="100"/>
    <n v="99"/>
    <n v="3474.46"/>
    <n v="108.46"/>
    <x v="53"/>
    <x v="0"/>
    <n v="3"/>
    <n v="8"/>
    <n v="2004"/>
    <x v="3"/>
  </r>
  <r>
    <n v="10382"/>
    <s v="S18_3320"/>
    <x v="43"/>
    <x v="34"/>
    <x v="0"/>
    <x v="0"/>
    <s v="Large"/>
    <n v="7"/>
    <n v="50"/>
    <n v="100"/>
    <n v="99"/>
    <n v="8935.5"/>
    <n v="3985.5"/>
    <x v="23"/>
    <x v="0"/>
    <n v="1"/>
    <n v="2"/>
    <n v="2005"/>
    <x v="3"/>
  </r>
  <r>
    <n v="10300"/>
    <s v="S18_3482"/>
    <x v="27"/>
    <x v="22"/>
    <x v="9"/>
    <x v="1"/>
    <s v="Medium"/>
    <n v="7"/>
    <n v="23"/>
    <n v="100"/>
    <n v="146"/>
    <n v="3786.49"/>
    <n v="428.49"/>
    <x v="77"/>
    <x v="0"/>
    <n v="4"/>
    <n v="10"/>
    <n v="2003"/>
    <x v="1"/>
  </r>
  <r>
    <n v="10342"/>
    <s v="S18_3482"/>
    <x v="2"/>
    <x v="2"/>
    <x v="2"/>
    <x v="2"/>
    <s v="Medium"/>
    <n v="7"/>
    <n v="55"/>
    <n v="100"/>
    <n v="146"/>
    <n v="6548.3"/>
    <n v="-1481.7"/>
    <x v="38"/>
    <x v="0"/>
    <n v="4"/>
    <n v="11"/>
    <n v="2004"/>
    <x v="1"/>
  </r>
  <r>
    <n v="10355"/>
    <s v="S18_3482"/>
    <x v="26"/>
    <x v="21"/>
    <x v="8"/>
    <x v="1"/>
    <s v="Medium"/>
    <n v="7"/>
    <n v="23"/>
    <n v="100"/>
    <n v="146"/>
    <n v="3177.91"/>
    <n v="-180.09"/>
    <x v="127"/>
    <x v="0"/>
    <n v="4"/>
    <n v="12"/>
    <n v="2004"/>
    <x v="1"/>
  </r>
  <r>
    <n v="10124"/>
    <s v="S18_4409"/>
    <x v="83"/>
    <x v="65"/>
    <x v="0"/>
    <x v="0"/>
    <s v="Medium"/>
    <n v="7"/>
    <n v="36"/>
    <n v="85.59"/>
    <n v="92"/>
    <n v="3081.24"/>
    <n v="-230.76"/>
    <x v="58"/>
    <x v="0"/>
    <n v="2"/>
    <n v="5"/>
    <n v="2003"/>
    <x v="3"/>
  </r>
  <r>
    <n v="10142"/>
    <s v="S18_4522"/>
    <x v="43"/>
    <x v="34"/>
    <x v="0"/>
    <x v="0"/>
    <s v="Small"/>
    <n v="7"/>
    <n v="24"/>
    <n v="70.22"/>
    <n v="87"/>
    <n v="1685.28"/>
    <n v="-402.72"/>
    <x v="182"/>
    <x v="0"/>
    <n v="3"/>
    <n v="8"/>
    <n v="2003"/>
    <x v="3"/>
  </r>
  <r>
    <n v="10315"/>
    <s v="S18_4522"/>
    <x v="3"/>
    <x v="3"/>
    <x v="3"/>
    <x v="1"/>
    <s v="Medium"/>
    <n v="7"/>
    <n v="36"/>
    <n v="100"/>
    <n v="87"/>
    <n v="3602.16"/>
    <n v="470.16"/>
    <x v="183"/>
    <x v="0"/>
    <n v="4"/>
    <n v="10"/>
    <n v="2004"/>
    <x v="3"/>
  </r>
  <r>
    <n v="10372"/>
    <s v="S18_4522"/>
    <x v="41"/>
    <x v="32"/>
    <x v="5"/>
    <x v="2"/>
    <s v="Medium"/>
    <n v="7"/>
    <n v="41"/>
    <n v="86.89"/>
    <n v="87"/>
    <n v="3562.49"/>
    <n v="-4.51"/>
    <x v="46"/>
    <x v="0"/>
    <n v="1"/>
    <n v="1"/>
    <n v="2005"/>
    <x v="3"/>
  </r>
  <r>
    <n v="10383"/>
    <s v="S18_4522"/>
    <x v="26"/>
    <x v="21"/>
    <x v="8"/>
    <x v="1"/>
    <s v="Small"/>
    <n v="7"/>
    <n v="28"/>
    <n v="58.58"/>
    <n v="87"/>
    <n v="1640.24"/>
    <n v="-795.76"/>
    <x v="132"/>
    <x v="0"/>
    <n v="1"/>
    <n v="2"/>
    <n v="2005"/>
    <x v="3"/>
  </r>
  <r>
    <n v="10164"/>
    <s v="S18_4668"/>
    <x v="74"/>
    <x v="60"/>
    <x v="11"/>
    <x v="1"/>
    <s v="Small"/>
    <n v="7"/>
    <n v="25"/>
    <n v="53.83"/>
    <n v="50"/>
    <n v="1345.75"/>
    <n v="95.75"/>
    <x v="138"/>
    <x v="4"/>
    <n v="4"/>
    <n v="10"/>
    <n v="2003"/>
    <x v="3"/>
  </r>
  <r>
    <n v="10245"/>
    <s v="S18_4668"/>
    <x v="68"/>
    <x v="55"/>
    <x v="0"/>
    <x v="0"/>
    <s v="Small"/>
    <n v="7"/>
    <n v="45"/>
    <n v="59.87"/>
    <n v="50"/>
    <n v="2694.15"/>
    <n v="444.15"/>
    <x v="205"/>
    <x v="0"/>
    <n v="2"/>
    <n v="5"/>
    <n v="2004"/>
    <x v="3"/>
  </r>
  <r>
    <n v="10270"/>
    <s v="S18_4668"/>
    <x v="64"/>
    <x v="51"/>
    <x v="2"/>
    <x v="2"/>
    <s v="Small"/>
    <n v="7"/>
    <n v="44"/>
    <n v="58.36"/>
    <n v="50"/>
    <n v="2567.84"/>
    <n v="367.84"/>
    <x v="206"/>
    <x v="0"/>
    <n v="3"/>
    <n v="7"/>
    <n v="2004"/>
    <x v="3"/>
  </r>
  <r>
    <n v="10411"/>
    <s v="S18_4668"/>
    <x v="15"/>
    <x v="13"/>
    <x v="6"/>
    <x v="0"/>
    <s v="Small"/>
    <n v="7"/>
    <n v="35"/>
    <n v="59.87"/>
    <n v="50"/>
    <n v="2095.4499999999998"/>
    <n v="345.45"/>
    <x v="208"/>
    <x v="0"/>
    <n v="2"/>
    <n v="5"/>
    <n v="2005"/>
    <x v="3"/>
  </r>
  <r>
    <n v="10159"/>
    <s v="S18_4721"/>
    <x v="21"/>
    <x v="17"/>
    <x v="0"/>
    <x v="0"/>
    <s v="Medium"/>
    <n v="7"/>
    <n v="32"/>
    <n v="100"/>
    <n v="148"/>
    <n v="4618.88"/>
    <n v="-117.12"/>
    <x v="160"/>
    <x v="0"/>
    <n v="4"/>
    <n v="10"/>
    <n v="2003"/>
    <x v="1"/>
  </r>
  <r>
    <n v="10169"/>
    <s v="S18_4721"/>
    <x v="47"/>
    <x v="38"/>
    <x v="2"/>
    <x v="2"/>
    <s v="Medium"/>
    <n v="7"/>
    <n v="33"/>
    <n v="100"/>
    <n v="148"/>
    <n v="4910.3999999999996"/>
    <n v="26.4"/>
    <x v="185"/>
    <x v="0"/>
    <n v="4"/>
    <n v="11"/>
    <n v="2003"/>
    <x v="1"/>
  </r>
  <r>
    <n v="10211"/>
    <s v="S18_4721"/>
    <x v="11"/>
    <x v="9"/>
    <x v="3"/>
    <x v="1"/>
    <s v="Medium"/>
    <n v="7"/>
    <n v="41"/>
    <n v="100"/>
    <n v="148"/>
    <n v="5673.58"/>
    <n v="-394.42"/>
    <x v="186"/>
    <x v="0"/>
    <n v="1"/>
    <n v="1"/>
    <n v="2004"/>
    <x v="1"/>
  </r>
  <r>
    <n v="10288"/>
    <s v="S18_4933"/>
    <x v="81"/>
    <x v="15"/>
    <x v="7"/>
    <x v="2"/>
    <s v="Small"/>
    <n v="7"/>
    <n v="23"/>
    <n v="73.41"/>
    <n v="71"/>
    <n v="1688.43"/>
    <n v="55.43"/>
    <x v="158"/>
    <x v="0"/>
    <n v="3"/>
    <n v="9"/>
    <n v="2004"/>
    <x v="1"/>
  </r>
  <r>
    <n v="10420"/>
    <s v="S18_4933"/>
    <x v="64"/>
    <x v="51"/>
    <x v="2"/>
    <x v="2"/>
    <s v="Small"/>
    <n v="7"/>
    <n v="36"/>
    <n v="57.73"/>
    <n v="71"/>
    <n v="2078.2800000000002"/>
    <n v="-477.72"/>
    <x v="97"/>
    <x v="2"/>
    <n v="2"/>
    <n v="5"/>
    <n v="2005"/>
    <x v="1"/>
  </r>
  <r>
    <n v="10344"/>
    <s v="S24_1046"/>
    <x v="56"/>
    <x v="45"/>
    <x v="3"/>
    <x v="1"/>
    <s v="Small"/>
    <n v="7"/>
    <n v="29"/>
    <n v="59.53"/>
    <n v="73"/>
    <n v="1726.37"/>
    <n v="-390.63"/>
    <x v="76"/>
    <x v="0"/>
    <n v="4"/>
    <n v="11"/>
    <n v="2004"/>
    <x v="1"/>
  </r>
  <r>
    <n v="10145"/>
    <s v="S24_1578"/>
    <x v="22"/>
    <x v="18"/>
    <x v="0"/>
    <x v="0"/>
    <s v="Medium"/>
    <n v="7"/>
    <n v="43"/>
    <n v="95.8"/>
    <n v="112"/>
    <n v="4119.3999999999996"/>
    <n v="-696.6"/>
    <x v="213"/>
    <x v="0"/>
    <n v="3"/>
    <n v="8"/>
    <n v="2003"/>
    <x v="0"/>
  </r>
  <r>
    <n v="10285"/>
    <s v="S24_1578"/>
    <x v="87"/>
    <x v="36"/>
    <x v="0"/>
    <x v="0"/>
    <s v="Medium"/>
    <n v="7"/>
    <n v="34"/>
    <n v="100"/>
    <n v="112"/>
    <n v="3716.88"/>
    <n v="-91.12"/>
    <x v="215"/>
    <x v="0"/>
    <n v="3"/>
    <n v="8"/>
    <n v="2004"/>
    <x v="0"/>
  </r>
  <r>
    <n v="10329"/>
    <s v="S24_1578"/>
    <x v="5"/>
    <x v="5"/>
    <x v="0"/>
    <x v="0"/>
    <s v="Small"/>
    <n v="7"/>
    <n v="30"/>
    <n v="87.78"/>
    <n v="112"/>
    <n v="2633.4"/>
    <n v="-726.6"/>
    <x v="5"/>
    <x v="0"/>
    <n v="4"/>
    <n v="11"/>
    <n v="2004"/>
    <x v="0"/>
  </r>
  <r>
    <n v="10161"/>
    <s v="S24_1628"/>
    <x v="69"/>
    <x v="56"/>
    <x v="10"/>
    <x v="1"/>
    <s v="Small"/>
    <n v="7"/>
    <n v="23"/>
    <n v="53.33"/>
    <n v="50"/>
    <n v="1226.5899999999999"/>
    <n v="76.59"/>
    <x v="142"/>
    <x v="0"/>
    <n v="4"/>
    <n v="10"/>
    <n v="2003"/>
    <x v="1"/>
  </r>
  <r>
    <n v="10339"/>
    <s v="S24_1785"/>
    <x v="41"/>
    <x v="32"/>
    <x v="5"/>
    <x v="2"/>
    <s v="Small"/>
    <n v="7"/>
    <n v="21"/>
    <n v="50.65"/>
    <n v="109"/>
    <n v="1063.6500000000001"/>
    <n v="-1225.3499999999999"/>
    <x v="90"/>
    <x v="0"/>
    <n v="4"/>
    <n v="11"/>
    <n v="2004"/>
    <x v="4"/>
  </r>
  <r>
    <n v="10149"/>
    <s v="S24_1937"/>
    <x v="58"/>
    <x v="47"/>
    <x v="0"/>
    <x v="0"/>
    <s v="Small"/>
    <n v="7"/>
    <n v="36"/>
    <n v="33.19"/>
    <n v="33"/>
    <n v="1194.8399999999999"/>
    <n v="6.84"/>
    <x v="198"/>
    <x v="0"/>
    <n v="3"/>
    <n v="9"/>
    <n v="2003"/>
    <x v="3"/>
  </r>
  <r>
    <n v="10107"/>
    <s v="S24_2000"/>
    <x v="5"/>
    <x v="5"/>
    <x v="0"/>
    <x v="0"/>
    <s v="Medium"/>
    <n v="7"/>
    <n v="38"/>
    <n v="83.03"/>
    <n v="76"/>
    <n v="3155.14"/>
    <n v="267.14"/>
    <x v="24"/>
    <x v="0"/>
    <n v="1"/>
    <n v="2"/>
    <n v="2003"/>
    <x v="0"/>
  </r>
  <r>
    <n v="10134"/>
    <s v="S24_2000"/>
    <x v="19"/>
    <x v="9"/>
    <x v="3"/>
    <x v="1"/>
    <s v="Medium"/>
    <n v="7"/>
    <n v="43"/>
    <n v="83.03"/>
    <n v="76"/>
    <n v="3570.29"/>
    <n v="302.29000000000002"/>
    <x v="25"/>
    <x v="0"/>
    <n v="3"/>
    <n v="7"/>
    <n v="2003"/>
    <x v="0"/>
  </r>
  <r>
    <n v="10201"/>
    <s v="S24_2000"/>
    <x v="23"/>
    <x v="17"/>
    <x v="0"/>
    <x v="0"/>
    <s v="Small"/>
    <n v="7"/>
    <n v="25"/>
    <n v="73.88"/>
    <n v="76"/>
    <n v="1847"/>
    <n v="-53"/>
    <x v="26"/>
    <x v="0"/>
    <n v="4"/>
    <n v="12"/>
    <n v="2003"/>
    <x v="0"/>
  </r>
  <r>
    <n v="10263"/>
    <s v="S24_2000"/>
    <x v="25"/>
    <x v="20"/>
    <x v="0"/>
    <x v="0"/>
    <s v="Small"/>
    <n v="7"/>
    <n v="37"/>
    <n v="62.46"/>
    <n v="76"/>
    <n v="2311.02"/>
    <n v="-500.98"/>
    <x v="28"/>
    <x v="0"/>
    <n v="2"/>
    <n v="6"/>
    <n v="2004"/>
    <x v="0"/>
  </r>
  <r>
    <n v="10177"/>
    <s v="S24_2011"/>
    <x v="37"/>
    <x v="21"/>
    <x v="8"/>
    <x v="1"/>
    <s v="Medium"/>
    <n v="7"/>
    <n v="50"/>
    <n v="100"/>
    <n v="122"/>
    <n v="6083"/>
    <n v="-17"/>
    <x v="236"/>
    <x v="0"/>
    <n v="4"/>
    <n v="11"/>
    <n v="2003"/>
    <x v="5"/>
  </r>
  <r>
    <n v="10185"/>
    <s v="S24_2011"/>
    <x v="49"/>
    <x v="40"/>
    <x v="0"/>
    <x v="0"/>
    <s v="Medium"/>
    <n v="7"/>
    <n v="30"/>
    <n v="100"/>
    <n v="122"/>
    <n v="3170.7"/>
    <n v="-489.3"/>
    <x v="69"/>
    <x v="0"/>
    <n v="4"/>
    <n v="11"/>
    <n v="2003"/>
    <x v="5"/>
  </r>
  <r>
    <n v="10208"/>
    <s v="S24_2011"/>
    <x v="73"/>
    <x v="59"/>
    <x v="3"/>
    <x v="1"/>
    <s v="Medium"/>
    <n v="7"/>
    <n v="35"/>
    <n v="100"/>
    <n v="122"/>
    <n v="4301.1499999999996"/>
    <n v="31.15"/>
    <x v="237"/>
    <x v="0"/>
    <n v="1"/>
    <n v="1"/>
    <n v="2004"/>
    <x v="5"/>
  </r>
  <r>
    <n v="10306"/>
    <s v="S24_2011"/>
    <x v="62"/>
    <x v="50"/>
    <x v="15"/>
    <x v="1"/>
    <s v="Medium"/>
    <n v="7"/>
    <n v="29"/>
    <n v="100"/>
    <n v="122"/>
    <n v="3207.4"/>
    <n v="-330.6"/>
    <x v="71"/>
    <x v="0"/>
    <n v="4"/>
    <n v="10"/>
    <n v="2004"/>
    <x v="5"/>
  </r>
  <r>
    <n v="10350"/>
    <s v="S24_2011"/>
    <x v="26"/>
    <x v="21"/>
    <x v="8"/>
    <x v="1"/>
    <s v="Small"/>
    <n v="7"/>
    <n v="34"/>
    <n v="50.33"/>
    <n v="122"/>
    <n v="1711.22"/>
    <n v="-2436.7800000000002"/>
    <x v="111"/>
    <x v="0"/>
    <n v="4"/>
    <n v="12"/>
    <n v="2004"/>
    <x v="5"/>
  </r>
  <r>
    <n v="10356"/>
    <s v="S24_2022"/>
    <x v="19"/>
    <x v="9"/>
    <x v="3"/>
    <x v="1"/>
    <s v="Small"/>
    <n v="7"/>
    <n v="26"/>
    <n v="31.86"/>
    <n v="44"/>
    <n v="828.36"/>
    <n v="-315.64"/>
    <x v="96"/>
    <x v="0"/>
    <n v="4"/>
    <n v="12"/>
    <n v="2004"/>
    <x v="3"/>
  </r>
  <r>
    <n v="10358"/>
    <s v="S24_2300"/>
    <x v="26"/>
    <x v="21"/>
    <x v="8"/>
    <x v="1"/>
    <s v="Medium"/>
    <n v="7"/>
    <n v="41"/>
    <n v="100"/>
    <n v="127"/>
    <n v="5684.65"/>
    <n v="477.65"/>
    <x v="54"/>
    <x v="0"/>
    <n v="4"/>
    <n v="12"/>
    <n v="2004"/>
    <x v="2"/>
  </r>
  <r>
    <n v="10319"/>
    <s v="S24_2360"/>
    <x v="72"/>
    <x v="5"/>
    <x v="0"/>
    <x v="0"/>
    <s v="Small"/>
    <n v="7"/>
    <n v="31"/>
    <n v="81.73"/>
    <n v="69"/>
    <n v="2533.63"/>
    <n v="394.63"/>
    <x v="37"/>
    <x v="0"/>
    <n v="4"/>
    <n v="11"/>
    <n v="2004"/>
    <x v="0"/>
  </r>
  <r>
    <n v="10332"/>
    <s v="S24_2766"/>
    <x v="62"/>
    <x v="50"/>
    <x v="15"/>
    <x v="1"/>
    <s v="Medium"/>
    <n v="7"/>
    <n v="39"/>
    <n v="86.72"/>
    <n v="90"/>
    <n v="3382.08"/>
    <n v="-127.92"/>
    <x v="95"/>
    <x v="0"/>
    <n v="4"/>
    <n v="11"/>
    <n v="2004"/>
    <x v="1"/>
  </r>
  <r>
    <n v="10184"/>
    <s v="S24_2840"/>
    <x v="86"/>
    <x v="68"/>
    <x v="8"/>
    <x v="1"/>
    <s v="Small"/>
    <n v="7"/>
    <n v="42"/>
    <n v="31.82"/>
    <n v="35"/>
    <n v="1336.44"/>
    <n v="-133.56"/>
    <x v="69"/>
    <x v="0"/>
    <n v="4"/>
    <n v="11"/>
    <n v="2003"/>
    <x v="1"/>
  </r>
  <r>
    <n v="10195"/>
    <s v="S24_2840"/>
    <x v="13"/>
    <x v="11"/>
    <x v="0"/>
    <x v="0"/>
    <s v="Small"/>
    <n v="7"/>
    <n v="32"/>
    <n v="28.29"/>
    <n v="35"/>
    <n v="905.28"/>
    <n v="-214.72"/>
    <x v="169"/>
    <x v="0"/>
    <n v="4"/>
    <n v="11"/>
    <n v="2003"/>
    <x v="1"/>
  </r>
  <r>
    <n v="10373"/>
    <s v="S24_2841"/>
    <x v="71"/>
    <x v="58"/>
    <x v="14"/>
    <x v="1"/>
    <s v="Small"/>
    <n v="7"/>
    <n v="38"/>
    <n v="70.44"/>
    <n v="68"/>
    <n v="2676.72"/>
    <n v="92.72"/>
    <x v="250"/>
    <x v="0"/>
    <n v="1"/>
    <n v="1"/>
    <n v="2005"/>
    <x v="4"/>
  </r>
  <r>
    <n v="10204"/>
    <s v="S24_2887"/>
    <x v="34"/>
    <x v="5"/>
    <x v="0"/>
    <x v="0"/>
    <s v="Medium"/>
    <n v="7"/>
    <n v="42"/>
    <n v="100"/>
    <n v="117"/>
    <n v="4242"/>
    <n v="-672"/>
    <x v="86"/>
    <x v="0"/>
    <n v="4"/>
    <n v="12"/>
    <n v="2003"/>
    <x v="1"/>
  </r>
  <r>
    <n v="10380"/>
    <s v="S24_2887"/>
    <x v="26"/>
    <x v="21"/>
    <x v="8"/>
    <x v="1"/>
    <s v="Small"/>
    <n v="7"/>
    <n v="44"/>
    <n v="36.29"/>
    <n v="117"/>
    <n v="1596.76"/>
    <n v="-3551.24"/>
    <x v="136"/>
    <x v="0"/>
    <n v="1"/>
    <n v="2"/>
    <n v="2005"/>
    <x v="1"/>
  </r>
  <r>
    <n v="10253"/>
    <s v="S24_2972"/>
    <x v="50"/>
    <x v="41"/>
    <x v="15"/>
    <x v="1"/>
    <s v="Small"/>
    <n v="7"/>
    <n v="40"/>
    <n v="42.67"/>
    <n v="37"/>
    <n v="1706.8"/>
    <n v="226.8"/>
    <x v="65"/>
    <x v="3"/>
    <n v="2"/>
    <n v="6"/>
    <n v="2004"/>
    <x v="1"/>
  </r>
  <r>
    <n v="10378"/>
    <s v="S24_2972"/>
    <x v="26"/>
    <x v="21"/>
    <x v="8"/>
    <x v="1"/>
    <s v="Medium"/>
    <n v="7"/>
    <n v="41"/>
    <n v="100"/>
    <n v="37"/>
    <n v="5856.85"/>
    <n v="4339.8500000000004"/>
    <x v="84"/>
    <x v="0"/>
    <n v="1"/>
    <n v="2"/>
    <n v="2005"/>
    <x v="1"/>
  </r>
  <r>
    <n v="10419"/>
    <s v="S24_2972"/>
    <x v="32"/>
    <x v="26"/>
    <x v="11"/>
    <x v="1"/>
    <s v="Small"/>
    <n v="7"/>
    <n v="15"/>
    <n v="42.67"/>
    <n v="37"/>
    <n v="640.04999999999995"/>
    <n v="85.05"/>
    <x v="67"/>
    <x v="0"/>
    <n v="2"/>
    <n v="5"/>
    <n v="2005"/>
    <x v="1"/>
  </r>
  <r>
    <n v="10396"/>
    <s v="S24_3151"/>
    <x v="43"/>
    <x v="34"/>
    <x v="0"/>
    <x v="0"/>
    <s v="Small"/>
    <n v="7"/>
    <n v="27"/>
    <n v="83.2"/>
    <n v="88"/>
    <n v="2246.4"/>
    <n v="-129.6"/>
    <x v="229"/>
    <x v="0"/>
    <n v="1"/>
    <n v="3"/>
    <n v="2005"/>
    <x v="3"/>
  </r>
  <r>
    <n v="10241"/>
    <s v="S24_3191"/>
    <x v="59"/>
    <x v="48"/>
    <x v="3"/>
    <x v="1"/>
    <s v="Small"/>
    <n v="7"/>
    <n v="26"/>
    <n v="81.33"/>
    <n v="85"/>
    <n v="2114.58"/>
    <n v="-95.42"/>
    <x v="83"/>
    <x v="0"/>
    <n v="2"/>
    <n v="4"/>
    <n v="2004"/>
    <x v="1"/>
  </r>
  <r>
    <n v="10407"/>
    <s v="S24_3191"/>
    <x v="55"/>
    <x v="44"/>
    <x v="0"/>
    <x v="0"/>
    <s v="Small"/>
    <n v="7"/>
    <n v="13"/>
    <n v="81.33"/>
    <n v="85"/>
    <n v="1057.29"/>
    <n v="-47.71"/>
    <x v="85"/>
    <x v="5"/>
    <n v="2"/>
    <n v="4"/>
    <n v="2005"/>
    <x v="1"/>
  </r>
  <r>
    <n v="10203"/>
    <s v="S24_3371"/>
    <x v="26"/>
    <x v="21"/>
    <x v="8"/>
    <x v="1"/>
    <s v="Small"/>
    <n v="7"/>
    <n v="34"/>
    <n v="64.900000000000006"/>
    <n v="61"/>
    <n v="2206.6"/>
    <n v="132.6"/>
    <x v="86"/>
    <x v="0"/>
    <n v="4"/>
    <n v="12"/>
    <n v="2003"/>
    <x v="1"/>
  </r>
  <r>
    <n v="10155"/>
    <s v="S24_3420"/>
    <x v="44"/>
    <x v="35"/>
    <x v="14"/>
    <x v="1"/>
    <s v="Small"/>
    <n v="7"/>
    <n v="34"/>
    <n v="55.89"/>
    <n v="65"/>
    <n v="1900.26"/>
    <n v="-309.74"/>
    <x v="75"/>
    <x v="0"/>
    <n v="4"/>
    <n v="10"/>
    <n v="2003"/>
    <x v="3"/>
  </r>
  <r>
    <n v="10148"/>
    <s v="S24_3432"/>
    <x v="47"/>
    <x v="38"/>
    <x v="2"/>
    <x v="2"/>
    <s v="Medium"/>
    <n v="7"/>
    <n v="27"/>
    <n v="100"/>
    <n v="107"/>
    <n v="3469.5"/>
    <n v="580.5"/>
    <x v="134"/>
    <x v="0"/>
    <n v="3"/>
    <n v="9"/>
    <n v="2003"/>
    <x v="1"/>
  </r>
  <r>
    <n v="10311"/>
    <s v="S24_3432"/>
    <x v="26"/>
    <x v="21"/>
    <x v="8"/>
    <x v="1"/>
    <s v="Medium"/>
    <n v="7"/>
    <n v="46"/>
    <n v="92.09"/>
    <n v="107"/>
    <n v="4236.1400000000003"/>
    <n v="-685.86"/>
    <x v="81"/>
    <x v="0"/>
    <n v="4"/>
    <n v="10"/>
    <n v="2004"/>
    <x v="1"/>
  </r>
  <r>
    <n v="10209"/>
    <s v="S24_3816"/>
    <x v="70"/>
    <x v="57"/>
    <x v="0"/>
    <x v="0"/>
    <s v="Small"/>
    <n v="7"/>
    <n v="22"/>
    <n v="89.73"/>
    <n v="83"/>
    <n v="1974.06"/>
    <n v="148.06"/>
    <x v="175"/>
    <x v="0"/>
    <n v="1"/>
    <n v="1"/>
    <n v="2004"/>
    <x v="3"/>
  </r>
  <r>
    <n v="10287"/>
    <s v="S24_3856"/>
    <x v="48"/>
    <x v="39"/>
    <x v="16"/>
    <x v="1"/>
    <s v="Medium"/>
    <n v="7"/>
    <n v="36"/>
    <n v="100"/>
    <n v="140"/>
    <n v="4297.32"/>
    <n v="-742.68"/>
    <x v="99"/>
    <x v="0"/>
    <n v="3"/>
    <n v="8"/>
    <n v="2004"/>
    <x v="1"/>
  </r>
  <r>
    <n v="10361"/>
    <s v="S24_3949"/>
    <x v="64"/>
    <x v="51"/>
    <x v="2"/>
    <x v="2"/>
    <s v="Medium"/>
    <n v="7"/>
    <n v="26"/>
    <n v="100"/>
    <n v="68"/>
    <n v="3710.98"/>
    <n v="1942.98"/>
    <x v="201"/>
    <x v="0"/>
    <n v="4"/>
    <n v="12"/>
    <n v="2004"/>
    <x v="4"/>
  </r>
  <r>
    <n v="10162"/>
    <s v="S24_3969"/>
    <x v="21"/>
    <x v="17"/>
    <x v="0"/>
    <x v="0"/>
    <s v="Small"/>
    <n v="7"/>
    <n v="37"/>
    <n v="38.979999999999997"/>
    <n v="41"/>
    <n v="1442.26"/>
    <n v="-74.739999999999995"/>
    <x v="60"/>
    <x v="0"/>
    <n v="4"/>
    <n v="10"/>
    <n v="2003"/>
    <x v="3"/>
  </r>
  <r>
    <n v="10127"/>
    <s v="S24_4048"/>
    <x v="34"/>
    <x v="5"/>
    <x v="0"/>
    <x v="0"/>
    <s v="Small"/>
    <n v="7"/>
    <n v="20"/>
    <n v="96.99"/>
    <n v="118"/>
    <n v="1939.8"/>
    <n v="-420.2"/>
    <x v="40"/>
    <x v="0"/>
    <n v="2"/>
    <n v="6"/>
    <n v="2003"/>
    <x v="1"/>
  </r>
  <r>
    <n v="10176"/>
    <s v="S24_4048"/>
    <x v="35"/>
    <x v="28"/>
    <x v="12"/>
    <x v="1"/>
    <s v="Small"/>
    <n v="7"/>
    <n v="29"/>
    <n v="100"/>
    <n v="118"/>
    <n v="2915.66"/>
    <n v="-506.34"/>
    <x v="21"/>
    <x v="0"/>
    <n v="4"/>
    <n v="11"/>
    <n v="2003"/>
    <x v="1"/>
  </r>
  <r>
    <n v="10220"/>
    <s v="S24_4048"/>
    <x v="36"/>
    <x v="29"/>
    <x v="13"/>
    <x v="1"/>
    <s v="Medium"/>
    <n v="7"/>
    <n v="37"/>
    <n v="100"/>
    <n v="118"/>
    <n v="5032.74"/>
    <n v="666.74"/>
    <x v="41"/>
    <x v="0"/>
    <n v="1"/>
    <n v="2"/>
    <n v="2004"/>
    <x v="1"/>
  </r>
  <r>
    <n v="10359"/>
    <s v="S24_4048"/>
    <x v="82"/>
    <x v="64"/>
    <x v="3"/>
    <x v="1"/>
    <s v="Small"/>
    <n v="7"/>
    <n v="22"/>
    <n v="100"/>
    <n v="118"/>
    <n v="2603.04"/>
    <n v="7.04"/>
    <x v="218"/>
    <x v="0"/>
    <n v="4"/>
    <n v="12"/>
    <n v="2004"/>
    <x v="1"/>
  </r>
  <r>
    <n v="10394"/>
    <s v="S24_4048"/>
    <x v="26"/>
    <x v="21"/>
    <x v="8"/>
    <x v="1"/>
    <s v="Medium"/>
    <n v="7"/>
    <n v="37"/>
    <n v="100"/>
    <n v="118"/>
    <n v="5207.75"/>
    <n v="841.75"/>
    <x v="133"/>
    <x v="0"/>
    <n v="1"/>
    <n v="3"/>
    <n v="2005"/>
    <x v="1"/>
  </r>
  <r>
    <n v="10215"/>
    <s v="S24_4258"/>
    <x v="79"/>
    <x v="62"/>
    <x v="0"/>
    <x v="0"/>
    <s v="Medium"/>
    <n v="7"/>
    <n v="39"/>
    <n v="90.57"/>
    <n v="97"/>
    <n v="3532.23"/>
    <n v="-250.77"/>
    <x v="139"/>
    <x v="0"/>
    <n v="1"/>
    <n v="1"/>
    <n v="2004"/>
    <x v="3"/>
  </r>
  <r>
    <n v="10312"/>
    <s v="S24_4258"/>
    <x v="43"/>
    <x v="34"/>
    <x v="0"/>
    <x v="0"/>
    <s v="Medium"/>
    <n v="7"/>
    <n v="44"/>
    <n v="100"/>
    <n v="97"/>
    <n v="4884.88"/>
    <n v="616.88"/>
    <x v="140"/>
    <x v="0"/>
    <n v="4"/>
    <n v="10"/>
    <n v="2004"/>
    <x v="3"/>
  </r>
  <r>
    <n v="10191"/>
    <s v="S24_4620"/>
    <x v="29"/>
    <x v="23"/>
    <x v="9"/>
    <x v="1"/>
    <s v="Small"/>
    <n v="7"/>
    <n v="44"/>
    <n v="66.290000000000006"/>
    <n v="80"/>
    <n v="2916.76"/>
    <n v="-603.24"/>
    <x v="34"/>
    <x v="0"/>
    <n v="4"/>
    <n v="11"/>
    <n v="2003"/>
    <x v="1"/>
  </r>
  <r>
    <n v="10238"/>
    <s v="S24_4620"/>
    <x v="30"/>
    <x v="24"/>
    <x v="10"/>
    <x v="1"/>
    <s v="Small"/>
    <n v="7"/>
    <n v="22"/>
    <n v="93.77"/>
    <n v="80"/>
    <n v="2062.94"/>
    <n v="302.94"/>
    <x v="35"/>
    <x v="0"/>
    <n v="2"/>
    <n v="4"/>
    <n v="2004"/>
    <x v="1"/>
  </r>
  <r>
    <n v="10276"/>
    <s v="S24_4620"/>
    <x v="31"/>
    <x v="25"/>
    <x v="0"/>
    <x v="0"/>
    <s v="Medium"/>
    <n v="7"/>
    <n v="48"/>
    <n v="75.180000000000007"/>
    <n v="80"/>
    <n v="3608.64"/>
    <n v="-231.36"/>
    <x v="36"/>
    <x v="0"/>
    <n v="3"/>
    <n v="8"/>
    <n v="2004"/>
    <x v="1"/>
  </r>
  <r>
    <n v="10114"/>
    <s v="S32_1268"/>
    <x v="40"/>
    <x v="9"/>
    <x v="3"/>
    <x v="1"/>
    <s v="Medium"/>
    <n v="7"/>
    <n v="32"/>
    <n v="100"/>
    <n v="96"/>
    <n v="3667.52"/>
    <n v="595.52"/>
    <x v="174"/>
    <x v="0"/>
    <n v="2"/>
    <n v="4"/>
    <n v="2003"/>
    <x v="2"/>
  </r>
  <r>
    <n v="10168"/>
    <s v="S32_1374"/>
    <x v="0"/>
    <x v="0"/>
    <x v="0"/>
    <x v="0"/>
    <s v="Medium"/>
    <n v="7"/>
    <n v="28"/>
    <n v="100"/>
    <n v="99"/>
    <n v="3244.36"/>
    <n v="472.36"/>
    <x v="0"/>
    <x v="0"/>
    <n v="4"/>
    <n v="10"/>
    <n v="2003"/>
    <x v="0"/>
  </r>
  <r>
    <n v="10188"/>
    <s v="S32_1374"/>
    <x v="1"/>
    <x v="1"/>
    <x v="1"/>
    <x v="1"/>
    <s v="Medium"/>
    <n v="7"/>
    <n v="44"/>
    <n v="98.89"/>
    <n v="99"/>
    <n v="4351.16"/>
    <n v="-4.84"/>
    <x v="1"/>
    <x v="0"/>
    <n v="4"/>
    <n v="11"/>
    <n v="2003"/>
    <x v="0"/>
  </r>
  <r>
    <n v="10223"/>
    <s v="S32_1374"/>
    <x v="2"/>
    <x v="2"/>
    <x v="2"/>
    <x v="2"/>
    <s v="Small"/>
    <n v="7"/>
    <n v="21"/>
    <n v="100"/>
    <n v="99"/>
    <n v="2475.27"/>
    <n v="396.27"/>
    <x v="2"/>
    <x v="0"/>
    <n v="1"/>
    <n v="2"/>
    <n v="2004"/>
    <x v="0"/>
  </r>
  <r>
    <n v="10275"/>
    <s v="S32_1374"/>
    <x v="3"/>
    <x v="3"/>
    <x v="3"/>
    <x v="1"/>
    <s v="Small"/>
    <n v="7"/>
    <n v="23"/>
    <n v="81.91"/>
    <n v="99"/>
    <n v="1883.93"/>
    <n v="-393.07"/>
    <x v="3"/>
    <x v="0"/>
    <n v="3"/>
    <n v="7"/>
    <n v="2004"/>
    <x v="0"/>
  </r>
  <r>
    <n v="10318"/>
    <s v="S32_1374"/>
    <x v="4"/>
    <x v="4"/>
    <x v="0"/>
    <x v="0"/>
    <s v="Medium"/>
    <n v="7"/>
    <n v="47"/>
    <n v="100"/>
    <n v="99"/>
    <n v="5305.36"/>
    <n v="652.36"/>
    <x v="4"/>
    <x v="0"/>
    <n v="4"/>
    <n v="11"/>
    <n v="2004"/>
    <x v="0"/>
  </r>
  <r>
    <n v="10141"/>
    <s v="S32_2509"/>
    <x v="38"/>
    <x v="30"/>
    <x v="14"/>
    <x v="1"/>
    <s v="Small"/>
    <n v="7"/>
    <n v="24"/>
    <n v="45.99"/>
    <n v="54"/>
    <n v="1103.76"/>
    <n v="-192.24"/>
    <x v="195"/>
    <x v="0"/>
    <n v="3"/>
    <n v="8"/>
    <n v="2003"/>
    <x v="2"/>
  </r>
  <r>
    <n v="10246"/>
    <s v="S32_2509"/>
    <x v="26"/>
    <x v="21"/>
    <x v="8"/>
    <x v="1"/>
    <s v="Small"/>
    <n v="7"/>
    <n v="35"/>
    <n v="48.7"/>
    <n v="54"/>
    <n v="1704.5"/>
    <n v="-185.5"/>
    <x v="43"/>
    <x v="0"/>
    <n v="2"/>
    <n v="5"/>
    <n v="2004"/>
    <x v="2"/>
  </r>
  <r>
    <n v="10271"/>
    <s v="S32_2509"/>
    <x v="43"/>
    <x v="34"/>
    <x v="0"/>
    <x v="0"/>
    <s v="Small"/>
    <n v="7"/>
    <n v="35"/>
    <n v="47.62"/>
    <n v="54"/>
    <n v="1666.7"/>
    <n v="-223.3"/>
    <x v="44"/>
    <x v="0"/>
    <n v="3"/>
    <n v="7"/>
    <n v="2004"/>
    <x v="2"/>
  </r>
  <r>
    <n v="10305"/>
    <s v="S32_2509"/>
    <x v="87"/>
    <x v="36"/>
    <x v="0"/>
    <x v="0"/>
    <s v="Small"/>
    <n v="7"/>
    <n v="40"/>
    <n v="57.9"/>
    <n v="54"/>
    <n v="2316"/>
    <n v="156"/>
    <x v="196"/>
    <x v="0"/>
    <n v="4"/>
    <n v="10"/>
    <n v="2004"/>
    <x v="2"/>
  </r>
  <r>
    <n v="10412"/>
    <s v="S32_2509"/>
    <x v="26"/>
    <x v="21"/>
    <x v="8"/>
    <x v="1"/>
    <s v="Small"/>
    <n v="7"/>
    <n v="19"/>
    <n v="48.7"/>
    <n v="54"/>
    <n v="925.3"/>
    <n v="-100.7"/>
    <x v="197"/>
    <x v="0"/>
    <n v="2"/>
    <n v="5"/>
    <n v="2005"/>
    <x v="2"/>
  </r>
  <r>
    <n v="10165"/>
    <s v="S32_3207"/>
    <x v="17"/>
    <x v="15"/>
    <x v="7"/>
    <x v="2"/>
    <s v="Small"/>
    <n v="7"/>
    <n v="44"/>
    <n v="53.44"/>
    <n v="62"/>
    <n v="2351.36"/>
    <n v="-376.64"/>
    <x v="116"/>
    <x v="0"/>
    <n v="4"/>
    <n v="10"/>
    <n v="2003"/>
    <x v="6"/>
  </r>
  <r>
    <n v="10103"/>
    <s v="S32_3522"/>
    <x v="39"/>
    <x v="31"/>
    <x v="1"/>
    <x v="1"/>
    <s v="Medium"/>
    <n v="7"/>
    <n v="45"/>
    <n v="75.63"/>
    <n v="64"/>
    <n v="3403.35"/>
    <n v="523.35"/>
    <x v="166"/>
    <x v="0"/>
    <n v="1"/>
    <n v="1"/>
    <n v="2003"/>
    <x v="2"/>
  </r>
  <r>
    <n v="10126"/>
    <s v="S32_3522"/>
    <x v="63"/>
    <x v="21"/>
    <x v="8"/>
    <x v="1"/>
    <s v="Small"/>
    <n v="7"/>
    <n v="26"/>
    <n v="62.7"/>
    <n v="64"/>
    <n v="1630.2"/>
    <n v="-33.799999999999997"/>
    <x v="167"/>
    <x v="0"/>
    <n v="2"/>
    <n v="5"/>
    <n v="2003"/>
    <x v="2"/>
  </r>
  <r>
    <n v="10140"/>
    <s v="S32_3522"/>
    <x v="0"/>
    <x v="0"/>
    <x v="0"/>
    <x v="0"/>
    <s v="Small"/>
    <n v="7"/>
    <n v="28"/>
    <n v="60.76"/>
    <n v="64"/>
    <n v="1701.28"/>
    <n v="-90.72"/>
    <x v="168"/>
    <x v="0"/>
    <n v="3"/>
    <n v="7"/>
    <n v="2003"/>
    <x v="2"/>
  </r>
  <r>
    <n v="10194"/>
    <s v="S32_3522"/>
    <x v="73"/>
    <x v="59"/>
    <x v="3"/>
    <x v="1"/>
    <s v="Small"/>
    <n v="7"/>
    <n v="39"/>
    <n v="54.94"/>
    <n v="64"/>
    <n v="2142.66"/>
    <n v="-353.34"/>
    <x v="169"/>
    <x v="0"/>
    <n v="4"/>
    <n v="11"/>
    <n v="2003"/>
    <x v="2"/>
  </r>
  <r>
    <n v="10217"/>
    <s v="S32_3522"/>
    <x v="81"/>
    <x v="15"/>
    <x v="7"/>
    <x v="2"/>
    <s v="Small"/>
    <n v="7"/>
    <n v="39"/>
    <n v="62.05"/>
    <n v="64"/>
    <n v="2419.9499999999998"/>
    <n v="-76.05"/>
    <x v="170"/>
    <x v="0"/>
    <n v="1"/>
    <n v="2"/>
    <n v="2004"/>
    <x v="2"/>
  </r>
  <r>
    <n v="10291"/>
    <s v="S32_3522"/>
    <x v="51"/>
    <x v="42"/>
    <x v="4"/>
    <x v="1"/>
    <s v="Small"/>
    <n v="7"/>
    <n v="32"/>
    <n v="71.75"/>
    <n v="64"/>
    <n v="2296"/>
    <n v="248"/>
    <x v="171"/>
    <x v="0"/>
    <n v="3"/>
    <n v="9"/>
    <n v="2004"/>
    <x v="2"/>
  </r>
  <r>
    <n v="10250"/>
    <s v="S32_4289"/>
    <x v="55"/>
    <x v="44"/>
    <x v="0"/>
    <x v="0"/>
    <s v="Medium"/>
    <n v="7"/>
    <n v="50"/>
    <n v="61.22"/>
    <n v="68"/>
    <n v="3061"/>
    <n v="-339"/>
    <x v="161"/>
    <x v="0"/>
    <n v="2"/>
    <n v="5"/>
    <n v="2004"/>
    <x v="3"/>
  </r>
  <r>
    <n v="10297"/>
    <s v="S32_4289"/>
    <x v="36"/>
    <x v="29"/>
    <x v="13"/>
    <x v="1"/>
    <s v="Small"/>
    <n v="7"/>
    <n v="28"/>
    <n v="79.8"/>
    <n v="68"/>
    <n v="2234.4"/>
    <n v="330.4"/>
    <x v="162"/>
    <x v="0"/>
    <n v="3"/>
    <n v="9"/>
    <n v="2004"/>
    <x v="3"/>
  </r>
  <r>
    <n v="10353"/>
    <s v="S32_4289"/>
    <x v="61"/>
    <x v="27"/>
    <x v="0"/>
    <x v="0"/>
    <s v="Small"/>
    <n v="7"/>
    <n v="40"/>
    <n v="44.51"/>
    <n v="68"/>
    <n v="1780.4"/>
    <n v="-939.6"/>
    <x v="89"/>
    <x v="0"/>
    <n v="4"/>
    <n v="12"/>
    <n v="2004"/>
    <x v="3"/>
  </r>
  <r>
    <n v="10416"/>
    <s v="S32_4289"/>
    <x v="35"/>
    <x v="28"/>
    <x v="12"/>
    <x v="1"/>
    <s v="Small"/>
    <n v="7"/>
    <n v="26"/>
    <n v="61.22"/>
    <n v="68"/>
    <n v="1591.72"/>
    <n v="-176.28"/>
    <x v="163"/>
    <x v="0"/>
    <n v="2"/>
    <n v="5"/>
    <n v="2005"/>
    <x v="3"/>
  </r>
  <r>
    <n v="10180"/>
    <s v="S32_4485"/>
    <x v="75"/>
    <x v="61"/>
    <x v="3"/>
    <x v="1"/>
    <s v="Small"/>
    <n v="7"/>
    <n v="22"/>
    <n v="100"/>
    <n v="102"/>
    <n v="2514.6"/>
    <n v="270.60000000000002"/>
    <x v="202"/>
    <x v="0"/>
    <n v="4"/>
    <n v="11"/>
    <n v="2003"/>
    <x v="0"/>
  </r>
  <r>
    <n v="10264"/>
    <s v="S32_4485"/>
    <x v="16"/>
    <x v="14"/>
    <x v="0"/>
    <x v="0"/>
    <s v="Medium"/>
    <n v="7"/>
    <n v="34"/>
    <n v="97.97"/>
    <n v="102"/>
    <n v="3330.98"/>
    <n v="-137.02000000000001"/>
    <x v="203"/>
    <x v="0"/>
    <n v="2"/>
    <n v="6"/>
    <n v="2004"/>
    <x v="0"/>
  </r>
  <r>
    <n v="10299"/>
    <s v="S32_4485"/>
    <x v="44"/>
    <x v="35"/>
    <x v="14"/>
    <x v="1"/>
    <s v="Medium"/>
    <n v="7"/>
    <n v="38"/>
    <n v="100"/>
    <n v="102"/>
    <n v="4382.16"/>
    <n v="506.16"/>
    <x v="204"/>
    <x v="0"/>
    <n v="3"/>
    <n v="9"/>
    <n v="2004"/>
    <x v="0"/>
  </r>
  <r>
    <n v="10133"/>
    <s v="S50_1341"/>
    <x v="26"/>
    <x v="21"/>
    <x v="8"/>
    <x v="1"/>
    <s v="Small"/>
    <n v="7"/>
    <n v="27"/>
    <n v="50.19"/>
    <n v="43"/>
    <n v="1355.13"/>
    <n v="194.13"/>
    <x v="209"/>
    <x v="0"/>
    <n v="2"/>
    <n v="6"/>
    <n v="2003"/>
    <x v="3"/>
  </r>
  <r>
    <n v="10235"/>
    <s v="S50_1341"/>
    <x v="89"/>
    <x v="70"/>
    <x v="6"/>
    <x v="0"/>
    <s v="Small"/>
    <n v="7"/>
    <n v="41"/>
    <n v="35.35"/>
    <n v="43"/>
    <n v="1449.35"/>
    <n v="-313.64999999999998"/>
    <x v="210"/>
    <x v="0"/>
    <n v="2"/>
    <n v="4"/>
    <n v="2004"/>
    <x v="3"/>
  </r>
  <r>
    <n v="10328"/>
    <s v="S50_1341"/>
    <x v="67"/>
    <x v="54"/>
    <x v="12"/>
    <x v="1"/>
    <s v="Small"/>
    <n v="7"/>
    <n v="34"/>
    <n v="51.93"/>
    <n v="43"/>
    <n v="1765.62"/>
    <n v="303.62"/>
    <x v="177"/>
    <x v="0"/>
    <n v="4"/>
    <n v="11"/>
    <n v="2004"/>
    <x v="3"/>
  </r>
  <r>
    <n v="10401"/>
    <s v="S50_1341"/>
    <x v="24"/>
    <x v="19"/>
    <x v="0"/>
    <x v="0"/>
    <s v="Small"/>
    <n v="7"/>
    <n v="56"/>
    <n v="35.35"/>
    <n v="43"/>
    <n v="1979.6"/>
    <n v="-428.4"/>
    <x v="212"/>
    <x v="5"/>
    <n v="2"/>
    <n v="4"/>
    <n v="2005"/>
    <x v="3"/>
  </r>
  <r>
    <n v="10104"/>
    <s v="S50_1392"/>
    <x v="26"/>
    <x v="21"/>
    <x v="8"/>
    <x v="1"/>
    <s v="Medium"/>
    <n v="7"/>
    <n v="33"/>
    <n v="100"/>
    <n v="115"/>
    <n v="3705.24"/>
    <n v="-89.76"/>
    <x v="31"/>
    <x v="0"/>
    <n v="1"/>
    <n v="1"/>
    <n v="2003"/>
    <x v="2"/>
  </r>
  <r>
    <n v="10230"/>
    <s v="S50_1392"/>
    <x v="27"/>
    <x v="22"/>
    <x v="9"/>
    <x v="1"/>
    <s v="Medium"/>
    <n v="7"/>
    <n v="34"/>
    <n v="100"/>
    <n v="115"/>
    <n v="3974.94"/>
    <n v="64.94"/>
    <x v="32"/>
    <x v="0"/>
    <n v="1"/>
    <n v="3"/>
    <n v="2004"/>
    <x v="2"/>
  </r>
  <r>
    <n v="10196"/>
    <s v="S50_1514"/>
    <x v="68"/>
    <x v="55"/>
    <x v="0"/>
    <x v="0"/>
    <s v="Small"/>
    <n v="7"/>
    <n v="46"/>
    <n v="62.09"/>
    <n v="58"/>
    <n v="2856.14"/>
    <n v="188.14"/>
    <x v="108"/>
    <x v="0"/>
    <n v="4"/>
    <n v="11"/>
    <n v="2003"/>
    <x v="6"/>
  </r>
  <r>
    <n v="10282"/>
    <s v="S50_1514"/>
    <x v="43"/>
    <x v="34"/>
    <x v="0"/>
    <x v="0"/>
    <s v="Small"/>
    <n v="7"/>
    <n v="37"/>
    <n v="66.78"/>
    <n v="58"/>
    <n v="2470.86"/>
    <n v="324.86"/>
    <x v="109"/>
    <x v="0"/>
    <n v="3"/>
    <n v="8"/>
    <n v="2004"/>
    <x v="6"/>
  </r>
  <r>
    <n v="10314"/>
    <s v="S50_1514"/>
    <x v="69"/>
    <x v="56"/>
    <x v="10"/>
    <x v="1"/>
    <s v="Small"/>
    <n v="7"/>
    <n v="38"/>
    <n v="61.51"/>
    <n v="58"/>
    <n v="2337.38"/>
    <n v="133.38"/>
    <x v="110"/>
    <x v="0"/>
    <n v="4"/>
    <n v="10"/>
    <n v="2004"/>
    <x v="6"/>
  </r>
  <r>
    <n v="10325"/>
    <s v="S50_1514"/>
    <x v="39"/>
    <x v="31"/>
    <x v="1"/>
    <x v="1"/>
    <s v="Medium"/>
    <n v="7"/>
    <n v="44"/>
    <n v="100"/>
    <n v="58"/>
    <n v="5932.96"/>
    <n v="3380.96"/>
    <x v="33"/>
    <x v="0"/>
    <n v="4"/>
    <n v="11"/>
    <n v="2004"/>
    <x v="6"/>
  </r>
  <r>
    <n v="10252"/>
    <s v="S50_4713"/>
    <x v="11"/>
    <x v="9"/>
    <x v="3"/>
    <x v="1"/>
    <s v="Medium"/>
    <n v="7"/>
    <n v="48"/>
    <n v="72.41"/>
    <n v="81"/>
    <n v="3475.68"/>
    <n v="-412.32"/>
    <x v="120"/>
    <x v="0"/>
    <n v="2"/>
    <n v="5"/>
    <n v="2004"/>
    <x v="0"/>
  </r>
  <r>
    <n v="10273"/>
    <s v="S700_1138"/>
    <x v="66"/>
    <x v="53"/>
    <x v="17"/>
    <x v="1"/>
    <s v="Small"/>
    <n v="7"/>
    <n v="21"/>
    <n v="65.34"/>
    <n v="66"/>
    <n v="1372.14"/>
    <n v="-13.86"/>
    <x v="70"/>
    <x v="0"/>
    <n v="3"/>
    <n v="7"/>
    <n v="2004"/>
    <x v="5"/>
  </r>
  <r>
    <n v="10106"/>
    <s v="S700_1691"/>
    <x v="67"/>
    <x v="54"/>
    <x v="12"/>
    <x v="1"/>
    <s v="Medium"/>
    <n v="7"/>
    <n v="31"/>
    <n v="100"/>
    <n v="91"/>
    <n v="3312.97"/>
    <n v="491.97"/>
    <x v="242"/>
    <x v="0"/>
    <n v="1"/>
    <n v="2"/>
    <n v="2003"/>
    <x v="4"/>
  </r>
  <r>
    <n v="10232"/>
    <s v="S700_1938"/>
    <x v="84"/>
    <x v="66"/>
    <x v="15"/>
    <x v="1"/>
    <s v="Small"/>
    <n v="7"/>
    <n v="26"/>
    <n v="88.34"/>
    <n v="86"/>
    <n v="2296.84"/>
    <n v="60.84"/>
    <x v="244"/>
    <x v="0"/>
    <n v="1"/>
    <n v="3"/>
    <n v="2004"/>
    <x v="5"/>
  </r>
  <r>
    <n v="10327"/>
    <s v="S700_1938"/>
    <x v="30"/>
    <x v="24"/>
    <x v="10"/>
    <x v="1"/>
    <s v="Medium"/>
    <n v="7"/>
    <n v="20"/>
    <n v="100"/>
    <n v="86"/>
    <n v="3469.2"/>
    <n v="1749.2"/>
    <x v="239"/>
    <x v="4"/>
    <n v="4"/>
    <n v="11"/>
    <n v="2004"/>
    <x v="5"/>
  </r>
  <r>
    <n v="10119"/>
    <s v="S700_2047"/>
    <x v="32"/>
    <x v="26"/>
    <x v="11"/>
    <x v="1"/>
    <s v="Small"/>
    <n v="7"/>
    <n v="29"/>
    <n v="94.14"/>
    <n v="90"/>
    <n v="2730.06"/>
    <n v="120.06"/>
    <x v="247"/>
    <x v="0"/>
    <n v="2"/>
    <n v="4"/>
    <n v="2003"/>
    <x v="5"/>
  </r>
  <r>
    <n v="10398"/>
    <s v="S700_2047"/>
    <x v="82"/>
    <x v="64"/>
    <x v="3"/>
    <x v="1"/>
    <s v="Medium"/>
    <n v="7"/>
    <n v="36"/>
    <n v="100"/>
    <n v="90"/>
    <n v="3910.32"/>
    <n v="670.32"/>
    <x v="248"/>
    <x v="0"/>
    <n v="1"/>
    <n v="3"/>
    <n v="2005"/>
    <x v="5"/>
  </r>
  <r>
    <n v="10340"/>
    <s v="S700_2466"/>
    <x v="88"/>
    <x v="69"/>
    <x v="8"/>
    <x v="1"/>
    <s v="Medium"/>
    <n v="7"/>
    <n v="55"/>
    <n v="87.75"/>
    <n v="99"/>
    <n v="4826.25"/>
    <n v="-618.75"/>
    <x v="38"/>
    <x v="0"/>
    <n v="4"/>
    <n v="11"/>
    <n v="2004"/>
    <x v="4"/>
  </r>
  <r>
    <n v="10197"/>
    <s v="S700_2610"/>
    <x v="88"/>
    <x v="69"/>
    <x v="8"/>
    <x v="1"/>
    <s v="Medium"/>
    <n v="7"/>
    <n v="50"/>
    <n v="78.790000000000006"/>
    <n v="72"/>
    <n v="3939.5"/>
    <n v="339.5"/>
    <x v="108"/>
    <x v="0"/>
    <n v="4"/>
    <n v="11"/>
    <n v="2003"/>
    <x v="5"/>
  </r>
  <r>
    <n v="10283"/>
    <s v="S700_2610"/>
    <x v="89"/>
    <x v="70"/>
    <x v="6"/>
    <x v="0"/>
    <s v="Medium"/>
    <n v="7"/>
    <n v="47"/>
    <n v="65.77"/>
    <n v="72"/>
    <n v="3091.19"/>
    <n v="-292.81"/>
    <x v="109"/>
    <x v="0"/>
    <n v="3"/>
    <n v="8"/>
    <n v="2004"/>
    <x v="5"/>
  </r>
  <r>
    <n v="10348"/>
    <s v="S700_2824"/>
    <x v="63"/>
    <x v="21"/>
    <x v="8"/>
    <x v="1"/>
    <s v="Small"/>
    <n v="7"/>
    <n v="32"/>
    <n v="82.83"/>
    <n v="101"/>
    <n v="2650.56"/>
    <n v="-581.44000000000005"/>
    <x v="156"/>
    <x v="0"/>
    <n v="4"/>
    <n v="11"/>
    <n v="2004"/>
    <x v="1"/>
  </r>
  <r>
    <n v="10120"/>
    <s v="S700_2834"/>
    <x v="2"/>
    <x v="2"/>
    <x v="2"/>
    <x v="2"/>
    <s v="Medium"/>
    <n v="7"/>
    <n v="24"/>
    <n v="100"/>
    <n v="118"/>
    <n v="3417.12"/>
    <n v="585.12"/>
    <x v="149"/>
    <x v="0"/>
    <n v="2"/>
    <n v="4"/>
    <n v="2003"/>
    <x v="4"/>
  </r>
  <r>
    <n v="10284"/>
    <s v="S700_3167"/>
    <x v="60"/>
    <x v="49"/>
    <x v="1"/>
    <x v="1"/>
    <s v="Small"/>
    <n v="7"/>
    <n v="25"/>
    <n v="69.599999999999994"/>
    <n v="80"/>
    <n v="1740"/>
    <n v="-260"/>
    <x v="88"/>
    <x v="0"/>
    <n v="3"/>
    <n v="8"/>
    <n v="2004"/>
    <x v="4"/>
  </r>
  <r>
    <n v="10248"/>
    <s v="S700_3505"/>
    <x v="5"/>
    <x v="5"/>
    <x v="0"/>
    <x v="0"/>
    <s v="Medium"/>
    <n v="7"/>
    <n v="30"/>
    <n v="100"/>
    <n v="100"/>
    <n v="3245.4"/>
    <n v="245.4"/>
    <x v="105"/>
    <x v="3"/>
    <n v="2"/>
    <n v="5"/>
    <n v="2004"/>
    <x v="5"/>
  </r>
  <r>
    <n v="10414"/>
    <s v="S700_3505"/>
    <x v="16"/>
    <x v="14"/>
    <x v="0"/>
    <x v="0"/>
    <s v="Medium"/>
    <n v="7"/>
    <n v="28"/>
    <n v="100"/>
    <n v="100"/>
    <n v="3029.04"/>
    <n v="229.04"/>
    <x v="106"/>
    <x v="5"/>
    <n v="2"/>
    <n v="5"/>
    <n v="2005"/>
    <x v="5"/>
  </r>
  <r>
    <n v="10105"/>
    <s v="S700_3962"/>
    <x v="30"/>
    <x v="24"/>
    <x v="10"/>
    <x v="1"/>
    <s v="Small"/>
    <n v="7"/>
    <n v="22"/>
    <n v="100"/>
    <n v="99"/>
    <n v="2556.1799999999998"/>
    <n v="378.18"/>
    <x v="187"/>
    <x v="0"/>
    <n v="1"/>
    <n v="2"/>
    <n v="2003"/>
    <x v="5"/>
  </r>
  <r>
    <n v="10129"/>
    <s v="S700_3962"/>
    <x v="42"/>
    <x v="33"/>
    <x v="15"/>
    <x v="1"/>
    <s v="Small"/>
    <n v="7"/>
    <n v="30"/>
    <n v="85.41"/>
    <n v="99"/>
    <n v="2562.3000000000002"/>
    <n v="-407.7"/>
    <x v="188"/>
    <x v="0"/>
    <n v="2"/>
    <n v="6"/>
    <n v="2003"/>
    <x v="5"/>
  </r>
  <r>
    <n v="10337"/>
    <s v="S700_3962"/>
    <x v="7"/>
    <x v="5"/>
    <x v="0"/>
    <x v="0"/>
    <s v="Small"/>
    <n v="7"/>
    <n v="36"/>
    <n v="71.89"/>
    <n v="99"/>
    <n v="2588.04"/>
    <n v="-975.96"/>
    <x v="245"/>
    <x v="0"/>
    <n v="4"/>
    <n v="11"/>
    <n v="2004"/>
    <x v="5"/>
  </r>
  <r>
    <n v="10262"/>
    <s v="S700_4002"/>
    <x v="26"/>
    <x v="21"/>
    <x v="8"/>
    <x v="1"/>
    <s v="Small"/>
    <n v="7"/>
    <n v="35"/>
    <n v="71.069999999999993"/>
    <n v="74"/>
    <n v="2487.4499999999998"/>
    <n v="-102.55"/>
    <x v="155"/>
    <x v="3"/>
    <n v="2"/>
    <n v="6"/>
    <n v="2004"/>
    <x v="4"/>
  </r>
  <r>
    <n v="10316"/>
    <s v="S700_4002"/>
    <x v="84"/>
    <x v="66"/>
    <x v="15"/>
    <x v="1"/>
    <s v="Small"/>
    <n v="7"/>
    <n v="44"/>
    <n v="62.19"/>
    <n v="74"/>
    <n v="2736.36"/>
    <n v="-519.64"/>
    <x v="156"/>
    <x v="0"/>
    <n v="4"/>
    <n v="11"/>
    <n v="2004"/>
    <x v="4"/>
  </r>
  <r>
    <n v="10131"/>
    <s v="S72_1253"/>
    <x v="61"/>
    <x v="27"/>
    <x v="0"/>
    <x v="0"/>
    <s v="Small"/>
    <n v="7"/>
    <n v="21"/>
    <n v="41.71"/>
    <n v="49"/>
    <n v="875.91"/>
    <n v="-153.09"/>
    <x v="129"/>
    <x v="0"/>
    <n v="2"/>
    <n v="6"/>
    <n v="2003"/>
    <x v="4"/>
  </r>
  <r>
    <n v="10178"/>
    <s v="S72_1253"/>
    <x v="57"/>
    <x v="46"/>
    <x v="3"/>
    <x v="1"/>
    <s v="Small"/>
    <n v="7"/>
    <n v="45"/>
    <n v="51.15"/>
    <n v="49"/>
    <n v="2301.75"/>
    <n v="96.75"/>
    <x v="231"/>
    <x v="0"/>
    <n v="4"/>
    <n v="11"/>
    <n v="2003"/>
    <x v="4"/>
  </r>
  <r>
    <n v="10222"/>
    <s v="S72_1253"/>
    <x v="80"/>
    <x v="63"/>
    <x v="0"/>
    <x v="0"/>
    <s v="Small"/>
    <n v="7"/>
    <n v="31"/>
    <n v="45.69"/>
    <n v="49"/>
    <n v="1416.39"/>
    <n v="-102.61"/>
    <x v="233"/>
    <x v="0"/>
    <n v="1"/>
    <n v="2"/>
    <n v="2004"/>
    <x v="4"/>
  </r>
  <r>
    <n v="10261"/>
    <s v="S72_3212"/>
    <x v="15"/>
    <x v="13"/>
    <x v="6"/>
    <x v="0"/>
    <s v="Small"/>
    <n v="7"/>
    <n v="29"/>
    <n v="50.78"/>
    <n v="54"/>
    <n v="1472.62"/>
    <n v="-93.38"/>
    <x v="16"/>
    <x v="0"/>
    <n v="2"/>
    <n v="6"/>
    <n v="2004"/>
    <x v="5"/>
  </r>
  <r>
    <n v="10150"/>
    <s v="S10_1949"/>
    <x v="17"/>
    <x v="15"/>
    <x v="7"/>
    <x v="2"/>
    <s v="Large"/>
    <n v="8"/>
    <n v="45"/>
    <n v="100"/>
    <n v="214"/>
    <n v="10993.5"/>
    <n v="1363.5"/>
    <x v="18"/>
    <x v="0"/>
    <n v="3"/>
    <n v="9"/>
    <n v="2003"/>
    <x v="1"/>
  </r>
  <r>
    <n v="10183"/>
    <s v="S10_1949"/>
    <x v="18"/>
    <x v="8"/>
    <x v="0"/>
    <x v="0"/>
    <s v="Medium"/>
    <n v="8"/>
    <n v="23"/>
    <n v="100"/>
    <n v="214"/>
    <n v="5372.57"/>
    <n v="450.57"/>
    <x v="19"/>
    <x v="0"/>
    <n v="4"/>
    <n v="11"/>
    <n v="2003"/>
    <x v="1"/>
  </r>
  <r>
    <n v="10361"/>
    <s v="S10_2016"/>
    <x v="64"/>
    <x v="51"/>
    <x v="2"/>
    <x v="2"/>
    <s v="Small"/>
    <n v="8"/>
    <n v="26"/>
    <n v="51.15"/>
    <n v="118"/>
    <n v="1329.9"/>
    <n v="-1738.1"/>
    <x v="201"/>
    <x v="0"/>
    <n v="4"/>
    <n v="12"/>
    <n v="2004"/>
    <x v="0"/>
  </r>
  <r>
    <n v="10145"/>
    <s v="S10_4698"/>
    <x v="22"/>
    <x v="18"/>
    <x v="0"/>
    <x v="0"/>
    <s v="Medium"/>
    <n v="8"/>
    <n v="33"/>
    <n v="100"/>
    <n v="193"/>
    <n v="5176.38"/>
    <n v="-1192.6199999999999"/>
    <x v="213"/>
    <x v="0"/>
    <n v="3"/>
    <n v="8"/>
    <n v="2003"/>
    <x v="0"/>
  </r>
  <r>
    <n v="10285"/>
    <s v="S10_4698"/>
    <x v="87"/>
    <x v="36"/>
    <x v="0"/>
    <x v="0"/>
    <s v="Medium"/>
    <n v="8"/>
    <n v="27"/>
    <n v="100"/>
    <n v="193"/>
    <n v="5438.07"/>
    <n v="227.07"/>
    <x v="215"/>
    <x v="0"/>
    <n v="3"/>
    <n v="8"/>
    <n v="2004"/>
    <x v="0"/>
  </r>
  <r>
    <n v="10209"/>
    <s v="S10_4757"/>
    <x v="70"/>
    <x v="57"/>
    <x v="0"/>
    <x v="0"/>
    <s v="Medium"/>
    <n v="8"/>
    <n v="39"/>
    <n v="100"/>
    <n v="136"/>
    <n v="5197.92"/>
    <n v="-106.08"/>
    <x v="175"/>
    <x v="0"/>
    <n v="1"/>
    <n v="1"/>
    <n v="2004"/>
    <x v="1"/>
  </r>
  <r>
    <n v="10337"/>
    <s v="S10_4757"/>
    <x v="7"/>
    <x v="5"/>
    <x v="0"/>
    <x v="0"/>
    <s v="Small"/>
    <n v="8"/>
    <n v="25"/>
    <n v="48.05"/>
    <n v="136"/>
    <n v="1201.25"/>
    <n v="-2198.75"/>
    <x v="245"/>
    <x v="0"/>
    <n v="4"/>
    <n v="11"/>
    <n v="2004"/>
    <x v="1"/>
  </r>
  <r>
    <n v="10114"/>
    <s v="S10_4962"/>
    <x v="40"/>
    <x v="9"/>
    <x v="3"/>
    <x v="1"/>
    <s v="Medium"/>
    <n v="8"/>
    <n v="31"/>
    <n v="100"/>
    <n v="147"/>
    <n v="4305.28"/>
    <n v="-251.72"/>
    <x v="174"/>
    <x v="0"/>
    <n v="2"/>
    <n v="4"/>
    <n v="2003"/>
    <x v="1"/>
  </r>
  <r>
    <n v="10322"/>
    <s v="S10_4962"/>
    <x v="8"/>
    <x v="7"/>
    <x v="0"/>
    <x v="0"/>
    <s v="Small"/>
    <n v="8"/>
    <n v="46"/>
    <n v="61.99"/>
    <n v="147"/>
    <n v="2851.54"/>
    <n v="-3910.46"/>
    <x v="8"/>
    <x v="0"/>
    <n v="4"/>
    <n v="11"/>
    <n v="2004"/>
    <x v="1"/>
  </r>
  <r>
    <n v="10203"/>
    <s v="S12_1099"/>
    <x v="26"/>
    <x v="21"/>
    <x v="8"/>
    <x v="1"/>
    <s v="Medium"/>
    <n v="8"/>
    <n v="20"/>
    <n v="100"/>
    <n v="194"/>
    <n v="3930.4"/>
    <n v="50.4"/>
    <x v="86"/>
    <x v="0"/>
    <n v="4"/>
    <n v="12"/>
    <n v="2003"/>
    <x v="1"/>
  </r>
  <r>
    <n v="10293"/>
    <s v="S12_1108"/>
    <x v="46"/>
    <x v="37"/>
    <x v="12"/>
    <x v="1"/>
    <s v="Large"/>
    <n v="8"/>
    <n v="46"/>
    <n v="100"/>
    <n v="207"/>
    <n v="8411.56"/>
    <n v="-1110.44"/>
    <x v="249"/>
    <x v="0"/>
    <n v="3"/>
    <n v="9"/>
    <n v="2004"/>
    <x v="1"/>
  </r>
  <r>
    <n v="10325"/>
    <s v="S12_1108"/>
    <x v="39"/>
    <x v="31"/>
    <x v="1"/>
    <x v="1"/>
    <s v="Small"/>
    <n v="8"/>
    <n v="42"/>
    <n v="64"/>
    <n v="207"/>
    <n v="2688"/>
    <n v="-6006"/>
    <x v="33"/>
    <x v="0"/>
    <n v="4"/>
    <n v="11"/>
    <n v="2004"/>
    <x v="1"/>
  </r>
  <r>
    <n v="10348"/>
    <s v="S12_1108"/>
    <x v="63"/>
    <x v="21"/>
    <x v="8"/>
    <x v="1"/>
    <s v="Small"/>
    <n v="8"/>
    <n v="48"/>
    <n v="52.36"/>
    <n v="207"/>
    <n v="2513.2800000000002"/>
    <n v="-7422.72"/>
    <x v="156"/>
    <x v="0"/>
    <n v="4"/>
    <n v="11"/>
    <n v="2004"/>
    <x v="1"/>
  </r>
  <r>
    <n v="10359"/>
    <s v="S12_1108"/>
    <x v="82"/>
    <x v="64"/>
    <x v="3"/>
    <x v="1"/>
    <s v="Medium"/>
    <n v="8"/>
    <n v="42"/>
    <n v="100"/>
    <n v="207"/>
    <n v="4764.4799999999996"/>
    <n v="-3929.52"/>
    <x v="218"/>
    <x v="0"/>
    <n v="4"/>
    <n v="12"/>
    <n v="2004"/>
    <x v="1"/>
  </r>
  <r>
    <n v="10103"/>
    <s v="S12_1666"/>
    <x v="39"/>
    <x v="31"/>
    <x v="1"/>
    <x v="1"/>
    <s v="Medium"/>
    <n v="8"/>
    <n v="27"/>
    <n v="100"/>
    <n v="136"/>
    <n v="3394.98"/>
    <n v="-277.02"/>
    <x v="166"/>
    <x v="0"/>
    <n v="1"/>
    <n v="1"/>
    <n v="2003"/>
    <x v="2"/>
  </r>
  <r>
    <n v="10126"/>
    <s v="S12_1666"/>
    <x v="63"/>
    <x v="21"/>
    <x v="8"/>
    <x v="1"/>
    <s v="Small"/>
    <n v="8"/>
    <n v="21"/>
    <n v="100"/>
    <n v="136"/>
    <n v="2439.5700000000002"/>
    <n v="-416.43"/>
    <x v="167"/>
    <x v="0"/>
    <n v="2"/>
    <n v="5"/>
    <n v="2003"/>
    <x v="2"/>
  </r>
  <r>
    <n v="10140"/>
    <s v="S12_1666"/>
    <x v="0"/>
    <x v="0"/>
    <x v="0"/>
    <x v="0"/>
    <s v="Medium"/>
    <n v="8"/>
    <n v="38"/>
    <n v="100"/>
    <n v="136"/>
    <n v="4829.8"/>
    <n v="-338.2"/>
    <x v="168"/>
    <x v="0"/>
    <n v="3"/>
    <n v="7"/>
    <n v="2003"/>
    <x v="2"/>
  </r>
  <r>
    <n v="10194"/>
    <s v="S12_1666"/>
    <x v="73"/>
    <x v="59"/>
    <x v="3"/>
    <x v="1"/>
    <s v="Medium"/>
    <n v="8"/>
    <n v="38"/>
    <n v="100"/>
    <n v="136"/>
    <n v="4933.92"/>
    <n v="-234.08"/>
    <x v="169"/>
    <x v="0"/>
    <n v="4"/>
    <n v="11"/>
    <n v="2003"/>
    <x v="2"/>
  </r>
  <r>
    <n v="10291"/>
    <s v="S12_1666"/>
    <x v="51"/>
    <x v="42"/>
    <x v="4"/>
    <x v="1"/>
    <s v="Medium"/>
    <n v="8"/>
    <n v="41"/>
    <n v="100"/>
    <n v="136"/>
    <n v="6387.8"/>
    <n v="811.8"/>
    <x v="171"/>
    <x v="0"/>
    <n v="3"/>
    <n v="9"/>
    <n v="2004"/>
    <x v="2"/>
  </r>
  <r>
    <n v="10357"/>
    <s v="S12_1666"/>
    <x v="43"/>
    <x v="34"/>
    <x v="0"/>
    <x v="0"/>
    <s v="Medium"/>
    <n v="8"/>
    <n v="49"/>
    <n v="100"/>
    <n v="136"/>
    <n v="5960.36"/>
    <n v="-703.64"/>
    <x v="54"/>
    <x v="0"/>
    <n v="4"/>
    <n v="12"/>
    <n v="2004"/>
    <x v="2"/>
  </r>
  <r>
    <n v="10370"/>
    <s v="S12_1666"/>
    <x v="47"/>
    <x v="38"/>
    <x v="2"/>
    <x v="2"/>
    <s v="Large"/>
    <n v="8"/>
    <n v="49"/>
    <n v="100"/>
    <n v="136"/>
    <n v="8470.14"/>
    <n v="1806.14"/>
    <x v="55"/>
    <x v="0"/>
    <n v="1"/>
    <n v="1"/>
    <n v="2005"/>
    <x v="2"/>
  </r>
  <r>
    <n v="10180"/>
    <s v="S12_2823"/>
    <x v="75"/>
    <x v="61"/>
    <x v="3"/>
    <x v="1"/>
    <s v="Medium"/>
    <n v="8"/>
    <n v="40"/>
    <n v="100"/>
    <n v="150"/>
    <n v="6747.6"/>
    <n v="747.6"/>
    <x v="202"/>
    <x v="0"/>
    <n v="4"/>
    <n v="11"/>
    <n v="2003"/>
    <x v="0"/>
  </r>
  <r>
    <n v="10299"/>
    <s v="S12_2823"/>
    <x v="44"/>
    <x v="35"/>
    <x v="14"/>
    <x v="1"/>
    <s v="Medium"/>
    <n v="8"/>
    <n v="24"/>
    <n v="100"/>
    <n v="150"/>
    <n v="4157.04"/>
    <n v="557.04"/>
    <x v="204"/>
    <x v="0"/>
    <n v="3"/>
    <n v="9"/>
    <n v="2004"/>
    <x v="0"/>
  </r>
  <r>
    <n v="10341"/>
    <s v="S12_2823"/>
    <x v="32"/>
    <x v="26"/>
    <x v="11"/>
    <x v="1"/>
    <s v="Large"/>
    <n v="8"/>
    <n v="55"/>
    <n v="100"/>
    <n v="150"/>
    <n v="8118.55"/>
    <n v="-131.44999999999999"/>
    <x v="38"/>
    <x v="0"/>
    <n v="4"/>
    <n v="11"/>
    <n v="2004"/>
    <x v="0"/>
  </r>
  <r>
    <n v="10122"/>
    <s v="S12_3380"/>
    <x v="56"/>
    <x v="45"/>
    <x v="3"/>
    <x v="1"/>
    <s v="Medium"/>
    <n v="8"/>
    <n v="37"/>
    <n v="99.82"/>
    <n v="117"/>
    <n v="3693.34"/>
    <n v="-635.66"/>
    <x v="78"/>
    <x v="0"/>
    <n v="2"/>
    <n v="5"/>
    <n v="2003"/>
    <x v="1"/>
  </r>
  <r>
    <n v="10310"/>
    <s v="S12_3380"/>
    <x v="29"/>
    <x v="23"/>
    <x v="9"/>
    <x v="1"/>
    <s v="Medium"/>
    <n v="8"/>
    <n v="24"/>
    <n v="100"/>
    <n v="117"/>
    <n v="3100.32"/>
    <n v="292.32"/>
    <x v="81"/>
    <x v="0"/>
    <n v="4"/>
    <n v="10"/>
    <n v="2004"/>
    <x v="1"/>
  </r>
  <r>
    <n v="10117"/>
    <s v="S12_3891"/>
    <x v="17"/>
    <x v="15"/>
    <x v="7"/>
    <x v="2"/>
    <s v="Medium"/>
    <n v="8"/>
    <n v="39"/>
    <n v="100"/>
    <n v="173"/>
    <n v="5938.14"/>
    <n v="-808.86"/>
    <x v="246"/>
    <x v="0"/>
    <n v="2"/>
    <n v="4"/>
    <n v="2003"/>
    <x v="1"/>
  </r>
  <r>
    <n v="10135"/>
    <s v="S12_3990"/>
    <x v="43"/>
    <x v="34"/>
    <x v="0"/>
    <x v="0"/>
    <s v="Small"/>
    <n v="8"/>
    <n v="24"/>
    <n v="75.010000000000005"/>
    <n v="79"/>
    <n v="1800.24"/>
    <n v="-95.76"/>
    <x v="180"/>
    <x v="0"/>
    <n v="3"/>
    <n v="7"/>
    <n v="2003"/>
    <x v="1"/>
  </r>
  <r>
    <n v="10147"/>
    <s v="S12_3990"/>
    <x v="53"/>
    <x v="25"/>
    <x v="0"/>
    <x v="0"/>
    <s v="Small"/>
    <n v="8"/>
    <n v="21"/>
    <n v="63.84"/>
    <n v="79"/>
    <n v="1340.64"/>
    <n v="-318.36"/>
    <x v="181"/>
    <x v="0"/>
    <n v="3"/>
    <n v="9"/>
    <n v="2003"/>
    <x v="1"/>
  </r>
  <r>
    <n v="10292"/>
    <s v="S12_4473"/>
    <x v="5"/>
    <x v="5"/>
    <x v="0"/>
    <x v="0"/>
    <s v="Small"/>
    <n v="8"/>
    <n v="21"/>
    <n v="100"/>
    <n v="118"/>
    <n v="2214.87"/>
    <n v="-263.13"/>
    <x v="171"/>
    <x v="0"/>
    <n v="3"/>
    <n v="9"/>
    <n v="2004"/>
    <x v="2"/>
  </r>
  <r>
    <n v="10389"/>
    <s v="S12_4675"/>
    <x v="51"/>
    <x v="42"/>
    <x v="4"/>
    <x v="1"/>
    <s v="Medium"/>
    <n v="8"/>
    <n v="47"/>
    <n v="100"/>
    <n v="115"/>
    <n v="5243.79"/>
    <n v="-161.21"/>
    <x v="150"/>
    <x v="0"/>
    <n v="1"/>
    <n v="3"/>
    <n v="2005"/>
    <x v="1"/>
  </r>
  <r>
    <n v="10164"/>
    <s v="S18_1097"/>
    <x v="74"/>
    <x v="60"/>
    <x v="11"/>
    <x v="1"/>
    <s v="Medium"/>
    <n v="8"/>
    <n v="36"/>
    <n v="99.17"/>
    <n v="116"/>
    <n v="3570.12"/>
    <n v="-605.88"/>
    <x v="138"/>
    <x v="4"/>
    <n v="4"/>
    <n v="10"/>
    <n v="2003"/>
    <x v="2"/>
  </r>
  <r>
    <n v="10245"/>
    <s v="S18_1097"/>
    <x v="68"/>
    <x v="55"/>
    <x v="0"/>
    <x v="0"/>
    <s v="Medium"/>
    <n v="8"/>
    <n v="29"/>
    <n v="100"/>
    <n v="116"/>
    <n v="3451"/>
    <n v="87"/>
    <x v="205"/>
    <x v="0"/>
    <n v="2"/>
    <n v="5"/>
    <n v="2004"/>
    <x v="2"/>
  </r>
  <r>
    <n v="10270"/>
    <s v="S18_1097"/>
    <x v="64"/>
    <x v="51"/>
    <x v="2"/>
    <x v="2"/>
    <s v="Medium"/>
    <n v="8"/>
    <n v="43"/>
    <n v="96.84"/>
    <n v="116"/>
    <n v="4164.12"/>
    <n v="-823.88"/>
    <x v="206"/>
    <x v="0"/>
    <n v="3"/>
    <n v="7"/>
    <n v="2004"/>
    <x v="2"/>
  </r>
  <r>
    <n v="10411"/>
    <s v="S18_1097"/>
    <x v="15"/>
    <x v="13"/>
    <x v="6"/>
    <x v="0"/>
    <s v="Medium"/>
    <n v="8"/>
    <n v="27"/>
    <n v="100"/>
    <n v="116"/>
    <n v="3213"/>
    <n v="81"/>
    <x v="208"/>
    <x v="0"/>
    <n v="2"/>
    <n v="5"/>
    <n v="2005"/>
    <x v="2"/>
  </r>
  <r>
    <n v="10301"/>
    <s v="S18_1129"/>
    <x v="60"/>
    <x v="49"/>
    <x v="1"/>
    <x v="1"/>
    <s v="Medium"/>
    <n v="8"/>
    <n v="37"/>
    <n v="100"/>
    <n v="141"/>
    <n v="5917.78"/>
    <n v="700.78"/>
    <x v="146"/>
    <x v="0"/>
    <n v="4"/>
    <n v="10"/>
    <n v="2003"/>
    <x v="1"/>
  </r>
  <r>
    <n v="10356"/>
    <s v="S18_1129"/>
    <x v="19"/>
    <x v="9"/>
    <x v="3"/>
    <x v="1"/>
    <s v="Medium"/>
    <n v="8"/>
    <n v="43"/>
    <n v="97.6"/>
    <n v="141"/>
    <n v="4196.8"/>
    <n v="-1866.2"/>
    <x v="96"/>
    <x v="0"/>
    <n v="4"/>
    <n v="12"/>
    <n v="2004"/>
    <x v="1"/>
  </r>
  <r>
    <n v="10369"/>
    <s v="S18_1342"/>
    <x v="53"/>
    <x v="25"/>
    <x v="0"/>
    <x v="0"/>
    <s v="Large"/>
    <n v="8"/>
    <n v="44"/>
    <n v="100"/>
    <n v="102"/>
    <n v="9240.44"/>
    <n v="4752.4399999999996"/>
    <x v="55"/>
    <x v="0"/>
    <n v="1"/>
    <n v="1"/>
    <n v="2005"/>
    <x v="3"/>
  </r>
  <r>
    <n v="10280"/>
    <s v="S18_1367"/>
    <x v="46"/>
    <x v="37"/>
    <x v="12"/>
    <x v="1"/>
    <s v="Small"/>
    <n v="8"/>
    <n v="27"/>
    <n v="57.68"/>
    <n v="53"/>
    <n v="1557.36"/>
    <n v="126.36"/>
    <x v="53"/>
    <x v="0"/>
    <n v="3"/>
    <n v="8"/>
    <n v="2004"/>
    <x v="3"/>
  </r>
  <r>
    <n v="10161"/>
    <s v="S18_1589"/>
    <x v="69"/>
    <x v="56"/>
    <x v="10"/>
    <x v="1"/>
    <s v="Medium"/>
    <n v="8"/>
    <n v="43"/>
    <n v="100"/>
    <n v="124"/>
    <n v="6153.73"/>
    <n v="821.73"/>
    <x v="142"/>
    <x v="0"/>
    <n v="4"/>
    <n v="10"/>
    <n v="2003"/>
    <x v="1"/>
  </r>
  <r>
    <n v="10287"/>
    <s v="S18_1889"/>
    <x v="48"/>
    <x v="39"/>
    <x v="16"/>
    <x v="1"/>
    <s v="Medium"/>
    <n v="8"/>
    <n v="44"/>
    <n v="82.39"/>
    <n v="77"/>
    <n v="3625.16"/>
    <n v="237.16"/>
    <x v="99"/>
    <x v="0"/>
    <n v="3"/>
    <n v="8"/>
    <n v="2004"/>
    <x v="1"/>
  </r>
  <r>
    <n v="10331"/>
    <s v="S18_1984"/>
    <x v="9"/>
    <x v="8"/>
    <x v="0"/>
    <x v="0"/>
    <s v="Small"/>
    <n v="8"/>
    <n v="30"/>
    <n v="32.47"/>
    <n v="142"/>
    <n v="974.1"/>
    <n v="-3285.9"/>
    <x v="95"/>
    <x v="0"/>
    <n v="4"/>
    <n v="11"/>
    <n v="2004"/>
    <x v="1"/>
  </r>
  <r>
    <n v="10104"/>
    <s v="S18_2238"/>
    <x v="26"/>
    <x v="21"/>
    <x v="8"/>
    <x v="1"/>
    <s v="Medium"/>
    <n v="8"/>
    <n v="24"/>
    <n v="100"/>
    <n v="163"/>
    <n v="3457.92"/>
    <n v="-454.08"/>
    <x v="31"/>
    <x v="0"/>
    <n v="1"/>
    <n v="1"/>
    <n v="2003"/>
    <x v="1"/>
  </r>
  <r>
    <n v="10230"/>
    <s v="S18_2238"/>
    <x v="27"/>
    <x v="22"/>
    <x v="9"/>
    <x v="1"/>
    <s v="Large"/>
    <n v="8"/>
    <n v="49"/>
    <n v="100"/>
    <n v="163"/>
    <n v="7300.51"/>
    <n v="-686.49"/>
    <x v="32"/>
    <x v="0"/>
    <n v="1"/>
    <n v="3"/>
    <n v="2004"/>
    <x v="1"/>
  </r>
  <r>
    <n v="10324"/>
    <s v="S18_2238"/>
    <x v="28"/>
    <x v="5"/>
    <x v="0"/>
    <x v="0"/>
    <s v="Large"/>
    <n v="8"/>
    <n v="47"/>
    <n v="100"/>
    <n v="163"/>
    <n v="7207.45"/>
    <n v="-453.55"/>
    <x v="33"/>
    <x v="0"/>
    <n v="4"/>
    <n v="11"/>
    <n v="2004"/>
    <x v="1"/>
  </r>
  <r>
    <n v="10349"/>
    <s v="S18_2238"/>
    <x v="34"/>
    <x v="5"/>
    <x v="0"/>
    <x v="0"/>
    <s v="Medium"/>
    <n v="8"/>
    <n v="38"/>
    <n v="100"/>
    <n v="163"/>
    <n v="6719.54"/>
    <n v="525.54"/>
    <x v="216"/>
    <x v="0"/>
    <n v="4"/>
    <n v="12"/>
    <n v="2004"/>
    <x v="1"/>
  </r>
  <r>
    <n v="10162"/>
    <s v="S18_2248"/>
    <x v="21"/>
    <x v="17"/>
    <x v="0"/>
    <x v="0"/>
    <s v="Small"/>
    <n v="8"/>
    <n v="27"/>
    <n v="69.62"/>
    <n v="60"/>
    <n v="1879.74"/>
    <n v="259.74"/>
    <x v="60"/>
    <x v="0"/>
    <n v="4"/>
    <n v="10"/>
    <n v="2003"/>
    <x v="3"/>
  </r>
  <r>
    <n v="10141"/>
    <s v="S18_2319"/>
    <x v="38"/>
    <x v="30"/>
    <x v="14"/>
    <x v="1"/>
    <s v="Medium"/>
    <n v="8"/>
    <n v="47"/>
    <n v="100"/>
    <n v="122"/>
    <n v="6287.66"/>
    <n v="553.66"/>
    <x v="195"/>
    <x v="0"/>
    <n v="3"/>
    <n v="8"/>
    <n v="2003"/>
    <x v="2"/>
  </r>
  <r>
    <n v="10246"/>
    <s v="S18_2319"/>
    <x v="26"/>
    <x v="21"/>
    <x v="8"/>
    <x v="1"/>
    <s v="Small"/>
    <n v="8"/>
    <n v="22"/>
    <n v="98.18"/>
    <n v="122"/>
    <n v="2159.96"/>
    <n v="-524.04"/>
    <x v="43"/>
    <x v="0"/>
    <n v="2"/>
    <n v="5"/>
    <n v="2004"/>
    <x v="2"/>
  </r>
  <r>
    <n v="10271"/>
    <s v="S18_2319"/>
    <x v="43"/>
    <x v="34"/>
    <x v="0"/>
    <x v="0"/>
    <s v="Medium"/>
    <n v="8"/>
    <n v="50"/>
    <n v="100"/>
    <n v="122"/>
    <n v="5093.5"/>
    <n v="-1006.5"/>
    <x v="44"/>
    <x v="0"/>
    <n v="3"/>
    <n v="7"/>
    <n v="2004"/>
    <x v="2"/>
  </r>
  <r>
    <n v="10305"/>
    <s v="S18_2319"/>
    <x v="87"/>
    <x v="36"/>
    <x v="0"/>
    <x v="0"/>
    <s v="Medium"/>
    <n v="8"/>
    <n v="36"/>
    <n v="100"/>
    <n v="122"/>
    <n v="4816.08"/>
    <n v="424.08"/>
    <x v="196"/>
    <x v="0"/>
    <n v="4"/>
    <n v="10"/>
    <n v="2004"/>
    <x v="2"/>
  </r>
  <r>
    <n v="10412"/>
    <s v="S18_2319"/>
    <x v="26"/>
    <x v="21"/>
    <x v="8"/>
    <x v="1"/>
    <s v="Medium"/>
    <n v="8"/>
    <n v="56"/>
    <n v="98.18"/>
    <n v="122"/>
    <n v="5498.08"/>
    <n v="-1333.92"/>
    <x v="197"/>
    <x v="0"/>
    <n v="2"/>
    <n v="5"/>
    <n v="2005"/>
    <x v="2"/>
  </r>
  <r>
    <n v="10149"/>
    <s v="S18_2325"/>
    <x v="58"/>
    <x v="47"/>
    <x v="0"/>
    <x v="0"/>
    <s v="Medium"/>
    <n v="8"/>
    <n v="33"/>
    <n v="100"/>
    <n v="127"/>
    <n v="4950.33"/>
    <n v="759.33"/>
    <x v="198"/>
    <x v="0"/>
    <n v="3"/>
    <n v="9"/>
    <n v="2003"/>
    <x v="3"/>
  </r>
  <r>
    <n v="10332"/>
    <s v="S18_2325"/>
    <x v="62"/>
    <x v="50"/>
    <x v="15"/>
    <x v="1"/>
    <s v="Small"/>
    <n v="8"/>
    <n v="35"/>
    <n v="64.69"/>
    <n v="127"/>
    <n v="2264.15"/>
    <n v="-2180.85"/>
    <x v="95"/>
    <x v="0"/>
    <n v="4"/>
    <n v="11"/>
    <n v="2004"/>
    <x v="3"/>
  </r>
  <r>
    <n v="10347"/>
    <s v="S18_2432"/>
    <x v="2"/>
    <x v="2"/>
    <x v="2"/>
    <x v="2"/>
    <s v="Medium"/>
    <n v="8"/>
    <n v="50"/>
    <n v="100"/>
    <n v="60"/>
    <n v="6834.5"/>
    <n v="3834.5"/>
    <x v="9"/>
    <x v="0"/>
    <n v="4"/>
    <n v="11"/>
    <n v="2004"/>
    <x v="2"/>
  </r>
  <r>
    <n v="10120"/>
    <s v="S18_2581"/>
    <x v="2"/>
    <x v="2"/>
    <x v="2"/>
    <x v="2"/>
    <s v="Small"/>
    <n v="8"/>
    <n v="29"/>
    <n v="71.81"/>
    <n v="84"/>
    <n v="2082.4899999999998"/>
    <n v="-353.51"/>
    <x v="149"/>
    <x v="0"/>
    <n v="2"/>
    <n v="4"/>
    <n v="2003"/>
    <x v="4"/>
  </r>
  <r>
    <n v="10327"/>
    <s v="S18_2581"/>
    <x v="30"/>
    <x v="24"/>
    <x v="10"/>
    <x v="1"/>
    <s v="Medium"/>
    <n v="8"/>
    <n v="45"/>
    <n v="100"/>
    <n v="84"/>
    <n v="4781.7"/>
    <n v="1001.7"/>
    <x v="239"/>
    <x v="4"/>
    <n v="4"/>
    <n v="11"/>
    <n v="2004"/>
    <x v="4"/>
  </r>
  <r>
    <n v="10139"/>
    <s v="S18_2795"/>
    <x v="64"/>
    <x v="51"/>
    <x v="2"/>
    <x v="2"/>
    <s v="Large"/>
    <n v="8"/>
    <n v="41"/>
    <n v="100"/>
    <n v="168"/>
    <n v="7956.46"/>
    <n v="1068.46"/>
    <x v="100"/>
    <x v="0"/>
    <n v="3"/>
    <n v="7"/>
    <n v="2003"/>
    <x v="3"/>
  </r>
  <r>
    <n v="10193"/>
    <s v="S18_2795"/>
    <x v="65"/>
    <x v="52"/>
    <x v="2"/>
    <x v="2"/>
    <s v="Medium"/>
    <n v="8"/>
    <n v="22"/>
    <n v="100"/>
    <n v="168"/>
    <n v="3675.32"/>
    <n v="-20.68"/>
    <x v="101"/>
    <x v="0"/>
    <n v="4"/>
    <n v="11"/>
    <n v="2003"/>
    <x v="3"/>
  </r>
  <r>
    <n v="10244"/>
    <s v="S18_2795"/>
    <x v="26"/>
    <x v="21"/>
    <x v="8"/>
    <x v="1"/>
    <s v="Medium"/>
    <n v="8"/>
    <n v="43"/>
    <n v="100"/>
    <n v="168"/>
    <n v="5950.34"/>
    <n v="-1273.6600000000001"/>
    <x v="102"/>
    <x v="0"/>
    <n v="2"/>
    <n v="4"/>
    <n v="2004"/>
    <x v="3"/>
  </r>
  <r>
    <n v="10380"/>
    <s v="S18_2795"/>
    <x v="26"/>
    <x v="21"/>
    <x v="8"/>
    <x v="1"/>
    <s v="Small"/>
    <n v="8"/>
    <n v="21"/>
    <n v="47.18"/>
    <n v="168"/>
    <n v="990.78"/>
    <n v="-2537.2199999999998"/>
    <x v="136"/>
    <x v="0"/>
    <n v="1"/>
    <n v="2"/>
    <n v="2005"/>
    <x v="3"/>
  </r>
  <r>
    <n v="10192"/>
    <s v="S18_2870"/>
    <x v="8"/>
    <x v="7"/>
    <x v="0"/>
    <x v="0"/>
    <s v="Medium"/>
    <n v="8"/>
    <n v="38"/>
    <n v="100"/>
    <n v="132"/>
    <n v="4965.84"/>
    <n v="-50.16"/>
    <x v="34"/>
    <x v="0"/>
    <n v="4"/>
    <n v="11"/>
    <n v="2003"/>
    <x v="1"/>
  </r>
  <r>
    <n v="10381"/>
    <s v="S18_2949"/>
    <x v="21"/>
    <x v="17"/>
    <x v="0"/>
    <x v="0"/>
    <s v="Medium"/>
    <n v="8"/>
    <n v="41"/>
    <n v="100"/>
    <n v="101"/>
    <n v="4319.76"/>
    <n v="178.76"/>
    <x v="23"/>
    <x v="0"/>
    <n v="1"/>
    <n v="2"/>
    <n v="2005"/>
    <x v="3"/>
  </r>
  <r>
    <n v="10206"/>
    <s v="S18_3136"/>
    <x v="90"/>
    <x v="71"/>
    <x v="6"/>
    <x v="0"/>
    <s v="Medium"/>
    <n v="8"/>
    <n v="30"/>
    <n v="100"/>
    <n v="104"/>
    <n v="3581.4"/>
    <n v="461.4"/>
    <x v="240"/>
    <x v="0"/>
    <n v="4"/>
    <n v="12"/>
    <n v="2003"/>
    <x v="3"/>
  </r>
  <r>
    <n v="10304"/>
    <s v="S18_3136"/>
    <x v="20"/>
    <x v="16"/>
    <x v="3"/>
    <x v="1"/>
    <s v="Small"/>
    <n v="8"/>
    <n v="26"/>
    <n v="85.87"/>
    <n v="104"/>
    <n v="2232.62"/>
    <n v="-471.38"/>
    <x v="241"/>
    <x v="0"/>
    <n v="4"/>
    <n v="10"/>
    <n v="2004"/>
    <x v="3"/>
  </r>
  <r>
    <n v="10142"/>
    <s v="S18_3140"/>
    <x v="43"/>
    <x v="34"/>
    <x v="0"/>
    <x v="0"/>
    <s v="Medium"/>
    <n v="8"/>
    <n v="47"/>
    <n v="100"/>
    <n v="136"/>
    <n v="6034.33"/>
    <n v="-357.67"/>
    <x v="182"/>
    <x v="0"/>
    <n v="3"/>
    <n v="8"/>
    <n v="2003"/>
    <x v="3"/>
  </r>
  <r>
    <n v="10259"/>
    <s v="S18_3232"/>
    <x v="81"/>
    <x v="15"/>
    <x v="7"/>
    <x v="2"/>
    <s v="Medium"/>
    <n v="8"/>
    <n v="27"/>
    <n v="100"/>
    <n v="169"/>
    <n v="3657.69"/>
    <n v="-905.31"/>
    <x v="147"/>
    <x v="0"/>
    <n v="2"/>
    <n v="6"/>
    <n v="2004"/>
    <x v="1"/>
  </r>
  <r>
    <n v="10425"/>
    <s v="S18_3232"/>
    <x v="3"/>
    <x v="3"/>
    <x v="3"/>
    <x v="1"/>
    <s v="Medium"/>
    <n v="8"/>
    <n v="28"/>
    <n v="100"/>
    <n v="169"/>
    <n v="3793.16"/>
    <n v="-938.84"/>
    <x v="148"/>
    <x v="2"/>
    <n v="2"/>
    <n v="5"/>
    <n v="2005"/>
    <x v="1"/>
  </r>
  <r>
    <n v="10232"/>
    <s v="S18_3259"/>
    <x v="84"/>
    <x v="66"/>
    <x v="15"/>
    <x v="1"/>
    <s v="Medium"/>
    <n v="8"/>
    <n v="48"/>
    <n v="95.8"/>
    <n v="100"/>
    <n v="4598.3999999999996"/>
    <n v="-201.6"/>
    <x v="244"/>
    <x v="0"/>
    <n v="1"/>
    <n v="3"/>
    <n v="2004"/>
    <x v="6"/>
  </r>
  <r>
    <n v="10300"/>
    <s v="S18_3278"/>
    <x v="27"/>
    <x v="22"/>
    <x v="9"/>
    <x v="1"/>
    <s v="Medium"/>
    <n v="8"/>
    <n v="49"/>
    <n v="78.8"/>
    <n v="80"/>
    <n v="3861.2"/>
    <n v="-58.8"/>
    <x v="77"/>
    <x v="0"/>
    <n v="4"/>
    <n v="10"/>
    <n v="2003"/>
    <x v="1"/>
  </r>
  <r>
    <n v="10215"/>
    <s v="S18_3320"/>
    <x v="79"/>
    <x v="62"/>
    <x v="0"/>
    <x v="0"/>
    <s v="Medium"/>
    <n v="8"/>
    <n v="41"/>
    <n v="100"/>
    <n v="99"/>
    <n v="4555.92"/>
    <n v="496.92"/>
    <x v="139"/>
    <x v="0"/>
    <n v="1"/>
    <n v="1"/>
    <n v="2004"/>
    <x v="3"/>
  </r>
  <r>
    <n v="10312"/>
    <s v="S18_3320"/>
    <x v="43"/>
    <x v="34"/>
    <x v="0"/>
    <x v="0"/>
    <s v="Medium"/>
    <n v="8"/>
    <n v="33"/>
    <n v="100"/>
    <n v="99"/>
    <n v="3535.95"/>
    <n v="268.95"/>
    <x v="140"/>
    <x v="0"/>
    <n v="4"/>
    <n v="10"/>
    <n v="2004"/>
    <x v="3"/>
  </r>
  <r>
    <n v="10108"/>
    <s v="S18_3482"/>
    <x v="85"/>
    <x v="67"/>
    <x v="18"/>
    <x v="2"/>
    <s v="Medium"/>
    <n v="8"/>
    <n v="29"/>
    <n v="100"/>
    <n v="146"/>
    <n v="4049.56"/>
    <n v="-184.44"/>
    <x v="189"/>
    <x v="0"/>
    <n v="1"/>
    <n v="3"/>
    <n v="2003"/>
    <x v="1"/>
  </r>
  <r>
    <n v="10172"/>
    <s v="S18_3685"/>
    <x v="25"/>
    <x v="20"/>
    <x v="0"/>
    <x v="0"/>
    <s v="Medium"/>
    <n v="8"/>
    <n v="48"/>
    <n v="100"/>
    <n v="141"/>
    <n v="5493.12"/>
    <n v="-1274.8800000000001"/>
    <x v="80"/>
    <x v="0"/>
    <n v="4"/>
    <n v="11"/>
    <n v="2003"/>
    <x v="1"/>
  </r>
  <r>
    <n v="10212"/>
    <s v="S18_3685"/>
    <x v="26"/>
    <x v="21"/>
    <x v="8"/>
    <x v="1"/>
    <s v="Medium"/>
    <n v="8"/>
    <n v="45"/>
    <n v="100"/>
    <n v="141"/>
    <n v="6357.6"/>
    <n v="12.6"/>
    <x v="173"/>
    <x v="0"/>
    <n v="1"/>
    <n v="1"/>
    <n v="2004"/>
    <x v="1"/>
  </r>
  <r>
    <n v="10321"/>
    <s v="S18_3685"/>
    <x v="78"/>
    <x v="40"/>
    <x v="0"/>
    <x v="0"/>
    <s v="Medium"/>
    <n v="8"/>
    <n v="28"/>
    <n v="100"/>
    <n v="141"/>
    <n v="4232.76"/>
    <n v="284.76"/>
    <x v="8"/>
    <x v="0"/>
    <n v="4"/>
    <n v="11"/>
    <n v="2004"/>
    <x v="1"/>
  </r>
  <r>
    <n v="10159"/>
    <s v="S18_3782"/>
    <x v="21"/>
    <x v="17"/>
    <x v="0"/>
    <x v="0"/>
    <s v="Small"/>
    <n v="8"/>
    <n v="21"/>
    <n v="64.66"/>
    <n v="62"/>
    <n v="1357.86"/>
    <n v="55.86"/>
    <x v="160"/>
    <x v="0"/>
    <n v="4"/>
    <n v="10"/>
    <n v="2003"/>
    <x v="0"/>
  </r>
  <r>
    <n v="10169"/>
    <s v="S18_3782"/>
    <x v="47"/>
    <x v="38"/>
    <x v="2"/>
    <x v="2"/>
    <s v="Small"/>
    <n v="8"/>
    <n v="38"/>
    <n v="68.39"/>
    <n v="62"/>
    <n v="2598.8200000000002"/>
    <n v="242.82"/>
    <x v="185"/>
    <x v="0"/>
    <n v="4"/>
    <n v="11"/>
    <n v="2003"/>
    <x v="0"/>
  </r>
  <r>
    <n v="10211"/>
    <s v="S18_3782"/>
    <x v="11"/>
    <x v="9"/>
    <x v="3"/>
    <x v="1"/>
    <s v="Small"/>
    <n v="8"/>
    <n v="46"/>
    <n v="54.09"/>
    <n v="62"/>
    <n v="2488.14"/>
    <n v="-363.86"/>
    <x v="186"/>
    <x v="0"/>
    <n v="1"/>
    <n v="1"/>
    <n v="2004"/>
    <x v="0"/>
  </r>
  <r>
    <n v="10342"/>
    <s v="S18_3782"/>
    <x v="2"/>
    <x v="2"/>
    <x v="2"/>
    <x v="2"/>
    <s v="Small"/>
    <n v="8"/>
    <n v="26"/>
    <n v="55.95"/>
    <n v="62"/>
    <n v="1454.7"/>
    <n v="-157.30000000000001"/>
    <x v="38"/>
    <x v="0"/>
    <n v="4"/>
    <n v="11"/>
    <n v="2004"/>
    <x v="0"/>
  </r>
  <r>
    <n v="10119"/>
    <s v="S18_3856"/>
    <x v="32"/>
    <x v="26"/>
    <x v="11"/>
    <x v="1"/>
    <s v="Small"/>
    <n v="8"/>
    <n v="27"/>
    <n v="99.52"/>
    <n v="105"/>
    <n v="2687.04"/>
    <n v="-147.96"/>
    <x v="247"/>
    <x v="0"/>
    <n v="2"/>
    <n v="4"/>
    <n v="2003"/>
    <x v="3"/>
  </r>
  <r>
    <n v="10196"/>
    <s v="S18_4027"/>
    <x v="68"/>
    <x v="55"/>
    <x v="0"/>
    <x v="0"/>
    <s v="Medium"/>
    <n v="8"/>
    <n v="27"/>
    <n v="100"/>
    <n v="143"/>
    <n v="4537.08"/>
    <n v="676.08"/>
    <x v="108"/>
    <x v="0"/>
    <n v="4"/>
    <n v="11"/>
    <n v="2003"/>
    <x v="1"/>
  </r>
  <r>
    <n v="10282"/>
    <s v="S18_4027"/>
    <x v="43"/>
    <x v="34"/>
    <x v="0"/>
    <x v="0"/>
    <s v="Medium"/>
    <n v="8"/>
    <n v="31"/>
    <n v="100"/>
    <n v="143"/>
    <n v="4674.8"/>
    <n v="241.8"/>
    <x v="109"/>
    <x v="0"/>
    <n v="3"/>
    <n v="8"/>
    <n v="2004"/>
    <x v="1"/>
  </r>
  <r>
    <n v="10314"/>
    <s v="S18_4027"/>
    <x v="69"/>
    <x v="56"/>
    <x v="10"/>
    <x v="1"/>
    <s v="Medium"/>
    <n v="8"/>
    <n v="29"/>
    <n v="100"/>
    <n v="143"/>
    <n v="4206.74"/>
    <n v="59.74"/>
    <x v="110"/>
    <x v="0"/>
    <n v="4"/>
    <n v="10"/>
    <n v="2004"/>
    <x v="1"/>
  </r>
  <r>
    <n v="10110"/>
    <s v="S18_4409"/>
    <x v="62"/>
    <x v="50"/>
    <x v="15"/>
    <x v="1"/>
    <s v="Small"/>
    <n v="8"/>
    <n v="28"/>
    <n v="89.27"/>
    <n v="92"/>
    <n v="2499.56"/>
    <n v="-76.44"/>
    <x v="92"/>
    <x v="0"/>
    <n v="1"/>
    <n v="3"/>
    <n v="2003"/>
    <x v="3"/>
  </r>
  <r>
    <n v="10367"/>
    <s v="S18_4409"/>
    <x v="22"/>
    <x v="18"/>
    <x v="0"/>
    <x v="0"/>
    <s v="Small"/>
    <n v="8"/>
    <n v="43"/>
    <n v="62.72"/>
    <n v="92"/>
    <n v="2696.96"/>
    <n v="-1259.04"/>
    <x v="66"/>
    <x v="4"/>
    <n v="1"/>
    <n v="1"/>
    <n v="2005"/>
    <x v="3"/>
  </r>
  <r>
    <n v="10177"/>
    <s v="S18_4522"/>
    <x v="37"/>
    <x v="21"/>
    <x v="8"/>
    <x v="1"/>
    <s v="Small"/>
    <n v="8"/>
    <n v="35"/>
    <n v="74.599999999999994"/>
    <n v="87"/>
    <n v="2611"/>
    <n v="-434"/>
    <x v="236"/>
    <x v="0"/>
    <n v="4"/>
    <n v="11"/>
    <n v="2003"/>
    <x v="3"/>
  </r>
  <r>
    <n v="10185"/>
    <s v="S18_4522"/>
    <x v="49"/>
    <x v="40"/>
    <x v="0"/>
    <x v="0"/>
    <s v="Medium"/>
    <n v="8"/>
    <n v="47"/>
    <n v="77.239999999999995"/>
    <n v="87"/>
    <n v="3630.28"/>
    <n v="-458.72"/>
    <x v="69"/>
    <x v="0"/>
    <n v="4"/>
    <n v="11"/>
    <n v="2003"/>
    <x v="3"/>
  </r>
  <r>
    <n v="10208"/>
    <s v="S18_4522"/>
    <x v="73"/>
    <x v="59"/>
    <x v="3"/>
    <x v="1"/>
    <s v="Medium"/>
    <n v="8"/>
    <n v="45"/>
    <n v="87.77"/>
    <n v="87"/>
    <n v="3949.65"/>
    <n v="34.65"/>
    <x v="237"/>
    <x v="0"/>
    <n v="1"/>
    <n v="1"/>
    <n v="2004"/>
    <x v="3"/>
  </r>
  <r>
    <n v="10306"/>
    <s v="S18_4522"/>
    <x v="62"/>
    <x v="50"/>
    <x v="15"/>
    <x v="1"/>
    <s v="Medium"/>
    <n v="8"/>
    <n v="39"/>
    <n v="90.4"/>
    <n v="87"/>
    <n v="3525.6"/>
    <n v="132.6"/>
    <x v="71"/>
    <x v="0"/>
    <n v="4"/>
    <n v="10"/>
    <n v="2004"/>
    <x v="3"/>
  </r>
  <r>
    <n v="10313"/>
    <s v="S18_4600"/>
    <x v="90"/>
    <x v="71"/>
    <x v="6"/>
    <x v="0"/>
    <s v="Small"/>
    <n v="8"/>
    <n v="28"/>
    <n v="100"/>
    <n v="121"/>
    <n v="2881.76"/>
    <n v="-506.24"/>
    <x v="110"/>
    <x v="0"/>
    <n v="4"/>
    <n v="10"/>
    <n v="2004"/>
    <x v="2"/>
  </r>
  <r>
    <n v="10333"/>
    <s v="S18_4668"/>
    <x v="23"/>
    <x v="17"/>
    <x v="0"/>
    <x v="0"/>
    <s v="Small"/>
    <n v="8"/>
    <n v="24"/>
    <n v="79.86"/>
    <n v="50"/>
    <n v="1916.64"/>
    <n v="716.64"/>
    <x v="200"/>
    <x v="0"/>
    <n v="4"/>
    <n v="11"/>
    <n v="2004"/>
    <x v="3"/>
  </r>
  <r>
    <n v="10358"/>
    <s v="S18_4668"/>
    <x v="26"/>
    <x v="21"/>
    <x v="8"/>
    <x v="1"/>
    <s v="Medium"/>
    <n v="8"/>
    <n v="30"/>
    <n v="100"/>
    <n v="50"/>
    <n v="5302.8"/>
    <n v="3802.8"/>
    <x v="54"/>
    <x v="0"/>
    <n v="4"/>
    <n v="12"/>
    <n v="2004"/>
    <x v="3"/>
  </r>
  <r>
    <n v="10191"/>
    <s v="S18_4721"/>
    <x v="29"/>
    <x v="23"/>
    <x v="9"/>
    <x v="1"/>
    <s v="Medium"/>
    <n v="8"/>
    <n v="32"/>
    <n v="100"/>
    <n v="148"/>
    <n v="4237.76"/>
    <n v="-498.24"/>
    <x v="34"/>
    <x v="0"/>
    <n v="4"/>
    <n v="11"/>
    <n v="2003"/>
    <x v="1"/>
  </r>
  <r>
    <n v="10238"/>
    <s v="S18_4721"/>
    <x v="30"/>
    <x v="24"/>
    <x v="10"/>
    <x v="1"/>
    <s v="Medium"/>
    <n v="8"/>
    <n v="44"/>
    <n v="100"/>
    <n v="148"/>
    <n v="6350.96"/>
    <n v="-161.04"/>
    <x v="35"/>
    <x v="0"/>
    <n v="2"/>
    <n v="4"/>
    <n v="2004"/>
    <x v="1"/>
  </r>
  <r>
    <n v="10276"/>
    <s v="S18_4721"/>
    <x v="31"/>
    <x v="25"/>
    <x v="0"/>
    <x v="0"/>
    <s v="Medium"/>
    <n v="8"/>
    <n v="48"/>
    <n v="100"/>
    <n v="148"/>
    <n v="5713.92"/>
    <n v="-1390.08"/>
    <x v="36"/>
    <x v="0"/>
    <n v="3"/>
    <n v="8"/>
    <n v="2004"/>
    <x v="1"/>
  </r>
  <r>
    <n v="10378"/>
    <s v="S18_4721"/>
    <x v="26"/>
    <x v="21"/>
    <x v="8"/>
    <x v="1"/>
    <s v="Medium"/>
    <n v="8"/>
    <n v="49"/>
    <n v="67.14"/>
    <n v="148"/>
    <n v="3289.86"/>
    <n v="-3962.14"/>
    <x v="84"/>
    <x v="0"/>
    <n v="1"/>
    <n v="2"/>
    <n v="2005"/>
    <x v="1"/>
  </r>
  <r>
    <n v="10124"/>
    <s v="S18_4933"/>
    <x v="83"/>
    <x v="65"/>
    <x v="0"/>
    <x v="0"/>
    <s v="Small"/>
    <n v="8"/>
    <n v="23"/>
    <n v="57.73"/>
    <n v="71"/>
    <n v="1327.79"/>
    <n v="-305.20999999999998"/>
    <x v="58"/>
    <x v="0"/>
    <n v="2"/>
    <n v="5"/>
    <n v="2003"/>
    <x v="1"/>
  </r>
  <r>
    <n v="10241"/>
    <s v="S24_1046"/>
    <x v="59"/>
    <x v="48"/>
    <x v="3"/>
    <x v="1"/>
    <s v="Small"/>
    <n v="8"/>
    <n v="22"/>
    <n v="76.430000000000007"/>
    <n v="73"/>
    <n v="1681.46"/>
    <n v="75.459999999999994"/>
    <x v="83"/>
    <x v="0"/>
    <n v="2"/>
    <n v="4"/>
    <n v="2004"/>
    <x v="1"/>
  </r>
  <r>
    <n v="10407"/>
    <s v="S24_1046"/>
    <x v="55"/>
    <x v="44"/>
    <x v="0"/>
    <x v="0"/>
    <s v="Small"/>
    <n v="8"/>
    <n v="26"/>
    <n v="76.430000000000007"/>
    <n v="73"/>
    <n v="1987.18"/>
    <n v="89.18"/>
    <x v="85"/>
    <x v="5"/>
    <n v="2"/>
    <n v="4"/>
    <n v="2005"/>
    <x v="1"/>
  </r>
  <r>
    <n v="10127"/>
    <s v="S24_1444"/>
    <x v="34"/>
    <x v="5"/>
    <x v="0"/>
    <x v="0"/>
    <s v="Small"/>
    <n v="8"/>
    <n v="20"/>
    <n v="60.69"/>
    <n v="57"/>
    <n v="1213.8"/>
    <n v="73.8"/>
    <x v="40"/>
    <x v="0"/>
    <n v="2"/>
    <n v="6"/>
    <n v="2003"/>
    <x v="1"/>
  </r>
  <r>
    <n v="10176"/>
    <s v="S24_1444"/>
    <x v="35"/>
    <x v="28"/>
    <x v="12"/>
    <x v="1"/>
    <s v="Small"/>
    <n v="8"/>
    <n v="27"/>
    <n v="68.78"/>
    <n v="57"/>
    <n v="1857.06"/>
    <n v="318.06"/>
    <x v="21"/>
    <x v="0"/>
    <n v="4"/>
    <n v="11"/>
    <n v="2003"/>
    <x v="1"/>
  </r>
  <r>
    <n v="10220"/>
    <s v="S24_1444"/>
    <x v="36"/>
    <x v="29"/>
    <x v="13"/>
    <x v="1"/>
    <s v="Small"/>
    <n v="8"/>
    <n v="26"/>
    <n v="56.07"/>
    <n v="57"/>
    <n v="1457.82"/>
    <n v="-24.18"/>
    <x v="41"/>
    <x v="0"/>
    <n v="1"/>
    <n v="2"/>
    <n v="2004"/>
    <x v="1"/>
  </r>
  <r>
    <n v="10237"/>
    <s v="S24_1578"/>
    <x v="28"/>
    <x v="5"/>
    <x v="0"/>
    <x v="0"/>
    <s v="Small"/>
    <n v="8"/>
    <n v="20"/>
    <n v="100"/>
    <n v="112"/>
    <n v="2299"/>
    <n v="59"/>
    <x v="125"/>
    <x v="0"/>
    <n v="2"/>
    <n v="4"/>
    <n v="2004"/>
    <x v="0"/>
  </r>
  <r>
    <n v="10403"/>
    <s v="S24_1578"/>
    <x v="50"/>
    <x v="41"/>
    <x v="15"/>
    <x v="1"/>
    <s v="Medium"/>
    <n v="8"/>
    <n v="46"/>
    <n v="100"/>
    <n v="112"/>
    <n v="5287.7"/>
    <n v="135.69999999999999"/>
    <x v="128"/>
    <x v="0"/>
    <n v="2"/>
    <n v="4"/>
    <n v="2005"/>
    <x v="0"/>
  </r>
  <r>
    <n v="10148"/>
    <s v="S24_1628"/>
    <x v="47"/>
    <x v="38"/>
    <x v="2"/>
    <x v="2"/>
    <s v="Small"/>
    <n v="8"/>
    <n v="47"/>
    <n v="56.85"/>
    <n v="50"/>
    <n v="2671.95"/>
    <n v="321.95"/>
    <x v="134"/>
    <x v="0"/>
    <n v="3"/>
    <n v="9"/>
    <n v="2003"/>
    <x v="1"/>
  </r>
  <r>
    <n v="10311"/>
    <s v="S24_1628"/>
    <x v="26"/>
    <x v="21"/>
    <x v="8"/>
    <x v="1"/>
    <s v="Small"/>
    <n v="8"/>
    <n v="45"/>
    <n v="49.3"/>
    <n v="50"/>
    <n v="2218.5"/>
    <n v="-31.5"/>
    <x v="81"/>
    <x v="0"/>
    <n v="4"/>
    <n v="10"/>
    <n v="2004"/>
    <x v="1"/>
  </r>
  <r>
    <n v="10391"/>
    <s v="S24_1937"/>
    <x v="47"/>
    <x v="38"/>
    <x v="2"/>
    <x v="2"/>
    <s v="Large"/>
    <n v="8"/>
    <n v="33"/>
    <n v="100"/>
    <n v="33"/>
    <n v="8344.7099999999991"/>
    <n v="7255.71"/>
    <x v="165"/>
    <x v="0"/>
    <n v="1"/>
    <n v="3"/>
    <n v="2005"/>
    <x v="3"/>
  </r>
  <r>
    <n v="10340"/>
    <s v="S24_2000"/>
    <x v="88"/>
    <x v="69"/>
    <x v="8"/>
    <x v="1"/>
    <s v="Medium"/>
    <n v="8"/>
    <n v="55"/>
    <n v="79.98"/>
    <n v="76"/>
    <n v="4398.8999999999996"/>
    <n v="218.9"/>
    <x v="38"/>
    <x v="0"/>
    <n v="4"/>
    <n v="11"/>
    <n v="2004"/>
    <x v="0"/>
  </r>
  <r>
    <n v="10363"/>
    <s v="S24_2000"/>
    <x v="38"/>
    <x v="30"/>
    <x v="14"/>
    <x v="1"/>
    <s v="Medium"/>
    <n v="8"/>
    <n v="21"/>
    <n v="100"/>
    <n v="76"/>
    <n v="3595.62"/>
    <n v="1999.62"/>
    <x v="190"/>
    <x v="0"/>
    <n v="1"/>
    <n v="1"/>
    <n v="2005"/>
    <x v="0"/>
  </r>
  <r>
    <n v="10261"/>
    <s v="S24_2011"/>
    <x v="15"/>
    <x v="13"/>
    <x v="6"/>
    <x v="0"/>
    <s v="Medium"/>
    <n v="8"/>
    <n v="36"/>
    <n v="100"/>
    <n v="122"/>
    <n v="4512.6000000000004"/>
    <n v="120.6"/>
    <x v="16"/>
    <x v="0"/>
    <n v="2"/>
    <n v="6"/>
    <n v="2004"/>
    <x v="5"/>
  </r>
  <r>
    <n v="10372"/>
    <s v="S24_2011"/>
    <x v="41"/>
    <x v="32"/>
    <x v="5"/>
    <x v="2"/>
    <s v="Medium"/>
    <n v="8"/>
    <n v="37"/>
    <n v="100"/>
    <n v="122"/>
    <n v="3910.53"/>
    <n v="-603.47"/>
    <x v="46"/>
    <x v="0"/>
    <n v="1"/>
    <n v="1"/>
    <n v="2005"/>
    <x v="5"/>
  </r>
  <r>
    <n v="10173"/>
    <s v="S24_2022"/>
    <x v="67"/>
    <x v="54"/>
    <x v="12"/>
    <x v="1"/>
    <s v="Small"/>
    <n v="8"/>
    <n v="27"/>
    <n v="41.22"/>
    <n v="44"/>
    <n v="1112.94"/>
    <n v="-75.06"/>
    <x v="80"/>
    <x v="0"/>
    <n v="4"/>
    <n v="11"/>
    <n v="2003"/>
    <x v="3"/>
  </r>
  <r>
    <n v="10151"/>
    <s v="S24_2300"/>
    <x v="71"/>
    <x v="58"/>
    <x v="14"/>
    <x v="1"/>
    <s v="Medium"/>
    <n v="8"/>
    <n v="42"/>
    <n v="100"/>
    <n v="127"/>
    <n v="5098.8"/>
    <n v="-235.2"/>
    <x v="224"/>
    <x v="0"/>
    <n v="3"/>
    <n v="9"/>
    <n v="2003"/>
    <x v="2"/>
  </r>
  <r>
    <n v="10252"/>
    <s v="S24_2360"/>
    <x v="11"/>
    <x v="9"/>
    <x v="3"/>
    <x v="1"/>
    <s v="Medium"/>
    <n v="8"/>
    <n v="47"/>
    <n v="65.8"/>
    <n v="69"/>
    <n v="3092.6"/>
    <n v="-150.4"/>
    <x v="120"/>
    <x v="0"/>
    <n v="2"/>
    <n v="5"/>
    <n v="2004"/>
    <x v="0"/>
  </r>
  <r>
    <n v="10204"/>
    <s v="S24_2766"/>
    <x v="34"/>
    <x v="5"/>
    <x v="0"/>
    <x v="0"/>
    <s v="Medium"/>
    <n v="8"/>
    <n v="47"/>
    <n v="96.32"/>
    <n v="90"/>
    <n v="4527.04"/>
    <n v="297.04000000000002"/>
    <x v="86"/>
    <x v="0"/>
    <n v="4"/>
    <n v="12"/>
    <n v="2003"/>
    <x v="1"/>
  </r>
  <r>
    <n v="10207"/>
    <s v="S24_2840"/>
    <x v="77"/>
    <x v="14"/>
    <x v="0"/>
    <x v="0"/>
    <s v="Small"/>
    <n v="8"/>
    <n v="42"/>
    <n v="29.7"/>
    <n v="35"/>
    <n v="1247.4000000000001"/>
    <n v="-222.6"/>
    <x v="131"/>
    <x v="0"/>
    <n v="4"/>
    <n v="12"/>
    <n v="2003"/>
    <x v="1"/>
  </r>
  <r>
    <n v="10371"/>
    <s v="S24_2840"/>
    <x v="43"/>
    <x v="34"/>
    <x v="0"/>
    <x v="0"/>
    <s v="Medium"/>
    <n v="8"/>
    <n v="45"/>
    <n v="100"/>
    <n v="35"/>
    <n v="5545.8"/>
    <n v="3970.8"/>
    <x v="207"/>
    <x v="0"/>
    <n v="1"/>
    <n v="1"/>
    <n v="2005"/>
    <x v="1"/>
  </r>
  <r>
    <n v="10143"/>
    <s v="S24_2841"/>
    <x v="49"/>
    <x v="40"/>
    <x v="0"/>
    <x v="0"/>
    <s v="Small"/>
    <n v="8"/>
    <n v="27"/>
    <n v="60.97"/>
    <n v="68"/>
    <n v="1646.19"/>
    <n v="-189.81"/>
    <x v="221"/>
    <x v="0"/>
    <n v="3"/>
    <n v="8"/>
    <n v="2003"/>
    <x v="4"/>
  </r>
  <r>
    <n v="10296"/>
    <s v="S24_2841"/>
    <x v="91"/>
    <x v="72"/>
    <x v="9"/>
    <x v="1"/>
    <s v="Small"/>
    <n v="8"/>
    <n v="21"/>
    <n v="71.25"/>
    <n v="68"/>
    <n v="1496.25"/>
    <n v="68.25"/>
    <x v="223"/>
    <x v="0"/>
    <n v="3"/>
    <n v="9"/>
    <n v="2004"/>
    <x v="4"/>
  </r>
  <r>
    <n v="10288"/>
    <s v="S24_2887"/>
    <x v="81"/>
    <x v="15"/>
    <x v="7"/>
    <x v="2"/>
    <s v="Medium"/>
    <n v="8"/>
    <n v="48"/>
    <n v="100"/>
    <n v="117"/>
    <n v="6539.04"/>
    <n v="923.04"/>
    <x v="158"/>
    <x v="0"/>
    <n v="3"/>
    <n v="9"/>
    <n v="2004"/>
    <x v="1"/>
  </r>
  <r>
    <n v="10420"/>
    <s v="S24_2887"/>
    <x v="64"/>
    <x v="51"/>
    <x v="2"/>
    <x v="2"/>
    <s v="Medium"/>
    <n v="8"/>
    <n v="55"/>
    <n v="96.3"/>
    <n v="117"/>
    <n v="5296.5"/>
    <n v="-1138.5"/>
    <x v="97"/>
    <x v="2"/>
    <n v="2"/>
    <n v="5"/>
    <n v="2005"/>
    <x v="1"/>
  </r>
  <r>
    <n v="10181"/>
    <s v="S24_2972"/>
    <x v="1"/>
    <x v="1"/>
    <x v="1"/>
    <x v="1"/>
    <s v="Small"/>
    <n v="8"/>
    <n v="37"/>
    <n v="42.67"/>
    <n v="37"/>
    <n v="1578.79"/>
    <n v="209.79"/>
    <x v="117"/>
    <x v="0"/>
    <n v="4"/>
    <n v="11"/>
    <n v="2003"/>
    <x v="1"/>
  </r>
  <r>
    <n v="10266"/>
    <s v="S24_2972"/>
    <x v="35"/>
    <x v="28"/>
    <x v="12"/>
    <x v="1"/>
    <s v="Small"/>
    <n v="8"/>
    <n v="34"/>
    <n v="40.4"/>
    <n v="37"/>
    <n v="1373.6"/>
    <n v="115.6"/>
    <x v="153"/>
    <x v="0"/>
    <n v="3"/>
    <n v="7"/>
    <n v="2004"/>
    <x v="1"/>
  </r>
  <r>
    <n v="10278"/>
    <s v="S24_2972"/>
    <x v="83"/>
    <x v="65"/>
    <x v="0"/>
    <x v="0"/>
    <s v="Small"/>
    <n v="8"/>
    <n v="31"/>
    <n v="38.89"/>
    <n v="37"/>
    <n v="1205.5899999999999"/>
    <n v="58.59"/>
    <x v="154"/>
    <x v="0"/>
    <n v="3"/>
    <n v="8"/>
    <n v="2004"/>
    <x v="1"/>
  </r>
  <r>
    <n v="10197"/>
    <s v="S24_3151"/>
    <x v="88"/>
    <x v="69"/>
    <x v="8"/>
    <x v="1"/>
    <s v="Medium"/>
    <n v="8"/>
    <n v="47"/>
    <n v="83.2"/>
    <n v="88"/>
    <n v="3910.4"/>
    <n v="-225.6"/>
    <x v="108"/>
    <x v="0"/>
    <n v="4"/>
    <n v="11"/>
    <n v="2003"/>
    <x v="3"/>
  </r>
  <r>
    <n v="10283"/>
    <s v="S24_3151"/>
    <x v="89"/>
    <x v="70"/>
    <x v="6"/>
    <x v="0"/>
    <s v="Medium"/>
    <n v="8"/>
    <n v="34"/>
    <n v="92.94"/>
    <n v="88"/>
    <n v="3159.96"/>
    <n v="167.96"/>
    <x v="109"/>
    <x v="0"/>
    <n v="3"/>
    <n v="8"/>
    <n v="2004"/>
    <x v="3"/>
  </r>
  <r>
    <n v="10225"/>
    <s v="S24_3371"/>
    <x v="48"/>
    <x v="39"/>
    <x v="16"/>
    <x v="1"/>
    <s v="Small"/>
    <n v="8"/>
    <n v="24"/>
    <n v="50.21"/>
    <n v="61"/>
    <n v="1205.04"/>
    <n v="-258.95999999999998"/>
    <x v="56"/>
    <x v="0"/>
    <n v="1"/>
    <n v="2"/>
    <n v="2004"/>
    <x v="1"/>
  </r>
  <r>
    <n v="10167"/>
    <s v="S24_3816"/>
    <x v="51"/>
    <x v="42"/>
    <x v="4"/>
    <x v="1"/>
    <s v="Small"/>
    <n v="8"/>
    <n v="29"/>
    <n v="83.86"/>
    <n v="83"/>
    <n v="2431.94"/>
    <n v="24.94"/>
    <x v="68"/>
    <x v="3"/>
    <n v="4"/>
    <n v="10"/>
    <n v="2003"/>
    <x v="3"/>
  </r>
  <r>
    <n v="10186"/>
    <s v="S24_3816"/>
    <x v="52"/>
    <x v="33"/>
    <x v="15"/>
    <x v="1"/>
    <s v="Medium"/>
    <n v="8"/>
    <n v="36"/>
    <n v="85.54"/>
    <n v="83"/>
    <n v="3079.44"/>
    <n v="91.44"/>
    <x v="69"/>
    <x v="0"/>
    <n v="4"/>
    <n v="11"/>
    <n v="2003"/>
    <x v="3"/>
  </r>
  <r>
    <n v="10307"/>
    <s v="S24_3816"/>
    <x v="18"/>
    <x v="8"/>
    <x v="0"/>
    <x v="0"/>
    <s v="Small"/>
    <n v="8"/>
    <n v="22"/>
    <n v="91.41"/>
    <n v="83"/>
    <n v="2011.02"/>
    <n v="185.02"/>
    <x v="71"/>
    <x v="0"/>
    <n v="4"/>
    <n v="10"/>
    <n v="2004"/>
    <x v="3"/>
  </r>
  <r>
    <n v="10396"/>
    <s v="S24_3816"/>
    <x v="43"/>
    <x v="34"/>
    <x v="0"/>
    <x v="0"/>
    <s v="Medium"/>
    <n v="8"/>
    <n v="37"/>
    <n v="90.57"/>
    <n v="83"/>
    <n v="3351.09"/>
    <n v="280.08999999999997"/>
    <x v="229"/>
    <x v="0"/>
    <n v="1"/>
    <n v="3"/>
    <n v="2005"/>
    <x v="3"/>
  </r>
  <r>
    <n v="10400"/>
    <s v="S24_3816"/>
    <x v="55"/>
    <x v="44"/>
    <x v="0"/>
    <x v="0"/>
    <s v="Medium"/>
    <n v="8"/>
    <n v="42"/>
    <n v="72.959999999999994"/>
    <n v="83"/>
    <n v="3064.32"/>
    <n v="-421.68"/>
    <x v="74"/>
    <x v="0"/>
    <n v="2"/>
    <n v="4"/>
    <n v="2005"/>
    <x v="3"/>
  </r>
  <r>
    <n v="10253"/>
    <s v="S24_3856"/>
    <x v="50"/>
    <x v="41"/>
    <x v="15"/>
    <x v="1"/>
    <s v="Medium"/>
    <n v="8"/>
    <n v="39"/>
    <n v="100"/>
    <n v="140"/>
    <n v="5148"/>
    <n v="-312"/>
    <x v="65"/>
    <x v="3"/>
    <n v="2"/>
    <n v="6"/>
    <n v="2004"/>
    <x v="1"/>
  </r>
  <r>
    <n v="10355"/>
    <s v="S24_3856"/>
    <x v="26"/>
    <x v="21"/>
    <x v="8"/>
    <x v="1"/>
    <s v="Medium"/>
    <n v="8"/>
    <n v="32"/>
    <n v="100"/>
    <n v="140"/>
    <n v="5302.72"/>
    <n v="822.72"/>
    <x v="127"/>
    <x v="0"/>
    <n v="4"/>
    <n v="12"/>
    <n v="2004"/>
    <x v="1"/>
  </r>
  <r>
    <n v="10390"/>
    <s v="S24_3856"/>
    <x v="43"/>
    <x v="34"/>
    <x v="0"/>
    <x v="0"/>
    <s v="Medium"/>
    <n v="8"/>
    <n v="45"/>
    <n v="100"/>
    <n v="140"/>
    <n v="6763.05"/>
    <n v="463.05"/>
    <x v="122"/>
    <x v="0"/>
    <n v="1"/>
    <n v="3"/>
    <n v="2005"/>
    <x v="1"/>
  </r>
  <r>
    <n v="10419"/>
    <s v="S24_3856"/>
    <x v="32"/>
    <x v="26"/>
    <x v="11"/>
    <x v="1"/>
    <s v="Large"/>
    <n v="8"/>
    <n v="70"/>
    <n v="100"/>
    <n v="140"/>
    <n v="9240"/>
    <n v="-560"/>
    <x v="67"/>
    <x v="0"/>
    <n v="2"/>
    <n v="5"/>
    <n v="2005"/>
    <x v="1"/>
  </r>
  <r>
    <n v="10262"/>
    <s v="S24_3949"/>
    <x v="26"/>
    <x v="21"/>
    <x v="8"/>
    <x v="1"/>
    <s v="Small"/>
    <n v="8"/>
    <n v="48"/>
    <n v="61.42"/>
    <n v="68"/>
    <n v="2948.16"/>
    <n v="-315.83999999999997"/>
    <x v="155"/>
    <x v="3"/>
    <n v="2"/>
    <n v="6"/>
    <n v="2004"/>
    <x v="4"/>
  </r>
  <r>
    <n v="10316"/>
    <s v="S24_3949"/>
    <x v="84"/>
    <x v="66"/>
    <x v="15"/>
    <x v="1"/>
    <s v="Small"/>
    <n v="8"/>
    <n v="30"/>
    <n v="77.790000000000006"/>
    <n v="68"/>
    <n v="2333.6999999999998"/>
    <n v="293.7"/>
    <x v="156"/>
    <x v="0"/>
    <n v="4"/>
    <n v="11"/>
    <n v="2004"/>
    <x v="4"/>
  </r>
  <r>
    <n v="10182"/>
    <s v="S24_3969"/>
    <x v="43"/>
    <x v="34"/>
    <x v="0"/>
    <x v="0"/>
    <s v="Small"/>
    <n v="8"/>
    <n v="23"/>
    <n v="42.26"/>
    <n v="41"/>
    <n v="971.98"/>
    <n v="28.98"/>
    <x v="117"/>
    <x v="0"/>
    <n v="4"/>
    <n v="11"/>
    <n v="2003"/>
    <x v="3"/>
  </r>
  <r>
    <n v="10227"/>
    <s v="S24_3969"/>
    <x v="73"/>
    <x v="59"/>
    <x v="3"/>
    <x v="1"/>
    <s v="Small"/>
    <n v="8"/>
    <n v="27"/>
    <n v="43.9"/>
    <n v="41"/>
    <n v="1185.3"/>
    <n v="78.3"/>
    <x v="118"/>
    <x v="0"/>
    <n v="1"/>
    <n v="3"/>
    <n v="2004"/>
    <x v="3"/>
  </r>
  <r>
    <n v="10165"/>
    <s v="S24_4048"/>
    <x v="17"/>
    <x v="15"/>
    <x v="7"/>
    <x v="2"/>
    <s v="Small"/>
    <n v="8"/>
    <n v="24"/>
    <n v="99.36"/>
    <n v="118"/>
    <n v="2384.64"/>
    <n v="-447.36"/>
    <x v="116"/>
    <x v="0"/>
    <n v="4"/>
    <n v="10"/>
    <n v="2003"/>
    <x v="1"/>
  </r>
  <r>
    <n v="10210"/>
    <s v="S24_4278"/>
    <x v="12"/>
    <x v="10"/>
    <x v="5"/>
    <x v="2"/>
    <s v="Small"/>
    <n v="8"/>
    <n v="40"/>
    <n v="71"/>
    <n v="72"/>
    <n v="2840"/>
    <n v="-40"/>
    <x v="13"/>
    <x v="0"/>
    <n v="1"/>
    <n v="1"/>
    <n v="2004"/>
    <x v="4"/>
  </r>
  <r>
    <n v="10308"/>
    <s v="S24_4278"/>
    <x v="13"/>
    <x v="11"/>
    <x v="0"/>
    <x v="0"/>
    <s v="Medium"/>
    <n v="8"/>
    <n v="44"/>
    <n v="83.32"/>
    <n v="72"/>
    <n v="3666.08"/>
    <n v="498.08"/>
    <x v="14"/>
    <x v="0"/>
    <n v="4"/>
    <n v="10"/>
    <n v="2004"/>
    <x v="4"/>
  </r>
  <r>
    <n v="10386"/>
    <s v="S24_4278"/>
    <x v="26"/>
    <x v="21"/>
    <x v="8"/>
    <x v="1"/>
    <s v="Medium"/>
    <n v="8"/>
    <n v="50"/>
    <n v="63.34"/>
    <n v="72"/>
    <n v="3167"/>
    <n v="-433"/>
    <x v="178"/>
    <x v="4"/>
    <n v="1"/>
    <n v="3"/>
    <n v="2005"/>
    <x v="4"/>
  </r>
  <r>
    <n v="10175"/>
    <s v="S32_1268"/>
    <x v="42"/>
    <x v="33"/>
    <x v="15"/>
    <x v="1"/>
    <s v="Small"/>
    <n v="8"/>
    <n v="22"/>
    <n v="100"/>
    <n v="96"/>
    <n v="2436.7199999999998"/>
    <n v="324.72000000000003"/>
    <x v="21"/>
    <x v="0"/>
    <n v="4"/>
    <n v="11"/>
    <n v="2003"/>
    <x v="2"/>
  </r>
  <r>
    <n v="10229"/>
    <s v="S32_1268"/>
    <x v="43"/>
    <x v="34"/>
    <x v="0"/>
    <x v="0"/>
    <s v="Small"/>
    <n v="8"/>
    <n v="25"/>
    <n v="100"/>
    <n v="96"/>
    <n v="2793"/>
    <n v="393"/>
    <x v="48"/>
    <x v="0"/>
    <n v="1"/>
    <n v="3"/>
    <n v="2004"/>
    <x v="2"/>
  </r>
  <r>
    <n v="10281"/>
    <s v="S32_1268"/>
    <x v="4"/>
    <x v="4"/>
    <x v="0"/>
    <x v="0"/>
    <s v="Small"/>
    <n v="8"/>
    <n v="29"/>
    <n v="82.83"/>
    <n v="96"/>
    <n v="2402.0700000000002"/>
    <n v="-381.93"/>
    <x v="49"/>
    <x v="0"/>
    <n v="3"/>
    <n v="8"/>
    <n v="2004"/>
    <x v="2"/>
  </r>
  <r>
    <n v="10107"/>
    <s v="S32_1374"/>
    <x v="5"/>
    <x v="5"/>
    <x v="0"/>
    <x v="0"/>
    <s v="Small"/>
    <n v="8"/>
    <n v="20"/>
    <n v="92.9"/>
    <n v="99"/>
    <n v="1858"/>
    <n v="-122"/>
    <x v="24"/>
    <x v="0"/>
    <n v="1"/>
    <n v="2"/>
    <n v="2003"/>
    <x v="0"/>
  </r>
  <r>
    <n v="10263"/>
    <s v="S32_1374"/>
    <x v="25"/>
    <x v="20"/>
    <x v="0"/>
    <x v="0"/>
    <s v="Small"/>
    <n v="8"/>
    <n v="31"/>
    <n v="79.91"/>
    <n v="99"/>
    <n v="2477.21"/>
    <n v="-591.79"/>
    <x v="28"/>
    <x v="0"/>
    <n v="2"/>
    <n v="6"/>
    <n v="2004"/>
    <x v="0"/>
  </r>
  <r>
    <n v="10184"/>
    <s v="S32_2509"/>
    <x v="86"/>
    <x v="68"/>
    <x v="8"/>
    <x v="1"/>
    <s v="Small"/>
    <n v="8"/>
    <n v="33"/>
    <n v="62.77"/>
    <n v="54"/>
    <n v="2071.41"/>
    <n v="289.41000000000003"/>
    <x v="69"/>
    <x v="0"/>
    <n v="4"/>
    <n v="11"/>
    <n v="2003"/>
    <x v="2"/>
  </r>
  <r>
    <n v="10195"/>
    <s v="S32_2509"/>
    <x v="13"/>
    <x v="11"/>
    <x v="0"/>
    <x v="0"/>
    <s v="Small"/>
    <n v="8"/>
    <n v="32"/>
    <n v="43.29"/>
    <n v="54"/>
    <n v="1385.28"/>
    <n v="-342.72"/>
    <x v="169"/>
    <x v="0"/>
    <n v="4"/>
    <n v="11"/>
    <n v="2003"/>
    <x v="2"/>
  </r>
  <r>
    <n v="10383"/>
    <s v="S32_3207"/>
    <x v="26"/>
    <x v="21"/>
    <x v="8"/>
    <x v="1"/>
    <s v="Small"/>
    <n v="8"/>
    <n v="44"/>
    <n v="36.07"/>
    <n v="62"/>
    <n v="1587.08"/>
    <n v="-1140.92"/>
    <x v="132"/>
    <x v="0"/>
    <n v="1"/>
    <n v="2"/>
    <n v="2005"/>
    <x v="6"/>
  </r>
  <r>
    <n v="10382"/>
    <s v="S32_3522"/>
    <x v="43"/>
    <x v="34"/>
    <x v="0"/>
    <x v="0"/>
    <s v="Medium"/>
    <n v="8"/>
    <n v="48"/>
    <n v="100"/>
    <n v="64"/>
    <n v="6799.68"/>
    <n v="3727.68"/>
    <x v="23"/>
    <x v="0"/>
    <n v="1"/>
    <n v="2"/>
    <n v="2005"/>
    <x v="2"/>
  </r>
  <r>
    <n v="10388"/>
    <s v="S32_4289"/>
    <x v="78"/>
    <x v="40"/>
    <x v="0"/>
    <x v="0"/>
    <s v="Medium"/>
    <n v="8"/>
    <n v="35"/>
    <n v="100"/>
    <n v="68"/>
    <n v="3918.95"/>
    <n v="1538.95"/>
    <x v="150"/>
    <x v="0"/>
    <n v="1"/>
    <n v="3"/>
    <n v="2005"/>
    <x v="3"/>
  </r>
  <r>
    <n v="10319"/>
    <s v="S32_4485"/>
    <x v="72"/>
    <x v="5"/>
    <x v="0"/>
    <x v="0"/>
    <s v="Small"/>
    <n v="8"/>
    <n v="22"/>
    <n v="100"/>
    <n v="102"/>
    <n v="2626.8"/>
    <n v="382.8"/>
    <x v="37"/>
    <x v="0"/>
    <n v="4"/>
    <n v="11"/>
    <n v="2004"/>
    <x v="0"/>
  </r>
  <r>
    <n v="10250"/>
    <s v="S50_1341"/>
    <x v="55"/>
    <x v="44"/>
    <x v="0"/>
    <x v="0"/>
    <s v="Small"/>
    <n v="8"/>
    <n v="36"/>
    <n v="51.93"/>
    <n v="43"/>
    <n v="1869.48"/>
    <n v="321.48"/>
    <x v="161"/>
    <x v="0"/>
    <n v="2"/>
    <n v="5"/>
    <n v="2004"/>
    <x v="3"/>
  </r>
  <r>
    <n v="10353"/>
    <s v="S50_1341"/>
    <x v="61"/>
    <x v="27"/>
    <x v="0"/>
    <x v="0"/>
    <s v="Medium"/>
    <n v="8"/>
    <n v="40"/>
    <n v="82.21"/>
    <n v="43"/>
    <n v="3288.4"/>
    <n v="1568.4"/>
    <x v="89"/>
    <x v="0"/>
    <n v="4"/>
    <n v="12"/>
    <n v="2004"/>
    <x v="3"/>
  </r>
  <r>
    <n v="10416"/>
    <s v="S50_1341"/>
    <x v="35"/>
    <x v="28"/>
    <x v="12"/>
    <x v="1"/>
    <s v="Small"/>
    <n v="8"/>
    <n v="37"/>
    <n v="51.93"/>
    <n v="43"/>
    <n v="1921.41"/>
    <n v="330.41"/>
    <x v="163"/>
    <x v="0"/>
    <n v="2"/>
    <n v="5"/>
    <n v="2005"/>
    <x v="3"/>
  </r>
  <r>
    <n v="10336"/>
    <s v="S50_1392"/>
    <x v="40"/>
    <x v="9"/>
    <x v="3"/>
    <x v="1"/>
    <s v="Medium"/>
    <n v="8"/>
    <n v="23"/>
    <n v="100"/>
    <n v="115"/>
    <n v="3141.57"/>
    <n v="496.57"/>
    <x v="45"/>
    <x v="0"/>
    <n v="4"/>
    <n v="11"/>
    <n v="2004"/>
    <x v="2"/>
  </r>
  <r>
    <n v="10350"/>
    <s v="S50_1392"/>
    <x v="26"/>
    <x v="21"/>
    <x v="8"/>
    <x v="1"/>
    <s v="Small"/>
    <n v="8"/>
    <n v="31"/>
    <n v="71.400000000000006"/>
    <n v="115"/>
    <n v="2213.4"/>
    <n v="-1351.6"/>
    <x v="111"/>
    <x v="0"/>
    <n v="4"/>
    <n v="12"/>
    <n v="2004"/>
    <x v="2"/>
  </r>
  <r>
    <n v="10375"/>
    <s v="S50_4713"/>
    <x v="3"/>
    <x v="3"/>
    <x v="3"/>
    <x v="1"/>
    <s v="Medium"/>
    <n v="8"/>
    <n v="49"/>
    <n v="100"/>
    <n v="81"/>
    <n v="5406.66"/>
    <n v="1437.66"/>
    <x v="234"/>
    <x v="0"/>
    <n v="1"/>
    <n v="2"/>
    <n v="2005"/>
    <x v="0"/>
  </r>
  <r>
    <n v="10133"/>
    <s v="S700_1691"/>
    <x v="26"/>
    <x v="21"/>
    <x v="8"/>
    <x v="1"/>
    <s v="Small"/>
    <n v="8"/>
    <n v="24"/>
    <n v="77.64"/>
    <n v="91"/>
    <n v="1863.36"/>
    <n v="-320.64"/>
    <x v="209"/>
    <x v="0"/>
    <n v="2"/>
    <n v="6"/>
    <n v="2003"/>
    <x v="4"/>
  </r>
  <r>
    <n v="10235"/>
    <s v="S700_1691"/>
    <x v="89"/>
    <x v="70"/>
    <x v="6"/>
    <x v="0"/>
    <s v="Small"/>
    <n v="8"/>
    <n v="25"/>
    <n v="100"/>
    <n v="91"/>
    <n v="2580.25"/>
    <n v="305.25"/>
    <x v="210"/>
    <x v="0"/>
    <n v="2"/>
    <n v="4"/>
    <n v="2004"/>
    <x v="4"/>
  </r>
  <r>
    <n v="10328"/>
    <s v="S700_1691"/>
    <x v="67"/>
    <x v="54"/>
    <x v="12"/>
    <x v="1"/>
    <s v="Small"/>
    <n v="8"/>
    <n v="27"/>
    <n v="100"/>
    <n v="91"/>
    <n v="2762.1"/>
    <n v="305.10000000000002"/>
    <x v="177"/>
    <x v="0"/>
    <n v="4"/>
    <n v="11"/>
    <n v="2004"/>
    <x v="4"/>
  </r>
  <r>
    <n v="10401"/>
    <s v="S700_1691"/>
    <x v="24"/>
    <x v="19"/>
    <x v="0"/>
    <x v="0"/>
    <s v="Small"/>
    <n v="8"/>
    <n v="11"/>
    <n v="100"/>
    <n v="91"/>
    <n v="1135.31"/>
    <n v="134.31"/>
    <x v="212"/>
    <x v="5"/>
    <n v="2"/>
    <n v="4"/>
    <n v="2005"/>
    <x v="4"/>
  </r>
  <r>
    <n v="10153"/>
    <s v="S700_1938"/>
    <x v="26"/>
    <x v="21"/>
    <x v="8"/>
    <x v="1"/>
    <s v="Small"/>
    <n v="8"/>
    <n v="31"/>
    <n v="87.48"/>
    <n v="86"/>
    <n v="2711.88"/>
    <n v="45.88"/>
    <x v="226"/>
    <x v="0"/>
    <n v="3"/>
    <n v="9"/>
    <n v="2003"/>
    <x v="5"/>
  </r>
  <r>
    <n v="10131"/>
    <s v="S700_2047"/>
    <x v="61"/>
    <x v="27"/>
    <x v="0"/>
    <x v="0"/>
    <s v="Small"/>
    <n v="8"/>
    <n v="22"/>
    <n v="85.99"/>
    <n v="90"/>
    <n v="1891.78"/>
    <n v="-88.22"/>
    <x v="129"/>
    <x v="0"/>
    <n v="2"/>
    <n v="6"/>
    <n v="2003"/>
    <x v="5"/>
  </r>
  <r>
    <n v="10178"/>
    <s v="S700_2047"/>
    <x v="57"/>
    <x v="46"/>
    <x v="3"/>
    <x v="1"/>
    <s v="Medium"/>
    <n v="8"/>
    <n v="34"/>
    <n v="96.86"/>
    <n v="90"/>
    <n v="3293.24"/>
    <n v="233.24"/>
    <x v="231"/>
    <x v="0"/>
    <n v="4"/>
    <n v="11"/>
    <n v="2003"/>
    <x v="5"/>
  </r>
  <r>
    <n v="10222"/>
    <s v="S700_2047"/>
    <x v="80"/>
    <x v="63"/>
    <x v="0"/>
    <x v="0"/>
    <s v="Small"/>
    <n v="8"/>
    <n v="26"/>
    <n v="100"/>
    <n v="90"/>
    <n v="2659.54"/>
    <n v="319.54000000000002"/>
    <x v="233"/>
    <x v="0"/>
    <n v="1"/>
    <n v="2"/>
    <n v="2004"/>
    <x v="5"/>
  </r>
  <r>
    <n v="10284"/>
    <s v="S700_2466"/>
    <x v="60"/>
    <x v="49"/>
    <x v="1"/>
    <x v="1"/>
    <s v="Medium"/>
    <n v="8"/>
    <n v="45"/>
    <n v="100"/>
    <n v="99"/>
    <n v="4576.95"/>
    <n v="121.95"/>
    <x v="88"/>
    <x v="0"/>
    <n v="3"/>
    <n v="8"/>
    <n v="2004"/>
    <x v="4"/>
  </r>
  <r>
    <n v="10398"/>
    <s v="S700_2466"/>
    <x v="82"/>
    <x v="64"/>
    <x v="3"/>
    <x v="1"/>
    <s v="Small"/>
    <n v="8"/>
    <n v="22"/>
    <n v="86.76"/>
    <n v="99"/>
    <n v="1908.72"/>
    <n v="-269.27999999999997"/>
    <x v="248"/>
    <x v="0"/>
    <n v="1"/>
    <n v="3"/>
    <n v="2005"/>
    <x v="4"/>
  </r>
  <r>
    <n v="10168"/>
    <s v="S700_2834"/>
    <x v="0"/>
    <x v="0"/>
    <x v="0"/>
    <x v="0"/>
    <s v="Medium"/>
    <n v="8"/>
    <n v="36"/>
    <n v="100"/>
    <n v="118"/>
    <n v="4527.72"/>
    <n v="279.72000000000003"/>
    <x v="0"/>
    <x v="0"/>
    <n v="4"/>
    <n v="10"/>
    <n v="2003"/>
    <x v="4"/>
  </r>
  <r>
    <n v="10188"/>
    <s v="S700_2834"/>
    <x v="1"/>
    <x v="1"/>
    <x v="1"/>
    <x v="1"/>
    <s v="Medium"/>
    <n v="8"/>
    <n v="29"/>
    <n v="100"/>
    <n v="118"/>
    <n v="3957.05"/>
    <n v="535.04999999999995"/>
    <x v="1"/>
    <x v="0"/>
    <n v="4"/>
    <n v="11"/>
    <n v="2003"/>
    <x v="4"/>
  </r>
  <r>
    <n v="10223"/>
    <s v="S700_2834"/>
    <x v="2"/>
    <x v="2"/>
    <x v="2"/>
    <x v="2"/>
    <s v="Medium"/>
    <n v="8"/>
    <n v="29"/>
    <n v="100"/>
    <n v="118"/>
    <n v="3199.86"/>
    <n v="-222.14"/>
    <x v="2"/>
    <x v="0"/>
    <n v="1"/>
    <n v="2"/>
    <n v="2004"/>
    <x v="4"/>
  </r>
  <r>
    <n v="10275"/>
    <s v="S700_2834"/>
    <x v="3"/>
    <x v="3"/>
    <x v="3"/>
    <x v="1"/>
    <s v="Medium"/>
    <n v="8"/>
    <n v="48"/>
    <n v="100"/>
    <n v="118"/>
    <n v="6378.72"/>
    <n v="714.72"/>
    <x v="3"/>
    <x v="0"/>
    <n v="3"/>
    <n v="7"/>
    <n v="2004"/>
    <x v="4"/>
  </r>
  <r>
    <n v="10318"/>
    <s v="S700_2834"/>
    <x v="4"/>
    <x v="4"/>
    <x v="0"/>
    <x v="0"/>
    <s v="Large"/>
    <n v="8"/>
    <n v="50"/>
    <n v="100"/>
    <n v="118"/>
    <n v="7119"/>
    <n v="1219"/>
    <x v="4"/>
    <x v="0"/>
    <n v="4"/>
    <n v="11"/>
    <n v="2004"/>
    <x v="4"/>
  </r>
  <r>
    <n v="10106"/>
    <s v="S700_3167"/>
    <x v="67"/>
    <x v="54"/>
    <x v="12"/>
    <x v="1"/>
    <s v="Medium"/>
    <n v="8"/>
    <n v="44"/>
    <n v="74.400000000000006"/>
    <n v="80"/>
    <n v="3273.6"/>
    <n v="-246.4"/>
    <x v="242"/>
    <x v="0"/>
    <n v="1"/>
    <n v="2"/>
    <n v="2003"/>
    <x v="4"/>
  </r>
  <r>
    <n v="10273"/>
    <s v="S700_3505"/>
    <x v="66"/>
    <x v="53"/>
    <x v="17"/>
    <x v="1"/>
    <s v="Medium"/>
    <n v="8"/>
    <n v="40"/>
    <n v="86.15"/>
    <n v="100"/>
    <n v="3446"/>
    <n v="-554"/>
    <x v="70"/>
    <x v="0"/>
    <n v="3"/>
    <n v="7"/>
    <n v="2004"/>
    <x v="5"/>
  </r>
  <r>
    <n v="10248"/>
    <s v="S700_3962"/>
    <x v="5"/>
    <x v="5"/>
    <x v="0"/>
    <x v="0"/>
    <s v="Medium"/>
    <n v="8"/>
    <n v="35"/>
    <n v="90.37"/>
    <n v="99"/>
    <n v="3162.95"/>
    <n v="-302.05"/>
    <x v="105"/>
    <x v="3"/>
    <n v="2"/>
    <n v="5"/>
    <n v="2004"/>
    <x v="5"/>
  </r>
  <r>
    <n v="10373"/>
    <s v="S700_3962"/>
    <x v="71"/>
    <x v="58"/>
    <x v="14"/>
    <x v="1"/>
    <s v="Medium"/>
    <n v="8"/>
    <n v="37"/>
    <n v="100"/>
    <n v="99"/>
    <n v="4025.6"/>
    <n v="362.6"/>
    <x v="250"/>
    <x v="0"/>
    <n v="1"/>
    <n v="1"/>
    <n v="2005"/>
    <x v="5"/>
  </r>
  <r>
    <n v="10414"/>
    <s v="S700_3962"/>
    <x v="16"/>
    <x v="14"/>
    <x v="0"/>
    <x v="0"/>
    <s v="Small"/>
    <n v="8"/>
    <n v="27"/>
    <n v="90.37"/>
    <n v="99"/>
    <n v="2439.9899999999998"/>
    <n v="-233.01"/>
    <x v="106"/>
    <x v="5"/>
    <n v="2"/>
    <n v="5"/>
    <n v="2005"/>
    <x v="5"/>
  </r>
  <r>
    <n v="10339"/>
    <s v="S700_4002"/>
    <x v="41"/>
    <x v="32"/>
    <x v="5"/>
    <x v="2"/>
    <s v="Small"/>
    <n v="8"/>
    <n v="50"/>
    <n v="57.86"/>
    <n v="74"/>
    <n v="2893"/>
    <n v="-807"/>
    <x v="90"/>
    <x v="0"/>
    <n v="4"/>
    <n v="11"/>
    <n v="2004"/>
    <x v="4"/>
  </r>
  <r>
    <n v="10155"/>
    <s v="S72_1253"/>
    <x v="44"/>
    <x v="35"/>
    <x v="14"/>
    <x v="1"/>
    <s v="Small"/>
    <n v="8"/>
    <n v="34"/>
    <n v="49.16"/>
    <n v="49"/>
    <n v="1671.44"/>
    <n v="5.44"/>
    <x v="75"/>
    <x v="0"/>
    <n v="4"/>
    <n v="10"/>
    <n v="2003"/>
    <x v="4"/>
  </r>
  <r>
    <n v="10329"/>
    <s v="S72_1253"/>
    <x v="5"/>
    <x v="5"/>
    <x v="0"/>
    <x v="0"/>
    <s v="Medium"/>
    <n v="8"/>
    <n v="44"/>
    <n v="86.13"/>
    <n v="49"/>
    <n v="3789.72"/>
    <n v="1633.72"/>
    <x v="5"/>
    <x v="0"/>
    <n v="4"/>
    <n v="11"/>
    <n v="2004"/>
    <x v="4"/>
  </r>
  <r>
    <n v="10105"/>
    <s v="S72_3212"/>
    <x v="30"/>
    <x v="24"/>
    <x v="10"/>
    <x v="1"/>
    <s v="Small"/>
    <n v="8"/>
    <n v="25"/>
    <n v="56.78"/>
    <n v="54"/>
    <n v="1419.5"/>
    <n v="69.5"/>
    <x v="187"/>
    <x v="0"/>
    <n v="1"/>
    <n v="2"/>
    <n v="2003"/>
    <x v="5"/>
  </r>
  <r>
    <n v="10129"/>
    <s v="S72_3212"/>
    <x v="42"/>
    <x v="33"/>
    <x v="15"/>
    <x v="1"/>
    <s v="Small"/>
    <n v="8"/>
    <n v="32"/>
    <n v="64.97"/>
    <n v="54"/>
    <n v="2079.04"/>
    <n v="351.04"/>
    <x v="188"/>
    <x v="0"/>
    <n v="2"/>
    <n v="6"/>
    <n v="2003"/>
    <x v="5"/>
  </r>
  <r>
    <n v="10180"/>
    <s v="S10_1678"/>
    <x v="75"/>
    <x v="61"/>
    <x v="3"/>
    <x v="1"/>
    <s v="Small"/>
    <n v="9"/>
    <n v="29"/>
    <n v="86.13"/>
    <n v="95"/>
    <n v="2497.77"/>
    <n v="-257.23"/>
    <x v="202"/>
    <x v="0"/>
    <n v="4"/>
    <n v="11"/>
    <n v="2003"/>
    <x v="0"/>
  </r>
  <r>
    <n v="10299"/>
    <s v="S10_1678"/>
    <x v="44"/>
    <x v="35"/>
    <x v="14"/>
    <x v="1"/>
    <s v="Small"/>
    <n v="9"/>
    <n v="23"/>
    <n v="100"/>
    <n v="95"/>
    <n v="2597.39"/>
    <n v="412.39"/>
    <x v="204"/>
    <x v="0"/>
    <n v="3"/>
    <n v="9"/>
    <n v="2004"/>
    <x v="0"/>
  </r>
  <r>
    <n v="10341"/>
    <s v="S10_1678"/>
    <x v="32"/>
    <x v="26"/>
    <x v="11"/>
    <x v="1"/>
    <s v="Large"/>
    <n v="9"/>
    <n v="41"/>
    <n v="100"/>
    <n v="95"/>
    <n v="7737.93"/>
    <n v="3842.93"/>
    <x v="38"/>
    <x v="0"/>
    <n v="4"/>
    <n v="11"/>
    <n v="2004"/>
    <x v="0"/>
  </r>
  <r>
    <n v="10245"/>
    <s v="S10_1949"/>
    <x v="68"/>
    <x v="55"/>
    <x v="0"/>
    <x v="0"/>
    <s v="Medium"/>
    <n v="9"/>
    <n v="34"/>
    <n v="100"/>
    <n v="214"/>
    <n v="6120.34"/>
    <n v="-1155.6600000000001"/>
    <x v="205"/>
    <x v="0"/>
    <n v="2"/>
    <n v="5"/>
    <n v="2004"/>
    <x v="1"/>
  </r>
  <r>
    <n v="10270"/>
    <s v="S10_1949"/>
    <x v="64"/>
    <x v="51"/>
    <x v="2"/>
    <x v="2"/>
    <s v="Medium"/>
    <n v="9"/>
    <n v="21"/>
    <n v="100"/>
    <n v="214"/>
    <n v="4905.3900000000003"/>
    <n v="411.39"/>
    <x v="206"/>
    <x v="0"/>
    <n v="3"/>
    <n v="7"/>
    <n v="2004"/>
    <x v="1"/>
  </r>
  <r>
    <n v="10411"/>
    <s v="S10_1949"/>
    <x v="15"/>
    <x v="13"/>
    <x v="6"/>
    <x v="0"/>
    <s v="Medium"/>
    <n v="9"/>
    <n v="23"/>
    <n v="100"/>
    <n v="214"/>
    <n v="4140.2299999999996"/>
    <n v="-781.77"/>
    <x v="208"/>
    <x v="0"/>
    <n v="2"/>
    <n v="5"/>
    <n v="2005"/>
    <x v="1"/>
  </r>
  <r>
    <n v="10145"/>
    <s v="S10_2016"/>
    <x v="22"/>
    <x v="18"/>
    <x v="0"/>
    <x v="0"/>
    <s v="Medium"/>
    <n v="9"/>
    <n v="37"/>
    <n v="100"/>
    <n v="118"/>
    <n v="5192.95"/>
    <n v="826.95"/>
    <x v="213"/>
    <x v="0"/>
    <n v="3"/>
    <n v="8"/>
    <n v="2003"/>
    <x v="0"/>
  </r>
  <r>
    <n v="10285"/>
    <s v="S10_2016"/>
    <x v="87"/>
    <x v="36"/>
    <x v="0"/>
    <x v="0"/>
    <s v="Medium"/>
    <n v="9"/>
    <n v="47"/>
    <n v="100"/>
    <n v="118"/>
    <n v="6484.59"/>
    <n v="938.59"/>
    <x v="215"/>
    <x v="0"/>
    <n v="3"/>
    <n v="8"/>
    <n v="2004"/>
    <x v="0"/>
  </r>
  <r>
    <n v="10237"/>
    <s v="S10_4698"/>
    <x v="28"/>
    <x v="5"/>
    <x v="0"/>
    <x v="0"/>
    <s v="Large"/>
    <n v="9"/>
    <n v="39"/>
    <n v="100"/>
    <n v="193"/>
    <n v="7023.9"/>
    <n v="-503.1"/>
    <x v="125"/>
    <x v="0"/>
    <n v="2"/>
    <n v="4"/>
    <n v="2004"/>
    <x v="0"/>
  </r>
  <r>
    <n v="10403"/>
    <s v="S10_4698"/>
    <x v="50"/>
    <x v="41"/>
    <x v="15"/>
    <x v="1"/>
    <s v="Large"/>
    <n v="9"/>
    <n v="66"/>
    <n v="100"/>
    <n v="193"/>
    <n v="11886.6"/>
    <n v="-851.4"/>
    <x v="128"/>
    <x v="0"/>
    <n v="2"/>
    <n v="4"/>
    <n v="2005"/>
    <x v="0"/>
  </r>
  <r>
    <n v="10167"/>
    <s v="S10_4757"/>
    <x v="51"/>
    <x v="42"/>
    <x v="4"/>
    <x v="1"/>
    <s v="Medium"/>
    <n v="9"/>
    <n v="44"/>
    <n v="100"/>
    <n v="136"/>
    <n v="5924.16"/>
    <n v="-59.84"/>
    <x v="68"/>
    <x v="3"/>
    <n v="4"/>
    <n v="10"/>
    <n v="2003"/>
    <x v="1"/>
  </r>
  <r>
    <n v="10186"/>
    <s v="S10_4757"/>
    <x v="52"/>
    <x v="33"/>
    <x v="15"/>
    <x v="1"/>
    <s v="Medium"/>
    <n v="9"/>
    <n v="26"/>
    <n v="100"/>
    <n v="136"/>
    <n v="3854.24"/>
    <n v="318.24"/>
    <x v="69"/>
    <x v="0"/>
    <n v="4"/>
    <n v="11"/>
    <n v="2003"/>
    <x v="1"/>
  </r>
  <r>
    <n v="10307"/>
    <s v="S10_4757"/>
    <x v="18"/>
    <x v="8"/>
    <x v="0"/>
    <x v="0"/>
    <s v="Small"/>
    <n v="9"/>
    <n v="22"/>
    <n v="100"/>
    <n v="136"/>
    <n v="2692.8"/>
    <n v="-299.2"/>
    <x v="71"/>
    <x v="0"/>
    <n v="4"/>
    <n v="10"/>
    <n v="2004"/>
    <x v="1"/>
  </r>
  <r>
    <n v="10400"/>
    <s v="S10_4757"/>
    <x v="55"/>
    <x v="44"/>
    <x v="0"/>
    <x v="0"/>
    <s v="Large"/>
    <n v="9"/>
    <n v="64"/>
    <n v="100"/>
    <n v="136"/>
    <n v="9661.44"/>
    <n v="957.44"/>
    <x v="74"/>
    <x v="0"/>
    <n v="2"/>
    <n v="4"/>
    <n v="2005"/>
    <x v="1"/>
  </r>
  <r>
    <n v="10175"/>
    <s v="S10_4962"/>
    <x v="42"/>
    <x v="33"/>
    <x v="15"/>
    <x v="1"/>
    <s v="Medium"/>
    <n v="9"/>
    <n v="33"/>
    <n v="100"/>
    <n v="147"/>
    <n v="5362.83"/>
    <n v="511.83"/>
    <x v="21"/>
    <x v="0"/>
    <n v="4"/>
    <n v="11"/>
    <n v="2003"/>
    <x v="1"/>
  </r>
  <r>
    <n v="10229"/>
    <s v="S10_4962"/>
    <x v="43"/>
    <x v="34"/>
    <x v="0"/>
    <x v="0"/>
    <s v="Medium"/>
    <n v="9"/>
    <n v="50"/>
    <n v="100"/>
    <n v="147"/>
    <n v="6426.5"/>
    <n v="-923.5"/>
    <x v="48"/>
    <x v="0"/>
    <n v="1"/>
    <n v="3"/>
    <n v="2004"/>
    <x v="1"/>
  </r>
  <r>
    <n v="10281"/>
    <s v="S10_4962"/>
    <x v="4"/>
    <x v="4"/>
    <x v="0"/>
    <x v="0"/>
    <s v="Large"/>
    <n v="9"/>
    <n v="44"/>
    <n v="100"/>
    <n v="147"/>
    <n v="7020.64"/>
    <n v="552.64"/>
    <x v="49"/>
    <x v="0"/>
    <n v="3"/>
    <n v="8"/>
    <n v="2004"/>
    <x v="1"/>
  </r>
  <r>
    <n v="10357"/>
    <s v="S10_4962"/>
    <x v="43"/>
    <x v="34"/>
    <x v="0"/>
    <x v="0"/>
    <s v="Medium"/>
    <n v="9"/>
    <n v="43"/>
    <n v="100"/>
    <n v="147"/>
    <n v="5780.92"/>
    <n v="-540.08000000000004"/>
    <x v="54"/>
    <x v="0"/>
    <n v="4"/>
    <n v="12"/>
    <n v="2004"/>
    <x v="1"/>
  </r>
  <r>
    <n v="10225"/>
    <s v="S12_1099"/>
    <x v="48"/>
    <x v="39"/>
    <x v="16"/>
    <x v="1"/>
    <s v="Medium"/>
    <n v="9"/>
    <n v="27"/>
    <n v="100"/>
    <n v="194"/>
    <n v="4517.91"/>
    <n v="-720.09"/>
    <x v="56"/>
    <x v="0"/>
    <n v="1"/>
    <n v="2"/>
    <n v="2004"/>
    <x v="1"/>
  </r>
  <r>
    <n v="10117"/>
    <s v="S12_1108"/>
    <x v="17"/>
    <x v="15"/>
    <x v="7"/>
    <x v="2"/>
    <s v="Medium"/>
    <n v="9"/>
    <n v="33"/>
    <n v="100"/>
    <n v="207"/>
    <n v="6034.38"/>
    <n v="-796.62"/>
    <x v="246"/>
    <x v="0"/>
    <n v="2"/>
    <n v="4"/>
    <n v="2003"/>
    <x v="1"/>
  </r>
  <r>
    <n v="10322"/>
    <s v="S12_1666"/>
    <x v="8"/>
    <x v="7"/>
    <x v="0"/>
    <x v="0"/>
    <s v="Medium"/>
    <n v="9"/>
    <n v="27"/>
    <n v="100"/>
    <n v="136"/>
    <n v="4784.13"/>
    <n v="1112.1300000000001"/>
    <x v="8"/>
    <x v="0"/>
    <n v="4"/>
    <n v="11"/>
    <n v="2004"/>
    <x v="2"/>
  </r>
  <r>
    <n v="10391"/>
    <s v="S12_1666"/>
    <x v="47"/>
    <x v="38"/>
    <x v="2"/>
    <x v="2"/>
    <s v="Small"/>
    <n v="9"/>
    <n v="39"/>
    <n v="63.2"/>
    <n v="136"/>
    <n v="2464.8000000000002"/>
    <n v="-2839.2"/>
    <x v="165"/>
    <x v="0"/>
    <n v="1"/>
    <n v="3"/>
    <n v="2005"/>
    <x v="2"/>
  </r>
  <r>
    <n v="10319"/>
    <s v="S12_2823"/>
    <x v="72"/>
    <x v="5"/>
    <x v="0"/>
    <x v="0"/>
    <s v="Medium"/>
    <n v="9"/>
    <n v="30"/>
    <n v="100"/>
    <n v="150"/>
    <n v="4111.8"/>
    <n v="-388.2"/>
    <x v="37"/>
    <x v="0"/>
    <n v="4"/>
    <n v="11"/>
    <n v="2004"/>
    <x v="0"/>
  </r>
  <r>
    <n v="10293"/>
    <s v="S12_3148"/>
    <x v="46"/>
    <x v="37"/>
    <x v="12"/>
    <x v="1"/>
    <s v="Medium"/>
    <n v="9"/>
    <n v="24"/>
    <n v="100"/>
    <n v="151"/>
    <n v="4242.24"/>
    <n v="618.24"/>
    <x v="249"/>
    <x v="0"/>
    <n v="3"/>
    <n v="9"/>
    <n v="2004"/>
    <x v="1"/>
  </r>
  <r>
    <n v="10203"/>
    <s v="S12_3990"/>
    <x v="26"/>
    <x v="21"/>
    <x v="8"/>
    <x v="1"/>
    <s v="Medium"/>
    <n v="9"/>
    <n v="44"/>
    <n v="82.99"/>
    <n v="79"/>
    <n v="3651.56"/>
    <n v="175.56"/>
    <x v="86"/>
    <x v="0"/>
    <n v="4"/>
    <n v="12"/>
    <n v="2003"/>
    <x v="1"/>
  </r>
  <r>
    <n v="10104"/>
    <s v="S12_4473"/>
    <x v="26"/>
    <x v="21"/>
    <x v="8"/>
    <x v="1"/>
    <s v="Medium"/>
    <n v="9"/>
    <n v="41"/>
    <n v="100"/>
    <n v="118"/>
    <n v="4615.78"/>
    <n v="-222.22"/>
    <x v="31"/>
    <x v="0"/>
    <n v="1"/>
    <n v="1"/>
    <n v="2003"/>
    <x v="2"/>
  </r>
  <r>
    <n v="10349"/>
    <s v="S12_4473"/>
    <x v="34"/>
    <x v="5"/>
    <x v="0"/>
    <x v="0"/>
    <s v="Medium"/>
    <n v="9"/>
    <n v="48"/>
    <n v="100"/>
    <n v="118"/>
    <n v="5232.96"/>
    <n v="-431.04"/>
    <x v="216"/>
    <x v="0"/>
    <n v="4"/>
    <n v="12"/>
    <n v="2004"/>
    <x v="2"/>
  </r>
  <r>
    <n v="10358"/>
    <s v="S12_4473"/>
    <x v="26"/>
    <x v="21"/>
    <x v="8"/>
    <x v="1"/>
    <s v="Small"/>
    <n v="9"/>
    <n v="42"/>
    <n v="64.16"/>
    <n v="118"/>
    <n v="2694.72"/>
    <n v="-2261.2800000000002"/>
    <x v="54"/>
    <x v="0"/>
    <n v="4"/>
    <n v="12"/>
    <n v="2004"/>
    <x v="2"/>
  </r>
  <r>
    <n v="10287"/>
    <s v="S12_4675"/>
    <x v="48"/>
    <x v="39"/>
    <x v="16"/>
    <x v="1"/>
    <s v="Small"/>
    <n v="9"/>
    <n v="23"/>
    <n v="100"/>
    <n v="115"/>
    <n v="2675.13"/>
    <n v="30.13"/>
    <x v="99"/>
    <x v="0"/>
    <n v="3"/>
    <n v="8"/>
    <n v="2004"/>
    <x v="1"/>
  </r>
  <r>
    <n v="10280"/>
    <s v="S18_1342"/>
    <x v="46"/>
    <x v="37"/>
    <x v="12"/>
    <x v="1"/>
    <s v="Medium"/>
    <n v="9"/>
    <n v="50"/>
    <n v="100"/>
    <n v="102"/>
    <n v="5239.5"/>
    <n v="139.5"/>
    <x v="53"/>
    <x v="0"/>
    <n v="3"/>
    <n v="8"/>
    <n v="2004"/>
    <x v="3"/>
  </r>
  <r>
    <n v="10356"/>
    <s v="S18_1342"/>
    <x v="19"/>
    <x v="9"/>
    <x v="3"/>
    <x v="1"/>
    <s v="Small"/>
    <n v="9"/>
    <n v="50"/>
    <n v="50.18"/>
    <n v="102"/>
    <n v="2509"/>
    <n v="-2591"/>
    <x v="96"/>
    <x v="0"/>
    <n v="4"/>
    <n v="12"/>
    <n v="2004"/>
    <x v="3"/>
  </r>
  <r>
    <n v="10215"/>
    <s v="S18_1367"/>
    <x v="79"/>
    <x v="62"/>
    <x v="0"/>
    <x v="0"/>
    <s v="Small"/>
    <n v="9"/>
    <n v="33"/>
    <n v="43.13"/>
    <n v="53"/>
    <n v="1423.29"/>
    <n v="-325.70999999999998"/>
    <x v="139"/>
    <x v="0"/>
    <n v="1"/>
    <n v="1"/>
    <n v="2004"/>
    <x v="3"/>
  </r>
  <r>
    <n v="10312"/>
    <s v="S18_1367"/>
    <x v="43"/>
    <x v="34"/>
    <x v="0"/>
    <x v="0"/>
    <s v="Small"/>
    <n v="9"/>
    <n v="25"/>
    <n v="44.21"/>
    <n v="53"/>
    <n v="1105.25"/>
    <n v="-219.75"/>
    <x v="140"/>
    <x v="0"/>
    <n v="4"/>
    <n v="10"/>
    <n v="2004"/>
    <x v="3"/>
  </r>
  <r>
    <n v="10381"/>
    <s v="S18_1367"/>
    <x v="21"/>
    <x v="17"/>
    <x v="0"/>
    <x v="0"/>
    <s v="Small"/>
    <n v="9"/>
    <n v="25"/>
    <n v="52.83"/>
    <n v="53"/>
    <n v="1320.75"/>
    <n v="-4.25"/>
    <x v="23"/>
    <x v="0"/>
    <n v="1"/>
    <n v="2"/>
    <n v="2005"/>
    <x v="3"/>
  </r>
  <r>
    <n v="10148"/>
    <s v="S18_1589"/>
    <x v="47"/>
    <x v="38"/>
    <x v="2"/>
    <x v="2"/>
    <s v="Medium"/>
    <n v="9"/>
    <n v="47"/>
    <n v="100"/>
    <n v="124"/>
    <n v="5848.68"/>
    <n v="20.68"/>
    <x v="134"/>
    <x v="0"/>
    <n v="3"/>
    <n v="9"/>
    <n v="2003"/>
    <x v="1"/>
  </r>
  <r>
    <n v="10311"/>
    <s v="S18_1589"/>
    <x v="26"/>
    <x v="21"/>
    <x v="8"/>
    <x v="1"/>
    <s v="Small"/>
    <n v="9"/>
    <n v="29"/>
    <n v="100"/>
    <n v="124"/>
    <n v="2923.2"/>
    <n v="-672.8"/>
    <x v="81"/>
    <x v="0"/>
    <n v="4"/>
    <n v="10"/>
    <n v="2004"/>
    <x v="1"/>
  </r>
  <r>
    <n v="10262"/>
    <s v="S18_1662"/>
    <x v="26"/>
    <x v="21"/>
    <x v="8"/>
    <x v="1"/>
    <s v="Medium"/>
    <n v="9"/>
    <n v="49"/>
    <n v="100"/>
    <n v="157"/>
    <n v="6567.96"/>
    <n v="-1125.04"/>
    <x v="155"/>
    <x v="3"/>
    <n v="2"/>
    <n v="6"/>
    <n v="2004"/>
    <x v="4"/>
  </r>
  <r>
    <n v="10316"/>
    <s v="S18_1662"/>
    <x v="84"/>
    <x v="66"/>
    <x v="15"/>
    <x v="1"/>
    <s v="Medium"/>
    <n v="9"/>
    <n v="27"/>
    <n v="100"/>
    <n v="157"/>
    <n v="3704.13"/>
    <n v="-534.87"/>
    <x v="156"/>
    <x v="0"/>
    <n v="4"/>
    <n v="11"/>
    <n v="2004"/>
    <x v="4"/>
  </r>
  <r>
    <n v="10162"/>
    <s v="S18_1749"/>
    <x v="21"/>
    <x v="17"/>
    <x v="0"/>
    <x v="0"/>
    <s v="Medium"/>
    <n v="9"/>
    <n v="29"/>
    <n v="100"/>
    <n v="170"/>
    <n v="5176.5"/>
    <n v="246.5"/>
    <x v="60"/>
    <x v="0"/>
    <n v="4"/>
    <n v="10"/>
    <n v="2003"/>
    <x v="3"/>
  </r>
  <r>
    <n v="10253"/>
    <s v="S18_1889"/>
    <x v="50"/>
    <x v="41"/>
    <x v="15"/>
    <x v="1"/>
    <s v="Small"/>
    <n v="9"/>
    <n v="23"/>
    <n v="83.93"/>
    <n v="77"/>
    <n v="1930.39"/>
    <n v="159.38999999999999"/>
    <x v="65"/>
    <x v="3"/>
    <n v="2"/>
    <n v="6"/>
    <n v="2004"/>
    <x v="1"/>
  </r>
  <r>
    <n v="10329"/>
    <s v="S18_1889"/>
    <x v="5"/>
    <x v="5"/>
    <x v="0"/>
    <x v="0"/>
    <s v="Small"/>
    <n v="9"/>
    <n v="29"/>
    <n v="100"/>
    <n v="77"/>
    <n v="2954.81"/>
    <n v="721.81"/>
    <x v="5"/>
    <x v="0"/>
    <n v="4"/>
    <n v="11"/>
    <n v="2004"/>
    <x v="1"/>
  </r>
  <r>
    <n v="10419"/>
    <s v="S18_1889"/>
    <x v="32"/>
    <x v="26"/>
    <x v="11"/>
    <x v="1"/>
    <s v="Medium"/>
    <n v="9"/>
    <n v="39"/>
    <n v="83.93"/>
    <n v="77"/>
    <n v="3273.27"/>
    <n v="270.27"/>
    <x v="67"/>
    <x v="0"/>
    <n v="2"/>
    <n v="5"/>
    <n v="2005"/>
    <x v="1"/>
  </r>
  <r>
    <n v="10212"/>
    <s v="S18_1984"/>
    <x v="26"/>
    <x v="21"/>
    <x v="8"/>
    <x v="1"/>
    <s v="Medium"/>
    <n v="9"/>
    <n v="41"/>
    <n v="100"/>
    <n v="142"/>
    <n v="4840.87"/>
    <n v="-981.13"/>
    <x v="173"/>
    <x v="0"/>
    <n v="1"/>
    <n v="1"/>
    <n v="2004"/>
    <x v="1"/>
  </r>
  <r>
    <n v="10321"/>
    <s v="S18_1984"/>
    <x v="78"/>
    <x v="40"/>
    <x v="0"/>
    <x v="0"/>
    <s v="Medium"/>
    <n v="9"/>
    <n v="25"/>
    <n v="100"/>
    <n v="142"/>
    <n v="3734"/>
    <n v="184"/>
    <x v="8"/>
    <x v="0"/>
    <n v="4"/>
    <n v="11"/>
    <n v="2004"/>
    <x v="1"/>
  </r>
  <r>
    <n v="10182"/>
    <s v="S18_2248"/>
    <x v="43"/>
    <x v="34"/>
    <x v="0"/>
    <x v="0"/>
    <s v="Small"/>
    <n v="9"/>
    <n v="38"/>
    <n v="61.15"/>
    <n v="60"/>
    <n v="2323.6999999999998"/>
    <n v="43.7"/>
    <x v="117"/>
    <x v="0"/>
    <n v="4"/>
    <n v="11"/>
    <n v="2003"/>
    <x v="3"/>
  </r>
  <r>
    <n v="10227"/>
    <s v="S18_2248"/>
    <x v="73"/>
    <x v="59"/>
    <x v="3"/>
    <x v="1"/>
    <s v="Small"/>
    <n v="9"/>
    <n v="28"/>
    <n v="50.85"/>
    <n v="60"/>
    <n v="1423.8"/>
    <n v="-256.2"/>
    <x v="118"/>
    <x v="0"/>
    <n v="1"/>
    <n v="3"/>
    <n v="2004"/>
    <x v="3"/>
  </r>
  <r>
    <n v="10332"/>
    <s v="S18_2248"/>
    <x v="62"/>
    <x v="50"/>
    <x v="15"/>
    <x v="1"/>
    <s v="Medium"/>
    <n v="9"/>
    <n v="38"/>
    <n v="84.25"/>
    <n v="60"/>
    <n v="3201.5"/>
    <n v="921.5"/>
    <x v="95"/>
    <x v="0"/>
    <n v="4"/>
    <n v="11"/>
    <n v="2004"/>
    <x v="3"/>
  </r>
  <r>
    <n v="10184"/>
    <s v="S18_2319"/>
    <x v="86"/>
    <x v="68"/>
    <x v="8"/>
    <x v="1"/>
    <s v="Medium"/>
    <n v="9"/>
    <n v="46"/>
    <n v="100"/>
    <n v="122"/>
    <n v="5984.14"/>
    <n v="372.14"/>
    <x v="69"/>
    <x v="0"/>
    <n v="4"/>
    <n v="11"/>
    <n v="2003"/>
    <x v="2"/>
  </r>
  <r>
    <n v="10195"/>
    <s v="S18_2319"/>
    <x v="13"/>
    <x v="11"/>
    <x v="0"/>
    <x v="0"/>
    <s v="Medium"/>
    <n v="9"/>
    <n v="35"/>
    <n v="100"/>
    <n v="122"/>
    <n v="3608.15"/>
    <n v="-661.85"/>
    <x v="169"/>
    <x v="0"/>
    <n v="4"/>
    <n v="11"/>
    <n v="2003"/>
    <x v="2"/>
  </r>
  <r>
    <n v="10151"/>
    <s v="S18_2432"/>
    <x v="71"/>
    <x v="58"/>
    <x v="14"/>
    <x v="1"/>
    <s v="Small"/>
    <n v="9"/>
    <n v="39"/>
    <n v="69.28"/>
    <n v="60"/>
    <n v="2701.92"/>
    <n v="361.92"/>
    <x v="224"/>
    <x v="0"/>
    <n v="3"/>
    <n v="9"/>
    <n v="2003"/>
    <x v="2"/>
  </r>
  <r>
    <n v="10168"/>
    <s v="S18_2581"/>
    <x v="0"/>
    <x v="0"/>
    <x v="0"/>
    <x v="0"/>
    <s v="Small"/>
    <n v="9"/>
    <n v="21"/>
    <n v="70.959999999999994"/>
    <n v="84"/>
    <n v="1490.16"/>
    <n v="-273.83999999999997"/>
    <x v="0"/>
    <x v="0"/>
    <n v="4"/>
    <n v="10"/>
    <n v="2003"/>
    <x v="4"/>
  </r>
  <r>
    <n v="10223"/>
    <s v="S18_2581"/>
    <x v="2"/>
    <x v="2"/>
    <x v="2"/>
    <x v="2"/>
    <s v="Medium"/>
    <n v="9"/>
    <n v="47"/>
    <n v="100"/>
    <n v="84"/>
    <n v="4724.91"/>
    <n v="776.91"/>
    <x v="2"/>
    <x v="0"/>
    <n v="1"/>
    <n v="2"/>
    <n v="2004"/>
    <x v="4"/>
  </r>
  <r>
    <n v="10275"/>
    <s v="S18_2581"/>
    <x v="3"/>
    <x v="3"/>
    <x v="3"/>
    <x v="1"/>
    <s v="Medium"/>
    <n v="9"/>
    <n v="35"/>
    <n v="90.39"/>
    <n v="84"/>
    <n v="3163.65"/>
    <n v="223.65"/>
    <x v="3"/>
    <x v="0"/>
    <n v="3"/>
    <n v="7"/>
    <n v="2004"/>
    <x v="4"/>
  </r>
  <r>
    <n v="10318"/>
    <s v="S18_2581"/>
    <x v="4"/>
    <x v="4"/>
    <x v="0"/>
    <x v="0"/>
    <s v="Medium"/>
    <n v="9"/>
    <n v="31"/>
    <n v="100"/>
    <n v="84"/>
    <n v="3116.43"/>
    <n v="512.42999999999995"/>
    <x v="4"/>
    <x v="0"/>
    <n v="4"/>
    <n v="11"/>
    <n v="2004"/>
    <x v="4"/>
  </r>
  <r>
    <n v="10161"/>
    <s v="S18_2870"/>
    <x v="69"/>
    <x v="56"/>
    <x v="10"/>
    <x v="1"/>
    <s v="Medium"/>
    <n v="9"/>
    <n v="23"/>
    <n v="100"/>
    <n v="132"/>
    <n v="3187.8"/>
    <n v="151.80000000000001"/>
    <x v="142"/>
    <x v="0"/>
    <n v="4"/>
    <n v="10"/>
    <n v="2003"/>
    <x v="1"/>
  </r>
  <r>
    <n v="10150"/>
    <s v="S18_2949"/>
    <x v="17"/>
    <x v="15"/>
    <x v="7"/>
    <x v="2"/>
    <s v="Medium"/>
    <n v="9"/>
    <n v="47"/>
    <n v="91.18"/>
    <n v="101"/>
    <n v="4285.46"/>
    <n v="-461.54"/>
    <x v="18"/>
    <x v="0"/>
    <n v="3"/>
    <n v="9"/>
    <n v="2003"/>
    <x v="3"/>
  </r>
  <r>
    <n v="10183"/>
    <s v="S18_2949"/>
    <x v="18"/>
    <x v="8"/>
    <x v="0"/>
    <x v="0"/>
    <s v="Medium"/>
    <n v="9"/>
    <n v="37"/>
    <n v="89.15"/>
    <n v="101"/>
    <n v="3298.55"/>
    <n v="-438.45"/>
    <x v="19"/>
    <x v="0"/>
    <n v="4"/>
    <n v="11"/>
    <n v="2003"/>
    <x v="3"/>
  </r>
  <r>
    <n v="10347"/>
    <s v="S18_2949"/>
    <x v="2"/>
    <x v="2"/>
    <x v="2"/>
    <x v="2"/>
    <s v="Medium"/>
    <n v="9"/>
    <n v="48"/>
    <n v="100"/>
    <n v="101"/>
    <n v="4814.3999999999996"/>
    <n v="-33.6"/>
    <x v="9"/>
    <x v="0"/>
    <n v="4"/>
    <n v="11"/>
    <n v="2004"/>
    <x v="3"/>
  </r>
  <r>
    <n v="10206"/>
    <s v="S18_2957"/>
    <x v="90"/>
    <x v="71"/>
    <x v="6"/>
    <x v="0"/>
    <s v="Small"/>
    <n v="9"/>
    <n v="28"/>
    <n v="67.459999999999994"/>
    <n v="62"/>
    <n v="1888.88"/>
    <n v="152.88"/>
    <x v="240"/>
    <x v="0"/>
    <n v="4"/>
    <n v="12"/>
    <n v="2003"/>
    <x v="3"/>
  </r>
  <r>
    <n v="10304"/>
    <s v="S18_2957"/>
    <x v="20"/>
    <x v="16"/>
    <x v="3"/>
    <x v="1"/>
    <s v="Small"/>
    <n v="9"/>
    <n v="24"/>
    <n v="64.959999999999994"/>
    <n v="62"/>
    <n v="1559.04"/>
    <n v="71.040000000000006"/>
    <x v="241"/>
    <x v="0"/>
    <n v="4"/>
    <n v="10"/>
    <n v="2004"/>
    <x v="3"/>
  </r>
  <r>
    <n v="10119"/>
    <s v="S18_3029"/>
    <x v="32"/>
    <x v="26"/>
    <x v="11"/>
    <x v="1"/>
    <s v="Small"/>
    <n v="9"/>
    <n v="21"/>
    <n v="89.46"/>
    <n v="86"/>
    <n v="1878.66"/>
    <n v="72.66"/>
    <x v="247"/>
    <x v="0"/>
    <n v="2"/>
    <n v="4"/>
    <n v="2003"/>
    <x v="5"/>
  </r>
  <r>
    <n v="10177"/>
    <s v="S18_3140"/>
    <x v="37"/>
    <x v="21"/>
    <x v="8"/>
    <x v="1"/>
    <s v="Medium"/>
    <n v="9"/>
    <n v="23"/>
    <n v="100"/>
    <n v="136"/>
    <n v="3675.63"/>
    <n v="547.63"/>
    <x v="236"/>
    <x v="0"/>
    <n v="4"/>
    <n v="11"/>
    <n v="2003"/>
    <x v="3"/>
  </r>
  <r>
    <n v="10185"/>
    <s v="S18_3140"/>
    <x v="49"/>
    <x v="40"/>
    <x v="0"/>
    <x v="0"/>
    <s v="Medium"/>
    <n v="9"/>
    <n v="28"/>
    <n v="100"/>
    <n v="136"/>
    <n v="3442.04"/>
    <n v="-365.96"/>
    <x v="69"/>
    <x v="0"/>
    <n v="4"/>
    <n v="11"/>
    <n v="2003"/>
    <x v="3"/>
  </r>
  <r>
    <n v="10208"/>
    <s v="S18_3140"/>
    <x v="73"/>
    <x v="59"/>
    <x v="3"/>
    <x v="1"/>
    <s v="Small"/>
    <n v="9"/>
    <n v="24"/>
    <n v="100"/>
    <n v="136"/>
    <n v="2622.48"/>
    <n v="-641.52"/>
    <x v="237"/>
    <x v="0"/>
    <n v="1"/>
    <n v="1"/>
    <n v="2004"/>
    <x v="3"/>
  </r>
  <r>
    <n v="10306"/>
    <s v="S18_3140"/>
    <x v="62"/>
    <x v="50"/>
    <x v="15"/>
    <x v="1"/>
    <s v="Medium"/>
    <n v="9"/>
    <n v="32"/>
    <n v="100"/>
    <n v="136"/>
    <n v="3759.04"/>
    <n v="-592.96"/>
    <x v="71"/>
    <x v="0"/>
    <n v="4"/>
    <n v="10"/>
    <n v="2004"/>
    <x v="3"/>
  </r>
  <r>
    <n v="10325"/>
    <s v="S18_3140"/>
    <x v="39"/>
    <x v="31"/>
    <x v="1"/>
    <x v="1"/>
    <s v="Small"/>
    <n v="9"/>
    <n v="24"/>
    <n v="69.12"/>
    <n v="136"/>
    <n v="1658.88"/>
    <n v="-1605.12"/>
    <x v="33"/>
    <x v="0"/>
    <n v="4"/>
    <n v="11"/>
    <n v="2004"/>
    <x v="3"/>
  </r>
  <r>
    <n v="10383"/>
    <s v="S18_3140"/>
    <x v="26"/>
    <x v="21"/>
    <x v="8"/>
    <x v="1"/>
    <s v="Small"/>
    <n v="9"/>
    <n v="24"/>
    <n v="61.52"/>
    <n v="136"/>
    <n v="1476.48"/>
    <n v="-1787.52"/>
    <x v="132"/>
    <x v="0"/>
    <n v="1"/>
    <n v="2"/>
    <n v="2005"/>
    <x v="3"/>
  </r>
  <r>
    <n v="10141"/>
    <s v="S18_3232"/>
    <x v="38"/>
    <x v="30"/>
    <x v="14"/>
    <x v="1"/>
    <s v="Medium"/>
    <n v="9"/>
    <n v="34"/>
    <n v="100"/>
    <n v="169"/>
    <n v="4836.5"/>
    <n v="-909.5"/>
    <x v="195"/>
    <x v="0"/>
    <n v="3"/>
    <n v="8"/>
    <n v="2003"/>
    <x v="1"/>
  </r>
  <r>
    <n v="10246"/>
    <s v="S18_3232"/>
    <x v="26"/>
    <x v="21"/>
    <x v="8"/>
    <x v="1"/>
    <s v="Large"/>
    <n v="9"/>
    <n v="36"/>
    <n v="100"/>
    <n v="169"/>
    <n v="7132.68"/>
    <n v="1048.68"/>
    <x v="43"/>
    <x v="0"/>
    <n v="2"/>
    <n v="5"/>
    <n v="2004"/>
    <x v="1"/>
  </r>
  <r>
    <n v="10271"/>
    <s v="S18_3232"/>
    <x v="43"/>
    <x v="34"/>
    <x v="0"/>
    <x v="0"/>
    <s v="Medium"/>
    <n v="9"/>
    <n v="20"/>
    <n v="100"/>
    <n v="169"/>
    <n v="3928.6"/>
    <n v="548.6"/>
    <x v="44"/>
    <x v="0"/>
    <n v="3"/>
    <n v="7"/>
    <n v="2004"/>
    <x v="1"/>
  </r>
  <r>
    <n v="10301"/>
    <s v="S18_3232"/>
    <x v="60"/>
    <x v="49"/>
    <x v="1"/>
    <x v="1"/>
    <s v="Medium"/>
    <n v="9"/>
    <n v="23"/>
    <n v="100"/>
    <n v="169"/>
    <n v="4011.66"/>
    <n v="124.66"/>
    <x v="146"/>
    <x v="0"/>
    <n v="4"/>
    <n v="10"/>
    <n v="2003"/>
    <x v="1"/>
  </r>
  <r>
    <n v="10305"/>
    <s v="S18_3232"/>
    <x v="87"/>
    <x v="36"/>
    <x v="0"/>
    <x v="0"/>
    <s v="Large"/>
    <n v="9"/>
    <n v="37"/>
    <n v="100"/>
    <n v="169"/>
    <n v="7455.87"/>
    <n v="1202.8699999999999"/>
    <x v="196"/>
    <x v="0"/>
    <n v="4"/>
    <n v="10"/>
    <n v="2004"/>
    <x v="1"/>
  </r>
  <r>
    <n v="10370"/>
    <s v="S18_3232"/>
    <x v="47"/>
    <x v="38"/>
    <x v="2"/>
    <x v="2"/>
    <s v="Small"/>
    <n v="9"/>
    <n v="27"/>
    <n v="56.85"/>
    <n v="169"/>
    <n v="1534.95"/>
    <n v="-3028.05"/>
    <x v="55"/>
    <x v="0"/>
    <n v="1"/>
    <n v="1"/>
    <n v="2005"/>
    <x v="1"/>
  </r>
  <r>
    <n v="10412"/>
    <s v="S18_3232"/>
    <x v="26"/>
    <x v="21"/>
    <x v="8"/>
    <x v="1"/>
    <s v="Large"/>
    <n v="9"/>
    <n v="60"/>
    <n v="100"/>
    <n v="169"/>
    <n v="11887.8"/>
    <n v="1747.8"/>
    <x v="197"/>
    <x v="0"/>
    <n v="2"/>
    <n v="5"/>
    <n v="2005"/>
    <x v="1"/>
  </r>
  <r>
    <n v="10153"/>
    <s v="S18_3259"/>
    <x v="26"/>
    <x v="21"/>
    <x v="8"/>
    <x v="1"/>
    <s v="Small"/>
    <n v="9"/>
    <n v="29"/>
    <n v="88.74"/>
    <n v="100"/>
    <n v="2573.46"/>
    <n v="-326.54000000000002"/>
    <x v="226"/>
    <x v="0"/>
    <n v="3"/>
    <n v="9"/>
    <n v="2003"/>
    <x v="6"/>
  </r>
  <r>
    <n v="10108"/>
    <s v="S18_3278"/>
    <x v="85"/>
    <x v="67"/>
    <x v="18"/>
    <x v="2"/>
    <s v="Small"/>
    <n v="9"/>
    <n v="26"/>
    <n v="68.349999999999994"/>
    <n v="80"/>
    <n v="1777.1"/>
    <n v="-302.89999999999998"/>
    <x v="189"/>
    <x v="0"/>
    <n v="1"/>
    <n v="3"/>
    <n v="2003"/>
    <x v="1"/>
  </r>
  <r>
    <n v="10390"/>
    <s v="S18_3278"/>
    <x v="43"/>
    <x v="34"/>
    <x v="0"/>
    <x v="0"/>
    <s v="Medium"/>
    <n v="9"/>
    <n v="40"/>
    <n v="100"/>
    <n v="80"/>
    <n v="5491.6"/>
    <n v="2291.6"/>
    <x v="122"/>
    <x v="0"/>
    <n v="1"/>
    <n v="3"/>
    <n v="2005"/>
    <x v="1"/>
  </r>
  <r>
    <n v="10135"/>
    <s v="S18_3482"/>
    <x v="43"/>
    <x v="34"/>
    <x v="0"/>
    <x v="0"/>
    <s v="Medium"/>
    <n v="9"/>
    <n v="42"/>
    <n v="100"/>
    <n v="146"/>
    <n v="5432.7"/>
    <n v="-699.3"/>
    <x v="180"/>
    <x v="0"/>
    <n v="3"/>
    <n v="7"/>
    <n v="2003"/>
    <x v="1"/>
  </r>
  <r>
    <n v="10147"/>
    <s v="S18_3482"/>
    <x v="53"/>
    <x v="25"/>
    <x v="0"/>
    <x v="0"/>
    <s v="Medium"/>
    <n v="9"/>
    <n v="37"/>
    <n v="100"/>
    <n v="146"/>
    <n v="4405.22"/>
    <n v="-996.78"/>
    <x v="181"/>
    <x v="0"/>
    <n v="3"/>
    <n v="9"/>
    <n v="2003"/>
    <x v="1"/>
  </r>
  <r>
    <n v="10192"/>
    <s v="S18_3685"/>
    <x v="8"/>
    <x v="7"/>
    <x v="0"/>
    <x v="0"/>
    <s v="Medium"/>
    <n v="9"/>
    <n v="45"/>
    <n v="100"/>
    <n v="141"/>
    <n v="5340.6"/>
    <n v="-1004.4"/>
    <x v="34"/>
    <x v="0"/>
    <n v="4"/>
    <n v="11"/>
    <n v="2003"/>
    <x v="1"/>
  </r>
  <r>
    <n v="10191"/>
    <s v="S18_3782"/>
    <x v="29"/>
    <x v="23"/>
    <x v="9"/>
    <x v="1"/>
    <s v="Medium"/>
    <n v="9"/>
    <n v="43"/>
    <n v="72.739999999999995"/>
    <n v="62"/>
    <n v="3127.82"/>
    <n v="461.82"/>
    <x v="34"/>
    <x v="0"/>
    <n v="4"/>
    <n v="11"/>
    <n v="2003"/>
    <x v="0"/>
  </r>
  <r>
    <n v="10276"/>
    <s v="S18_3782"/>
    <x v="31"/>
    <x v="25"/>
    <x v="0"/>
    <x v="0"/>
    <s v="Small"/>
    <n v="9"/>
    <n v="33"/>
    <n v="50.36"/>
    <n v="62"/>
    <n v="1661.88"/>
    <n v="-384.12"/>
    <x v="36"/>
    <x v="0"/>
    <n v="3"/>
    <n v="8"/>
    <n v="2004"/>
    <x v="0"/>
  </r>
  <r>
    <n v="10378"/>
    <s v="S18_3782"/>
    <x v="26"/>
    <x v="21"/>
    <x v="8"/>
    <x v="1"/>
    <s v="Medium"/>
    <n v="9"/>
    <n v="28"/>
    <n v="100"/>
    <n v="62"/>
    <n v="4609.6400000000003"/>
    <n v="2873.64"/>
    <x v="84"/>
    <x v="0"/>
    <n v="1"/>
    <n v="2"/>
    <n v="2005"/>
    <x v="0"/>
  </r>
  <r>
    <n v="10178"/>
    <s v="S18_3856"/>
    <x v="57"/>
    <x v="46"/>
    <x v="3"/>
    <x v="1"/>
    <s v="Medium"/>
    <n v="9"/>
    <n v="48"/>
    <n v="100"/>
    <n v="105"/>
    <n v="5386.56"/>
    <n v="346.56"/>
    <x v="231"/>
    <x v="0"/>
    <n v="4"/>
    <n v="11"/>
    <n v="2003"/>
    <x v="3"/>
  </r>
  <r>
    <n v="10222"/>
    <s v="S18_3856"/>
    <x v="80"/>
    <x v="63"/>
    <x v="0"/>
    <x v="0"/>
    <s v="Medium"/>
    <n v="9"/>
    <n v="45"/>
    <n v="85.75"/>
    <n v="105"/>
    <n v="3858.75"/>
    <n v="-866.25"/>
    <x v="233"/>
    <x v="0"/>
    <n v="1"/>
    <n v="2"/>
    <n v="2004"/>
    <x v="3"/>
  </r>
  <r>
    <n v="10261"/>
    <s v="S18_4522"/>
    <x v="15"/>
    <x v="13"/>
    <x v="6"/>
    <x v="0"/>
    <s v="Small"/>
    <n v="9"/>
    <n v="20"/>
    <n v="89.53"/>
    <n v="87"/>
    <n v="1790.6"/>
    <n v="50.6"/>
    <x v="16"/>
    <x v="0"/>
    <n v="2"/>
    <n v="6"/>
    <n v="2004"/>
    <x v="3"/>
  </r>
  <r>
    <n v="10114"/>
    <s v="S18_4600"/>
    <x v="40"/>
    <x v="9"/>
    <x v="3"/>
    <x v="1"/>
    <s v="Medium"/>
    <n v="9"/>
    <n v="41"/>
    <n v="100"/>
    <n v="121"/>
    <n v="4815.45"/>
    <n v="-145.55000000000001"/>
    <x v="174"/>
    <x v="0"/>
    <n v="2"/>
    <n v="4"/>
    <n v="2003"/>
    <x v="2"/>
  </r>
  <r>
    <n v="10103"/>
    <s v="S18_4668"/>
    <x v="39"/>
    <x v="31"/>
    <x v="1"/>
    <x v="1"/>
    <s v="Small"/>
    <n v="9"/>
    <n v="41"/>
    <n v="47.29"/>
    <n v="50"/>
    <n v="1938.89"/>
    <n v="-111.11"/>
    <x v="166"/>
    <x v="0"/>
    <n v="1"/>
    <n v="1"/>
    <n v="2003"/>
    <x v="3"/>
  </r>
  <r>
    <n v="10126"/>
    <s v="S18_4668"/>
    <x v="63"/>
    <x v="21"/>
    <x v="8"/>
    <x v="1"/>
    <s v="Small"/>
    <n v="9"/>
    <n v="43"/>
    <n v="53.83"/>
    <n v="50"/>
    <n v="2314.69"/>
    <n v="164.69"/>
    <x v="167"/>
    <x v="0"/>
    <n v="2"/>
    <n v="5"/>
    <n v="2003"/>
    <x v="3"/>
  </r>
  <r>
    <n v="10140"/>
    <s v="S18_4668"/>
    <x v="0"/>
    <x v="0"/>
    <x v="0"/>
    <x v="0"/>
    <s v="Small"/>
    <n v="9"/>
    <n v="29"/>
    <n v="43.27"/>
    <n v="50"/>
    <n v="1254.83"/>
    <n v="-195.17"/>
    <x v="168"/>
    <x v="0"/>
    <n v="3"/>
    <n v="7"/>
    <n v="2003"/>
    <x v="3"/>
  </r>
  <r>
    <n v="10194"/>
    <s v="S18_4668"/>
    <x v="73"/>
    <x v="59"/>
    <x v="3"/>
    <x v="1"/>
    <s v="Small"/>
    <n v="9"/>
    <n v="41"/>
    <n v="44.78"/>
    <n v="50"/>
    <n v="1835.98"/>
    <n v="-214.02"/>
    <x v="169"/>
    <x v="0"/>
    <n v="4"/>
    <n v="11"/>
    <n v="2003"/>
    <x v="3"/>
  </r>
  <r>
    <n v="10291"/>
    <s v="S18_4668"/>
    <x v="51"/>
    <x v="42"/>
    <x v="4"/>
    <x v="1"/>
    <s v="Small"/>
    <n v="9"/>
    <n v="29"/>
    <n v="51.82"/>
    <n v="50"/>
    <n v="1502.78"/>
    <n v="52.78"/>
    <x v="171"/>
    <x v="0"/>
    <n v="3"/>
    <n v="9"/>
    <n v="2004"/>
    <x v="3"/>
  </r>
  <r>
    <n v="10110"/>
    <s v="S18_4933"/>
    <x v="62"/>
    <x v="50"/>
    <x v="15"/>
    <x v="1"/>
    <s v="Small"/>
    <n v="9"/>
    <n v="42"/>
    <n v="61.29"/>
    <n v="71"/>
    <n v="2574.1799999999998"/>
    <n v="-407.82"/>
    <x v="92"/>
    <x v="0"/>
    <n v="1"/>
    <n v="3"/>
    <n v="2003"/>
    <x v="1"/>
  </r>
  <r>
    <n v="10367"/>
    <s v="S18_4933"/>
    <x v="22"/>
    <x v="18"/>
    <x v="0"/>
    <x v="0"/>
    <s v="Medium"/>
    <n v="9"/>
    <n v="44"/>
    <n v="85.25"/>
    <n v="71"/>
    <n v="3751"/>
    <n v="627"/>
    <x v="66"/>
    <x v="4"/>
    <n v="1"/>
    <n v="1"/>
    <n v="2005"/>
    <x v="1"/>
  </r>
  <r>
    <n v="10165"/>
    <s v="S24_1444"/>
    <x v="17"/>
    <x v="15"/>
    <x v="7"/>
    <x v="2"/>
    <s v="Small"/>
    <n v="9"/>
    <n v="25"/>
    <n v="69.36"/>
    <n v="57"/>
    <n v="1734"/>
    <n v="309"/>
    <x v="116"/>
    <x v="0"/>
    <n v="4"/>
    <n v="10"/>
    <n v="2003"/>
    <x v="1"/>
  </r>
  <r>
    <n v="10210"/>
    <s v="S24_1785"/>
    <x v="12"/>
    <x v="10"/>
    <x v="5"/>
    <x v="2"/>
    <s v="Small"/>
    <n v="9"/>
    <n v="27"/>
    <n v="98.48"/>
    <n v="109"/>
    <n v="2658.96"/>
    <n v="-284.04000000000002"/>
    <x v="13"/>
    <x v="0"/>
    <n v="1"/>
    <n v="1"/>
    <n v="2004"/>
    <x v="4"/>
  </r>
  <r>
    <n v="10308"/>
    <s v="S24_1785"/>
    <x v="13"/>
    <x v="11"/>
    <x v="0"/>
    <x v="0"/>
    <s v="Medium"/>
    <n v="9"/>
    <n v="31"/>
    <n v="100"/>
    <n v="109"/>
    <n v="3493.7"/>
    <n v="114.7"/>
    <x v="14"/>
    <x v="0"/>
    <n v="4"/>
    <n v="10"/>
    <n v="2004"/>
    <x v="4"/>
  </r>
  <r>
    <n v="10173"/>
    <s v="S24_1937"/>
    <x v="67"/>
    <x v="54"/>
    <x v="12"/>
    <x v="1"/>
    <s v="Small"/>
    <n v="9"/>
    <n v="31"/>
    <n v="31.53"/>
    <n v="33"/>
    <n v="977.43"/>
    <n v="-45.57"/>
    <x v="80"/>
    <x v="0"/>
    <n v="4"/>
    <n v="11"/>
    <n v="2003"/>
    <x v="3"/>
  </r>
  <r>
    <n v="10375"/>
    <s v="S24_2000"/>
    <x v="3"/>
    <x v="3"/>
    <x v="3"/>
    <x v="1"/>
    <s v="Small"/>
    <n v="9"/>
    <n v="23"/>
    <n v="100"/>
    <n v="76"/>
    <n v="2443.29"/>
    <n v="695.29"/>
    <x v="234"/>
    <x v="0"/>
    <n v="1"/>
    <n v="2"/>
    <n v="2005"/>
    <x v="0"/>
  </r>
  <r>
    <n v="10105"/>
    <s v="S24_2011"/>
    <x v="30"/>
    <x v="24"/>
    <x v="10"/>
    <x v="1"/>
    <s v="Medium"/>
    <n v="9"/>
    <n v="43"/>
    <n v="100"/>
    <n v="122"/>
    <n v="6341.21"/>
    <n v="1095.21"/>
    <x v="187"/>
    <x v="0"/>
    <n v="1"/>
    <n v="2"/>
    <n v="2003"/>
    <x v="5"/>
  </r>
  <r>
    <n v="10129"/>
    <s v="S24_2011"/>
    <x v="42"/>
    <x v="33"/>
    <x v="15"/>
    <x v="1"/>
    <s v="Medium"/>
    <n v="9"/>
    <n v="45"/>
    <n v="100"/>
    <n v="122"/>
    <n v="6027.75"/>
    <n v="537.75"/>
    <x v="188"/>
    <x v="0"/>
    <n v="2"/>
    <n v="6"/>
    <n v="2003"/>
    <x v="5"/>
  </r>
  <r>
    <n v="10193"/>
    <s v="S24_2022"/>
    <x v="65"/>
    <x v="52"/>
    <x v="2"/>
    <x v="2"/>
    <s v="Small"/>
    <n v="9"/>
    <n v="20"/>
    <n v="50.62"/>
    <n v="44"/>
    <n v="1012.4"/>
    <n v="132.4"/>
    <x v="101"/>
    <x v="0"/>
    <n v="4"/>
    <n v="11"/>
    <n v="2003"/>
    <x v="3"/>
  </r>
  <r>
    <n v="10244"/>
    <s v="S24_2022"/>
    <x v="26"/>
    <x v="21"/>
    <x v="8"/>
    <x v="1"/>
    <s v="Small"/>
    <n v="9"/>
    <n v="39"/>
    <n v="45.25"/>
    <n v="44"/>
    <n v="1764.75"/>
    <n v="48.75"/>
    <x v="102"/>
    <x v="0"/>
    <n v="2"/>
    <n v="4"/>
    <n v="2004"/>
    <x v="3"/>
  </r>
  <r>
    <n v="10259"/>
    <s v="S24_2300"/>
    <x v="81"/>
    <x v="15"/>
    <x v="7"/>
    <x v="2"/>
    <s v="Medium"/>
    <n v="9"/>
    <n v="47"/>
    <n v="100"/>
    <n v="127"/>
    <n v="5285.62"/>
    <n v="-683.38"/>
    <x v="147"/>
    <x v="0"/>
    <n v="2"/>
    <n v="6"/>
    <n v="2004"/>
    <x v="2"/>
  </r>
  <r>
    <n v="10425"/>
    <s v="S24_2300"/>
    <x v="3"/>
    <x v="3"/>
    <x v="3"/>
    <x v="1"/>
    <s v="Medium"/>
    <n v="9"/>
    <n v="49"/>
    <n v="100"/>
    <n v="127"/>
    <n v="5510.54"/>
    <n v="-712.46"/>
    <x v="148"/>
    <x v="2"/>
    <n v="2"/>
    <n v="5"/>
    <n v="2005"/>
    <x v="2"/>
  </r>
  <r>
    <n v="10288"/>
    <s v="S24_2766"/>
    <x v="81"/>
    <x v="15"/>
    <x v="7"/>
    <x v="2"/>
    <s v="Small"/>
    <n v="9"/>
    <n v="35"/>
    <n v="80.87"/>
    <n v="90"/>
    <n v="2830.45"/>
    <n v="-319.55"/>
    <x v="158"/>
    <x v="0"/>
    <n v="3"/>
    <n v="9"/>
    <n v="2004"/>
    <x v="1"/>
  </r>
  <r>
    <n v="10420"/>
    <s v="S24_2766"/>
    <x v="64"/>
    <x v="51"/>
    <x v="2"/>
    <x v="2"/>
    <s v="Medium"/>
    <n v="9"/>
    <n v="39"/>
    <n v="100"/>
    <n v="90"/>
    <n v="3933.93"/>
    <n v="423.93"/>
    <x v="97"/>
    <x v="2"/>
    <n v="2"/>
    <n v="5"/>
    <n v="2005"/>
    <x v="1"/>
  </r>
  <r>
    <n v="10292"/>
    <s v="S24_2840"/>
    <x v="5"/>
    <x v="5"/>
    <x v="0"/>
    <x v="0"/>
    <s v="Small"/>
    <n v="9"/>
    <n v="39"/>
    <n v="30.06"/>
    <n v="35"/>
    <n v="1172.3399999999999"/>
    <n v="-192.66"/>
    <x v="171"/>
    <x v="0"/>
    <n v="3"/>
    <n v="9"/>
    <n v="2004"/>
    <x v="1"/>
  </r>
  <r>
    <n v="10324"/>
    <s v="S24_2840"/>
    <x v="28"/>
    <x v="5"/>
    <x v="0"/>
    <x v="0"/>
    <s v="Medium"/>
    <n v="9"/>
    <n v="30"/>
    <n v="100"/>
    <n v="35"/>
    <n v="3338.1"/>
    <n v="2288.1"/>
    <x v="33"/>
    <x v="0"/>
    <n v="4"/>
    <n v="11"/>
    <n v="2004"/>
    <x v="1"/>
  </r>
  <r>
    <n v="10124"/>
    <s v="S24_2887"/>
    <x v="83"/>
    <x v="65"/>
    <x v="0"/>
    <x v="0"/>
    <s v="Small"/>
    <n v="9"/>
    <n v="25"/>
    <n v="93.95"/>
    <n v="117"/>
    <n v="2348.75"/>
    <n v="-576.25"/>
    <x v="58"/>
    <x v="0"/>
    <n v="2"/>
    <n v="5"/>
    <n v="2003"/>
    <x v="1"/>
  </r>
  <r>
    <n v="10342"/>
    <s v="S24_2972"/>
    <x v="2"/>
    <x v="2"/>
    <x v="2"/>
    <x v="2"/>
    <s v="Small"/>
    <n v="9"/>
    <n v="39"/>
    <n v="40.4"/>
    <n v="37"/>
    <n v="1575.6"/>
    <n v="132.6"/>
    <x v="38"/>
    <x v="0"/>
    <n v="4"/>
    <n v="11"/>
    <n v="2004"/>
    <x v="1"/>
  </r>
  <r>
    <n v="10350"/>
    <s v="S24_3151"/>
    <x v="26"/>
    <x v="21"/>
    <x v="8"/>
    <x v="1"/>
    <s v="Medium"/>
    <n v="9"/>
    <n v="30"/>
    <n v="100"/>
    <n v="88"/>
    <n v="3021"/>
    <n v="381"/>
    <x v="111"/>
    <x v="0"/>
    <n v="4"/>
    <n v="12"/>
    <n v="2004"/>
    <x v="3"/>
  </r>
  <r>
    <n v="10204"/>
    <s v="S24_3191"/>
    <x v="34"/>
    <x v="5"/>
    <x v="0"/>
    <x v="0"/>
    <s v="Medium"/>
    <n v="9"/>
    <n v="40"/>
    <n v="79.62"/>
    <n v="85"/>
    <n v="3184.8"/>
    <n v="-215.2"/>
    <x v="86"/>
    <x v="0"/>
    <n v="4"/>
    <n v="12"/>
    <n v="2003"/>
    <x v="1"/>
  </r>
  <r>
    <n v="10380"/>
    <s v="S24_3191"/>
    <x v="26"/>
    <x v="21"/>
    <x v="8"/>
    <x v="1"/>
    <s v="Medium"/>
    <n v="9"/>
    <n v="44"/>
    <n v="79.06"/>
    <n v="85"/>
    <n v="3478.64"/>
    <n v="-261.36"/>
    <x v="136"/>
    <x v="0"/>
    <n v="1"/>
    <n v="2"/>
    <n v="2005"/>
    <x v="1"/>
  </r>
  <r>
    <n v="10122"/>
    <s v="S24_3371"/>
    <x v="56"/>
    <x v="45"/>
    <x v="3"/>
    <x v="1"/>
    <s v="Small"/>
    <n v="9"/>
    <n v="34"/>
    <n v="50.21"/>
    <n v="61"/>
    <n v="1707.14"/>
    <n v="-366.86"/>
    <x v="78"/>
    <x v="0"/>
    <n v="2"/>
    <n v="5"/>
    <n v="2003"/>
    <x v="1"/>
  </r>
  <r>
    <n v="10310"/>
    <s v="S24_3371"/>
    <x v="29"/>
    <x v="23"/>
    <x v="9"/>
    <x v="1"/>
    <s v="Small"/>
    <n v="9"/>
    <n v="38"/>
    <n v="56.94"/>
    <n v="61"/>
    <n v="2163.7199999999998"/>
    <n v="-154.28"/>
    <x v="81"/>
    <x v="0"/>
    <n v="4"/>
    <n v="10"/>
    <n v="2004"/>
    <x v="1"/>
  </r>
  <r>
    <n v="10331"/>
    <s v="S24_3371"/>
    <x v="9"/>
    <x v="8"/>
    <x v="0"/>
    <x v="0"/>
    <s v="Medium"/>
    <n v="9"/>
    <n v="25"/>
    <n v="100"/>
    <n v="61"/>
    <n v="3078.5"/>
    <n v="1553.5"/>
    <x v="95"/>
    <x v="0"/>
    <n v="4"/>
    <n v="11"/>
    <n v="2004"/>
    <x v="1"/>
  </r>
  <r>
    <n v="10143"/>
    <s v="S24_3420"/>
    <x v="49"/>
    <x v="40"/>
    <x v="0"/>
    <x v="0"/>
    <s v="Small"/>
    <n v="9"/>
    <n v="33"/>
    <n v="77.59"/>
    <n v="65"/>
    <n v="2560.4699999999998"/>
    <n v="415.47"/>
    <x v="221"/>
    <x v="0"/>
    <n v="3"/>
    <n v="8"/>
    <n v="2003"/>
    <x v="3"/>
  </r>
  <r>
    <n v="10296"/>
    <s v="S24_3420"/>
    <x v="91"/>
    <x v="72"/>
    <x v="9"/>
    <x v="1"/>
    <s v="Small"/>
    <n v="9"/>
    <n v="31"/>
    <n v="53.92"/>
    <n v="65"/>
    <n v="1671.52"/>
    <n v="-343.48"/>
    <x v="223"/>
    <x v="0"/>
    <n v="3"/>
    <n v="9"/>
    <n v="2004"/>
    <x v="3"/>
  </r>
  <r>
    <n v="10386"/>
    <s v="S24_3420"/>
    <x v="26"/>
    <x v="21"/>
    <x v="8"/>
    <x v="1"/>
    <s v="Small"/>
    <n v="9"/>
    <n v="35"/>
    <n v="63.76"/>
    <n v="65"/>
    <n v="2231.6"/>
    <n v="-43.4"/>
    <x v="178"/>
    <x v="4"/>
    <n v="1"/>
    <n v="3"/>
    <n v="2005"/>
    <x v="3"/>
  </r>
  <r>
    <n v="10241"/>
    <s v="S24_3432"/>
    <x v="59"/>
    <x v="48"/>
    <x v="3"/>
    <x v="1"/>
    <s v="Small"/>
    <n v="9"/>
    <n v="27"/>
    <n v="86.73"/>
    <n v="107"/>
    <n v="2341.71"/>
    <n v="-547.29"/>
    <x v="83"/>
    <x v="0"/>
    <n v="2"/>
    <n v="4"/>
    <n v="2004"/>
    <x v="1"/>
  </r>
  <r>
    <n v="10407"/>
    <s v="S24_3432"/>
    <x v="55"/>
    <x v="44"/>
    <x v="0"/>
    <x v="0"/>
    <s v="Medium"/>
    <n v="9"/>
    <n v="43"/>
    <n v="86.73"/>
    <n v="107"/>
    <n v="3729.39"/>
    <n v="-871.61"/>
    <x v="85"/>
    <x v="5"/>
    <n v="2"/>
    <n v="4"/>
    <n v="2005"/>
    <x v="1"/>
  </r>
  <r>
    <n v="10181"/>
    <s v="S24_3856"/>
    <x v="1"/>
    <x v="1"/>
    <x v="1"/>
    <x v="1"/>
    <s v="Medium"/>
    <n v="9"/>
    <n v="25"/>
    <n v="100"/>
    <n v="140"/>
    <n v="3861.75"/>
    <n v="361.75"/>
    <x v="117"/>
    <x v="0"/>
    <n v="4"/>
    <n v="11"/>
    <n v="2003"/>
    <x v="1"/>
  </r>
  <r>
    <n v="10266"/>
    <s v="S24_3856"/>
    <x v="35"/>
    <x v="28"/>
    <x v="12"/>
    <x v="1"/>
    <s v="Small"/>
    <n v="9"/>
    <n v="24"/>
    <n v="100"/>
    <n v="140"/>
    <n v="2932.08"/>
    <n v="-427.92"/>
    <x v="153"/>
    <x v="0"/>
    <n v="3"/>
    <n v="7"/>
    <n v="2004"/>
    <x v="1"/>
  </r>
  <r>
    <n v="10278"/>
    <s v="S24_3856"/>
    <x v="83"/>
    <x v="65"/>
    <x v="0"/>
    <x v="0"/>
    <s v="Medium"/>
    <n v="9"/>
    <n v="25"/>
    <n v="100"/>
    <n v="140"/>
    <n v="3159.75"/>
    <n v="-340.25"/>
    <x v="154"/>
    <x v="0"/>
    <n v="3"/>
    <n v="8"/>
    <n v="2004"/>
    <x v="1"/>
  </r>
  <r>
    <n v="10149"/>
    <s v="S24_3969"/>
    <x v="58"/>
    <x v="47"/>
    <x v="0"/>
    <x v="0"/>
    <s v="Small"/>
    <n v="9"/>
    <n v="26"/>
    <n v="38.979999999999997"/>
    <n v="41"/>
    <n v="1013.48"/>
    <n v="-52.52"/>
    <x v="198"/>
    <x v="0"/>
    <n v="3"/>
    <n v="9"/>
    <n v="2003"/>
    <x v="3"/>
  </r>
  <r>
    <n v="10371"/>
    <s v="S24_4048"/>
    <x v="43"/>
    <x v="34"/>
    <x v="0"/>
    <x v="0"/>
    <s v="Small"/>
    <n v="9"/>
    <n v="28"/>
    <n v="50.32"/>
    <n v="118"/>
    <n v="1408.96"/>
    <n v="-1895.04"/>
    <x v="207"/>
    <x v="0"/>
    <n v="1"/>
    <n v="1"/>
    <n v="2005"/>
    <x v="1"/>
  </r>
  <r>
    <n v="10120"/>
    <s v="S24_4278"/>
    <x v="2"/>
    <x v="2"/>
    <x v="2"/>
    <x v="2"/>
    <s v="Small"/>
    <n v="9"/>
    <n v="29"/>
    <n v="85.49"/>
    <n v="72"/>
    <n v="2479.21"/>
    <n v="391.21"/>
    <x v="149"/>
    <x v="0"/>
    <n v="2"/>
    <n v="4"/>
    <n v="2003"/>
    <x v="4"/>
  </r>
  <r>
    <n v="10355"/>
    <s v="S24_4620"/>
    <x v="26"/>
    <x v="21"/>
    <x v="8"/>
    <x v="1"/>
    <s v="Small"/>
    <n v="9"/>
    <n v="28"/>
    <n v="95.39"/>
    <n v="80"/>
    <n v="2670.92"/>
    <n v="430.92"/>
    <x v="127"/>
    <x v="0"/>
    <n v="4"/>
    <n v="12"/>
    <n v="2004"/>
    <x v="1"/>
  </r>
  <r>
    <n v="10363"/>
    <s v="S24_4620"/>
    <x v="38"/>
    <x v="30"/>
    <x v="14"/>
    <x v="1"/>
    <s v="Medium"/>
    <n v="9"/>
    <n v="43"/>
    <n v="100"/>
    <n v="80"/>
    <n v="5154.41"/>
    <n v="1714.41"/>
    <x v="190"/>
    <x v="0"/>
    <n v="1"/>
    <n v="1"/>
    <n v="2005"/>
    <x v="1"/>
  </r>
  <r>
    <n v="10159"/>
    <s v="S32_2206"/>
    <x v="21"/>
    <x v="17"/>
    <x v="0"/>
    <x v="0"/>
    <s v="Small"/>
    <n v="9"/>
    <n v="35"/>
    <n v="35.4"/>
    <n v="40"/>
    <n v="1239"/>
    <n v="-161"/>
    <x v="160"/>
    <x v="0"/>
    <n v="4"/>
    <n v="10"/>
    <n v="2003"/>
    <x v="0"/>
  </r>
  <r>
    <n v="10169"/>
    <s v="S32_2206"/>
    <x v="47"/>
    <x v="38"/>
    <x v="2"/>
    <x v="2"/>
    <s v="Small"/>
    <n v="9"/>
    <n v="26"/>
    <n v="39.83"/>
    <n v="40"/>
    <n v="1035.58"/>
    <n v="-4.42"/>
    <x v="185"/>
    <x v="0"/>
    <n v="4"/>
    <n v="11"/>
    <n v="2003"/>
    <x v="0"/>
  </r>
  <r>
    <n v="10211"/>
    <s v="S32_2206"/>
    <x v="11"/>
    <x v="9"/>
    <x v="3"/>
    <x v="1"/>
    <s v="Small"/>
    <n v="9"/>
    <n v="41"/>
    <n v="42.24"/>
    <n v="40"/>
    <n v="1731.84"/>
    <n v="91.84"/>
    <x v="186"/>
    <x v="0"/>
    <n v="1"/>
    <n v="1"/>
    <n v="2004"/>
    <x v="0"/>
  </r>
  <r>
    <n v="10207"/>
    <s v="S32_2509"/>
    <x v="77"/>
    <x v="14"/>
    <x v="0"/>
    <x v="0"/>
    <s v="Small"/>
    <n v="9"/>
    <n v="27"/>
    <n v="60.06"/>
    <n v="54"/>
    <n v="1621.62"/>
    <n v="163.62"/>
    <x v="131"/>
    <x v="0"/>
    <n v="4"/>
    <n v="12"/>
    <n v="2003"/>
    <x v="2"/>
  </r>
  <r>
    <n v="10282"/>
    <s v="S32_3207"/>
    <x v="43"/>
    <x v="34"/>
    <x v="0"/>
    <x v="0"/>
    <s v="Small"/>
    <n v="9"/>
    <n v="36"/>
    <n v="59.65"/>
    <n v="62"/>
    <n v="2147.4"/>
    <n v="-84.6"/>
    <x v="109"/>
    <x v="0"/>
    <n v="3"/>
    <n v="8"/>
    <n v="2004"/>
    <x v="6"/>
  </r>
  <r>
    <n v="10314"/>
    <s v="S32_3207"/>
    <x v="69"/>
    <x v="56"/>
    <x v="10"/>
    <x v="1"/>
    <s v="Small"/>
    <n v="9"/>
    <n v="35"/>
    <n v="66.489999999999995"/>
    <n v="62"/>
    <n v="2327.15"/>
    <n v="157.15"/>
    <x v="110"/>
    <x v="0"/>
    <n v="4"/>
    <n v="10"/>
    <n v="2004"/>
    <x v="6"/>
  </r>
  <r>
    <n v="10336"/>
    <s v="S32_3207"/>
    <x v="40"/>
    <x v="9"/>
    <x v="3"/>
    <x v="1"/>
    <s v="Small"/>
    <n v="9"/>
    <n v="31"/>
    <n v="84.71"/>
    <n v="62"/>
    <n v="2626.01"/>
    <n v="704.01"/>
    <x v="45"/>
    <x v="0"/>
    <n v="4"/>
    <n v="11"/>
    <n v="2004"/>
    <x v="6"/>
  </r>
  <r>
    <n v="10252"/>
    <s v="S32_4485"/>
    <x v="11"/>
    <x v="9"/>
    <x v="3"/>
    <x v="1"/>
    <s v="Small"/>
    <n v="9"/>
    <n v="25"/>
    <n v="100"/>
    <n v="102"/>
    <n v="2832"/>
    <n v="282"/>
    <x v="120"/>
    <x v="0"/>
    <n v="2"/>
    <n v="5"/>
    <n v="2004"/>
    <x v="0"/>
  </r>
  <r>
    <n v="10127"/>
    <s v="S50_1392"/>
    <x v="34"/>
    <x v="5"/>
    <x v="0"/>
    <x v="0"/>
    <s v="Medium"/>
    <n v="9"/>
    <n v="46"/>
    <n v="100"/>
    <n v="115"/>
    <n v="6176.42"/>
    <n v="886.42"/>
    <x v="40"/>
    <x v="0"/>
    <n v="2"/>
    <n v="6"/>
    <n v="2003"/>
    <x v="2"/>
  </r>
  <r>
    <n v="10176"/>
    <s v="S50_1392"/>
    <x v="35"/>
    <x v="28"/>
    <x v="12"/>
    <x v="1"/>
    <s v="Medium"/>
    <n v="9"/>
    <n v="23"/>
    <n v="100"/>
    <n v="115"/>
    <n v="3114.89"/>
    <n v="469.89"/>
    <x v="21"/>
    <x v="0"/>
    <n v="4"/>
    <n v="11"/>
    <n v="2003"/>
    <x v="2"/>
  </r>
  <r>
    <n v="10220"/>
    <s v="S50_1392"/>
    <x v="36"/>
    <x v="29"/>
    <x v="13"/>
    <x v="1"/>
    <s v="Medium"/>
    <n v="9"/>
    <n v="37"/>
    <n v="100"/>
    <n v="115"/>
    <n v="3983.05"/>
    <n v="-271.95"/>
    <x v="41"/>
    <x v="0"/>
    <n v="1"/>
    <n v="2"/>
    <n v="2004"/>
    <x v="2"/>
  </r>
  <r>
    <n v="10372"/>
    <s v="S50_1514"/>
    <x v="41"/>
    <x v="32"/>
    <x v="5"/>
    <x v="2"/>
    <s v="Small"/>
    <n v="9"/>
    <n v="24"/>
    <n v="58.58"/>
    <n v="58"/>
    <n v="1405.92"/>
    <n v="13.92"/>
    <x v="46"/>
    <x v="0"/>
    <n v="1"/>
    <n v="1"/>
    <n v="2005"/>
    <x v="6"/>
  </r>
  <r>
    <n v="10197"/>
    <s v="S700_1138"/>
    <x v="88"/>
    <x v="69"/>
    <x v="8"/>
    <x v="1"/>
    <s v="Small"/>
    <n v="9"/>
    <n v="23"/>
    <n v="64.67"/>
    <n v="66"/>
    <n v="1487.41"/>
    <n v="-30.59"/>
    <x v="108"/>
    <x v="0"/>
    <n v="4"/>
    <n v="11"/>
    <n v="2003"/>
    <x v="5"/>
  </r>
  <r>
    <n v="10283"/>
    <s v="S700_1138"/>
    <x v="89"/>
    <x v="70"/>
    <x v="6"/>
    <x v="0"/>
    <s v="Medium"/>
    <n v="9"/>
    <n v="45"/>
    <n v="78.67"/>
    <n v="66"/>
    <n v="3540.15"/>
    <n v="570.15"/>
    <x v="109"/>
    <x v="0"/>
    <n v="3"/>
    <n v="8"/>
    <n v="2004"/>
    <x v="5"/>
  </r>
  <r>
    <n v="10250"/>
    <s v="S700_1691"/>
    <x v="55"/>
    <x v="44"/>
    <x v="0"/>
    <x v="0"/>
    <s v="Small"/>
    <n v="9"/>
    <n v="31"/>
    <n v="91.34"/>
    <n v="91"/>
    <n v="2831.54"/>
    <n v="10.54"/>
    <x v="161"/>
    <x v="0"/>
    <n v="2"/>
    <n v="5"/>
    <n v="2004"/>
    <x v="4"/>
  </r>
  <r>
    <n v="10353"/>
    <s v="S700_1691"/>
    <x v="61"/>
    <x v="27"/>
    <x v="0"/>
    <x v="0"/>
    <s v="Medium"/>
    <n v="9"/>
    <n v="39"/>
    <n v="100"/>
    <n v="91"/>
    <n v="5043.87"/>
    <n v="1494.87"/>
    <x v="89"/>
    <x v="0"/>
    <n v="4"/>
    <n v="12"/>
    <n v="2004"/>
    <x v="4"/>
  </r>
  <r>
    <n v="10416"/>
    <s v="S700_1691"/>
    <x v="35"/>
    <x v="28"/>
    <x v="12"/>
    <x v="1"/>
    <s v="Small"/>
    <n v="9"/>
    <n v="23"/>
    <n v="91.34"/>
    <n v="91"/>
    <n v="2100.8200000000002"/>
    <n v="7.82"/>
    <x v="163"/>
    <x v="0"/>
    <n v="2"/>
    <n v="5"/>
    <n v="2005"/>
    <x v="4"/>
  </r>
  <r>
    <n v="10142"/>
    <s v="S700_1938"/>
    <x v="43"/>
    <x v="34"/>
    <x v="0"/>
    <x v="0"/>
    <s v="Medium"/>
    <n v="9"/>
    <n v="43"/>
    <n v="84.01"/>
    <n v="86"/>
    <n v="3612.43"/>
    <n v="-85.57"/>
    <x v="182"/>
    <x v="0"/>
    <n v="3"/>
    <n v="8"/>
    <n v="2003"/>
    <x v="5"/>
  </r>
  <r>
    <n v="10337"/>
    <s v="S700_1938"/>
    <x v="7"/>
    <x v="5"/>
    <x v="0"/>
    <x v="0"/>
    <s v="Small"/>
    <n v="9"/>
    <n v="36"/>
    <n v="70.3"/>
    <n v="86"/>
    <n v="2530.8000000000002"/>
    <n v="-565.20000000000005"/>
    <x v="245"/>
    <x v="0"/>
    <n v="4"/>
    <n v="11"/>
    <n v="2004"/>
    <x v="5"/>
  </r>
  <r>
    <n v="10155"/>
    <s v="S700_2047"/>
    <x v="44"/>
    <x v="35"/>
    <x v="14"/>
    <x v="1"/>
    <s v="Small"/>
    <n v="9"/>
    <n v="32"/>
    <n v="91.43"/>
    <n v="90"/>
    <n v="2925.76"/>
    <n v="45.76"/>
    <x v="75"/>
    <x v="0"/>
    <n v="4"/>
    <n v="10"/>
    <n v="2003"/>
    <x v="5"/>
  </r>
  <r>
    <n v="10328"/>
    <s v="S700_2047"/>
    <x v="67"/>
    <x v="54"/>
    <x v="12"/>
    <x v="1"/>
    <s v="Medium"/>
    <n v="9"/>
    <n v="41"/>
    <n v="100"/>
    <n v="90"/>
    <n v="4156.58"/>
    <n v="466.58"/>
    <x v="177"/>
    <x v="0"/>
    <n v="4"/>
    <n v="11"/>
    <n v="2004"/>
    <x v="5"/>
  </r>
  <r>
    <n v="10106"/>
    <s v="S700_2466"/>
    <x v="67"/>
    <x v="54"/>
    <x v="12"/>
    <x v="1"/>
    <s v="Medium"/>
    <n v="9"/>
    <n v="34"/>
    <n v="100"/>
    <n v="99"/>
    <n v="3763.46"/>
    <n v="397.46"/>
    <x v="242"/>
    <x v="0"/>
    <n v="1"/>
    <n v="2"/>
    <n v="2003"/>
    <x v="4"/>
  </r>
  <r>
    <n v="10361"/>
    <s v="S700_2466"/>
    <x v="64"/>
    <x v="51"/>
    <x v="2"/>
    <x v="2"/>
    <s v="Small"/>
    <n v="9"/>
    <n v="26"/>
    <n v="100"/>
    <n v="99"/>
    <n v="2754.7"/>
    <n v="180.7"/>
    <x v="201"/>
    <x v="0"/>
    <n v="4"/>
    <n v="12"/>
    <n v="2004"/>
    <x v="4"/>
  </r>
  <r>
    <n v="10339"/>
    <s v="S700_2610"/>
    <x v="41"/>
    <x v="32"/>
    <x v="5"/>
    <x v="2"/>
    <s v="Medium"/>
    <n v="9"/>
    <n v="50"/>
    <n v="74.349999999999994"/>
    <n v="72"/>
    <n v="3717.5"/>
    <n v="117.5"/>
    <x v="90"/>
    <x v="0"/>
    <n v="4"/>
    <n v="11"/>
    <n v="2004"/>
    <x v="5"/>
  </r>
  <r>
    <n v="10313"/>
    <s v="S700_2824"/>
    <x v="90"/>
    <x v="71"/>
    <x v="6"/>
    <x v="0"/>
    <s v="Small"/>
    <n v="9"/>
    <n v="30"/>
    <n v="99.13"/>
    <n v="101"/>
    <n v="2973.9"/>
    <n v="-56.1"/>
    <x v="110"/>
    <x v="0"/>
    <n v="4"/>
    <n v="10"/>
    <n v="2004"/>
    <x v="1"/>
  </r>
  <r>
    <n v="10382"/>
    <s v="S700_2824"/>
    <x v="43"/>
    <x v="34"/>
    <x v="0"/>
    <x v="0"/>
    <s v="Small"/>
    <n v="9"/>
    <n v="34"/>
    <n v="54.84"/>
    <n v="101"/>
    <n v="1864.56"/>
    <n v="-1569.44"/>
    <x v="23"/>
    <x v="0"/>
    <n v="1"/>
    <n v="2"/>
    <n v="2005"/>
    <x v="1"/>
  </r>
  <r>
    <n v="10263"/>
    <s v="S700_2834"/>
    <x v="25"/>
    <x v="20"/>
    <x v="0"/>
    <x v="0"/>
    <s v="Medium"/>
    <n v="9"/>
    <n v="47"/>
    <n v="100"/>
    <n v="118"/>
    <n v="5465.16"/>
    <n v="-80.84"/>
    <x v="28"/>
    <x v="0"/>
    <n v="2"/>
    <n v="6"/>
    <n v="2004"/>
    <x v="4"/>
  </r>
  <r>
    <n v="10398"/>
    <s v="S700_2834"/>
    <x v="82"/>
    <x v="64"/>
    <x v="3"/>
    <x v="1"/>
    <s v="Small"/>
    <n v="9"/>
    <n v="23"/>
    <n v="100"/>
    <n v="118"/>
    <n v="2810.83"/>
    <n v="96.83"/>
    <x v="248"/>
    <x v="0"/>
    <n v="1"/>
    <n v="3"/>
    <n v="2005"/>
    <x v="4"/>
  </r>
  <r>
    <n v="10235"/>
    <s v="S700_3167"/>
    <x v="89"/>
    <x v="70"/>
    <x v="6"/>
    <x v="0"/>
    <s v="Small"/>
    <n v="9"/>
    <n v="32"/>
    <n v="92"/>
    <n v="80"/>
    <n v="2944"/>
    <n v="384"/>
    <x v="210"/>
    <x v="0"/>
    <n v="2"/>
    <n v="4"/>
    <n v="2004"/>
    <x v="4"/>
  </r>
  <r>
    <n v="10401"/>
    <s v="S700_3167"/>
    <x v="24"/>
    <x v="19"/>
    <x v="0"/>
    <x v="0"/>
    <s v="Large"/>
    <n v="9"/>
    <n v="77"/>
    <n v="92"/>
    <n v="80"/>
    <n v="7084"/>
    <n v="924"/>
    <x v="212"/>
    <x v="5"/>
    <n v="2"/>
    <n v="4"/>
    <n v="2005"/>
    <x v="4"/>
  </r>
  <r>
    <n v="10273"/>
    <s v="S700_3962"/>
    <x v="66"/>
    <x v="53"/>
    <x v="17"/>
    <x v="1"/>
    <s v="Small"/>
    <n v="9"/>
    <n v="26"/>
    <n v="100"/>
    <n v="99"/>
    <n v="2969.46"/>
    <n v="395.46"/>
    <x v="70"/>
    <x v="0"/>
    <n v="3"/>
    <n v="7"/>
    <n v="2004"/>
    <x v="5"/>
  </r>
  <r>
    <n v="10284"/>
    <s v="S700_4002"/>
    <x v="60"/>
    <x v="49"/>
    <x v="1"/>
    <x v="1"/>
    <s v="Small"/>
    <n v="9"/>
    <n v="32"/>
    <n v="64.41"/>
    <n v="74"/>
    <n v="2061.12"/>
    <n v="-306.88"/>
    <x v="88"/>
    <x v="0"/>
    <n v="3"/>
    <n v="8"/>
    <n v="2004"/>
    <x v="4"/>
  </r>
  <r>
    <n v="10373"/>
    <s v="S72_1253"/>
    <x v="71"/>
    <x v="58"/>
    <x v="14"/>
    <x v="1"/>
    <s v="Small"/>
    <n v="9"/>
    <n v="25"/>
    <n v="64.97"/>
    <n v="49"/>
    <n v="1624.25"/>
    <n v="399.25"/>
    <x v="250"/>
    <x v="0"/>
    <n v="1"/>
    <n v="1"/>
    <n v="2005"/>
    <x v="4"/>
  </r>
  <r>
    <n v="10248"/>
    <s v="S72_3212"/>
    <x v="5"/>
    <x v="5"/>
    <x v="0"/>
    <x v="0"/>
    <s v="Small"/>
    <n v="9"/>
    <n v="23"/>
    <n v="65.52"/>
    <n v="54"/>
    <n v="1506.96"/>
    <n v="264.95999999999998"/>
    <x v="105"/>
    <x v="3"/>
    <n v="2"/>
    <n v="5"/>
    <n v="2004"/>
    <x v="5"/>
  </r>
  <r>
    <n v="10414"/>
    <s v="S72_3212"/>
    <x v="16"/>
    <x v="14"/>
    <x v="0"/>
    <x v="0"/>
    <s v="Medium"/>
    <n v="9"/>
    <n v="47"/>
    <n v="65.52"/>
    <n v="54"/>
    <n v="3079.44"/>
    <n v="541.44000000000005"/>
    <x v="106"/>
    <x v="5"/>
    <n v="2"/>
    <n v="5"/>
    <n v="2005"/>
    <x v="5"/>
  </r>
  <r>
    <n v="10357"/>
    <s v="S10_1949"/>
    <x v="43"/>
    <x v="34"/>
    <x v="0"/>
    <x v="0"/>
    <s v="Medium"/>
    <n v="10"/>
    <n v="32"/>
    <n v="100"/>
    <n v="214"/>
    <n v="5691.84"/>
    <n v="-1156.1600000000001"/>
    <x v="54"/>
    <x v="0"/>
    <n v="4"/>
    <n v="12"/>
    <n v="2004"/>
    <x v="1"/>
  </r>
  <r>
    <n v="10122"/>
    <s v="S12_1099"/>
    <x v="56"/>
    <x v="45"/>
    <x v="3"/>
    <x v="1"/>
    <s v="Large"/>
    <n v="10"/>
    <n v="42"/>
    <n v="100"/>
    <n v="194"/>
    <n v="7599.9"/>
    <n v="-548.1"/>
    <x v="78"/>
    <x v="0"/>
    <n v="2"/>
    <n v="5"/>
    <n v="2003"/>
    <x v="1"/>
  </r>
  <r>
    <n v="10310"/>
    <s v="S12_1099"/>
    <x v="29"/>
    <x v="23"/>
    <x v="9"/>
    <x v="1"/>
    <s v="Medium"/>
    <n v="10"/>
    <n v="33"/>
    <n v="100"/>
    <n v="194"/>
    <n v="6934.62"/>
    <n v="532.62"/>
    <x v="81"/>
    <x v="0"/>
    <n v="4"/>
    <n v="10"/>
    <n v="2004"/>
    <x v="1"/>
  </r>
  <r>
    <n v="10336"/>
    <s v="S12_1108"/>
    <x v="40"/>
    <x v="9"/>
    <x v="3"/>
    <x v="1"/>
    <s v="Small"/>
    <n v="10"/>
    <n v="33"/>
    <n v="57.22"/>
    <n v="207"/>
    <n v="1888.26"/>
    <n v="-4942.74"/>
    <x v="45"/>
    <x v="0"/>
    <n v="4"/>
    <n v="11"/>
    <n v="2004"/>
    <x v="1"/>
  </r>
  <r>
    <n v="10382"/>
    <s v="S12_1108"/>
    <x v="43"/>
    <x v="34"/>
    <x v="0"/>
    <x v="0"/>
    <s v="Medium"/>
    <n v="10"/>
    <n v="34"/>
    <n v="100"/>
    <n v="207"/>
    <n v="3823.64"/>
    <n v="-3214.36"/>
    <x v="23"/>
    <x v="0"/>
    <n v="1"/>
    <n v="2"/>
    <n v="2005"/>
    <x v="1"/>
  </r>
  <r>
    <n v="10117"/>
    <s v="S12_3148"/>
    <x v="17"/>
    <x v="15"/>
    <x v="7"/>
    <x v="2"/>
    <s v="Medium"/>
    <n v="10"/>
    <n v="43"/>
    <n v="100"/>
    <n v="151"/>
    <n v="5911.64"/>
    <n v="-581.36"/>
    <x v="246"/>
    <x v="0"/>
    <n v="2"/>
    <n v="4"/>
    <n v="2003"/>
    <x v="1"/>
  </r>
  <r>
    <n v="10287"/>
    <s v="S12_3380"/>
    <x v="48"/>
    <x v="39"/>
    <x v="16"/>
    <x v="1"/>
    <s v="Medium"/>
    <n v="10"/>
    <n v="45"/>
    <n v="100"/>
    <n v="117"/>
    <n v="4756.5"/>
    <n v="-508.5"/>
    <x v="99"/>
    <x v="0"/>
    <n v="3"/>
    <n v="8"/>
    <n v="2004"/>
    <x v="1"/>
  </r>
  <r>
    <n v="10153"/>
    <s v="S12_3891"/>
    <x v="26"/>
    <x v="21"/>
    <x v="8"/>
    <x v="1"/>
    <s v="Large"/>
    <n v="10"/>
    <n v="49"/>
    <n v="100"/>
    <n v="173"/>
    <n v="7036.89"/>
    <n v="-1440.11"/>
    <x v="226"/>
    <x v="0"/>
    <n v="3"/>
    <n v="9"/>
    <n v="2003"/>
    <x v="1"/>
  </r>
  <r>
    <n v="10349"/>
    <s v="S12_3891"/>
    <x v="34"/>
    <x v="5"/>
    <x v="0"/>
    <x v="0"/>
    <s v="Medium"/>
    <n v="10"/>
    <n v="26"/>
    <n v="100"/>
    <n v="173"/>
    <n v="4408.5600000000004"/>
    <n v="-89.44"/>
    <x v="216"/>
    <x v="0"/>
    <n v="4"/>
    <n v="12"/>
    <n v="2004"/>
    <x v="1"/>
  </r>
  <r>
    <n v="10225"/>
    <s v="S12_3990"/>
    <x v="48"/>
    <x v="39"/>
    <x v="16"/>
    <x v="1"/>
    <s v="Small"/>
    <n v="10"/>
    <n v="37"/>
    <n v="77.41"/>
    <n v="79"/>
    <n v="2864.17"/>
    <n v="-58.83"/>
    <x v="56"/>
    <x v="0"/>
    <n v="1"/>
    <n v="2"/>
    <n v="2004"/>
    <x v="1"/>
  </r>
  <r>
    <n v="10341"/>
    <s v="S12_3990"/>
    <x v="32"/>
    <x v="26"/>
    <x v="11"/>
    <x v="1"/>
    <s v="Medium"/>
    <n v="10"/>
    <n v="36"/>
    <n v="93.56"/>
    <n v="79"/>
    <n v="3368.16"/>
    <n v="524.16"/>
    <x v="38"/>
    <x v="0"/>
    <n v="4"/>
    <n v="11"/>
    <n v="2004"/>
    <x v="1"/>
  </r>
  <r>
    <n v="10253"/>
    <s v="S12_4675"/>
    <x v="50"/>
    <x v="41"/>
    <x v="15"/>
    <x v="1"/>
    <s v="Medium"/>
    <n v="10"/>
    <n v="41"/>
    <n v="100"/>
    <n v="115"/>
    <n v="4910.57"/>
    <n v="195.57"/>
    <x v="65"/>
    <x v="3"/>
    <n v="2"/>
    <n v="6"/>
    <n v="2004"/>
    <x v="1"/>
  </r>
  <r>
    <n v="10419"/>
    <s v="S12_4675"/>
    <x v="32"/>
    <x v="26"/>
    <x v="11"/>
    <x v="1"/>
    <s v="Medium"/>
    <n v="10"/>
    <n v="32"/>
    <n v="100"/>
    <n v="115"/>
    <n v="3832.64"/>
    <n v="152.63999999999999"/>
    <x v="67"/>
    <x v="0"/>
    <n v="2"/>
    <n v="5"/>
    <n v="2005"/>
    <x v="1"/>
  </r>
  <r>
    <n v="10103"/>
    <s v="S18_1097"/>
    <x v="39"/>
    <x v="31"/>
    <x v="1"/>
    <x v="1"/>
    <s v="Medium"/>
    <n v="10"/>
    <n v="35"/>
    <n v="100"/>
    <n v="116"/>
    <n v="3920"/>
    <n v="-140"/>
    <x v="166"/>
    <x v="0"/>
    <n v="1"/>
    <n v="1"/>
    <n v="2003"/>
    <x v="2"/>
  </r>
  <r>
    <n v="10126"/>
    <s v="S18_1097"/>
    <x v="63"/>
    <x v="21"/>
    <x v="8"/>
    <x v="1"/>
    <s v="Medium"/>
    <n v="10"/>
    <n v="38"/>
    <n v="100"/>
    <n v="116"/>
    <n v="3857"/>
    <n v="-551"/>
    <x v="167"/>
    <x v="0"/>
    <n v="2"/>
    <n v="5"/>
    <n v="2003"/>
    <x v="2"/>
  </r>
  <r>
    <n v="10140"/>
    <s v="S18_1097"/>
    <x v="0"/>
    <x v="0"/>
    <x v="0"/>
    <x v="0"/>
    <s v="Medium"/>
    <n v="10"/>
    <n v="32"/>
    <n v="100"/>
    <n v="116"/>
    <n v="4181.4399999999996"/>
    <n v="469.44"/>
    <x v="168"/>
    <x v="0"/>
    <n v="3"/>
    <n v="7"/>
    <n v="2003"/>
    <x v="2"/>
  </r>
  <r>
    <n v="10194"/>
    <s v="S18_1097"/>
    <x v="73"/>
    <x v="59"/>
    <x v="3"/>
    <x v="1"/>
    <s v="Small"/>
    <n v="10"/>
    <n v="21"/>
    <n v="93.34"/>
    <n v="116"/>
    <n v="1960.14"/>
    <n v="-475.86"/>
    <x v="169"/>
    <x v="0"/>
    <n v="4"/>
    <n v="11"/>
    <n v="2003"/>
    <x v="2"/>
  </r>
  <r>
    <n v="10291"/>
    <s v="S18_1097"/>
    <x v="51"/>
    <x v="42"/>
    <x v="4"/>
    <x v="1"/>
    <s v="Medium"/>
    <n v="10"/>
    <n v="41"/>
    <n v="100"/>
    <n v="116"/>
    <n v="4687.9399999999996"/>
    <n v="-68.06"/>
    <x v="171"/>
    <x v="0"/>
    <n v="3"/>
    <n v="9"/>
    <n v="2004"/>
    <x v="2"/>
  </r>
  <r>
    <n v="10322"/>
    <s v="S18_1097"/>
    <x v="8"/>
    <x v="7"/>
    <x v="0"/>
    <x v="0"/>
    <s v="Small"/>
    <n v="10"/>
    <n v="22"/>
    <n v="100"/>
    <n v="116"/>
    <n v="2251.04"/>
    <n v="-300.95999999999998"/>
    <x v="8"/>
    <x v="0"/>
    <n v="4"/>
    <n v="11"/>
    <n v="2004"/>
    <x v="2"/>
  </r>
  <r>
    <n v="10391"/>
    <s v="S18_1097"/>
    <x v="47"/>
    <x v="38"/>
    <x v="2"/>
    <x v="2"/>
    <s v="Small"/>
    <n v="10"/>
    <n v="29"/>
    <n v="85.1"/>
    <n v="116"/>
    <n v="2467.9"/>
    <n v="-896.1"/>
    <x v="165"/>
    <x v="0"/>
    <n v="1"/>
    <n v="3"/>
    <n v="2005"/>
    <x v="2"/>
  </r>
  <r>
    <n v="10212"/>
    <s v="S18_1129"/>
    <x v="26"/>
    <x v="21"/>
    <x v="8"/>
    <x v="1"/>
    <s v="Medium"/>
    <n v="10"/>
    <n v="29"/>
    <n v="100"/>
    <n v="141"/>
    <n v="4186.7299999999996"/>
    <n v="97.73"/>
    <x v="173"/>
    <x v="0"/>
    <n v="1"/>
    <n v="1"/>
    <n v="2004"/>
    <x v="1"/>
  </r>
  <r>
    <n v="10321"/>
    <s v="S18_1129"/>
    <x v="78"/>
    <x v="40"/>
    <x v="0"/>
    <x v="0"/>
    <s v="Medium"/>
    <n v="10"/>
    <n v="41"/>
    <n v="100"/>
    <n v="141"/>
    <n v="5803.14"/>
    <n v="22.14"/>
    <x v="8"/>
    <x v="0"/>
    <n v="4"/>
    <n v="11"/>
    <n v="2004"/>
    <x v="1"/>
  </r>
  <r>
    <n v="10215"/>
    <s v="S18_1342"/>
    <x v="79"/>
    <x v="62"/>
    <x v="0"/>
    <x v="0"/>
    <s v="Small"/>
    <n v="10"/>
    <n v="27"/>
    <n v="89.38"/>
    <n v="102"/>
    <n v="2413.2600000000002"/>
    <n v="-340.74"/>
    <x v="139"/>
    <x v="0"/>
    <n v="1"/>
    <n v="1"/>
    <n v="2004"/>
    <x v="3"/>
  </r>
  <r>
    <n v="10312"/>
    <s v="S18_1342"/>
    <x v="43"/>
    <x v="34"/>
    <x v="0"/>
    <x v="0"/>
    <s v="Medium"/>
    <n v="10"/>
    <n v="43"/>
    <n v="89.38"/>
    <n v="102"/>
    <n v="3843.34"/>
    <n v="-542.66"/>
    <x v="140"/>
    <x v="0"/>
    <n v="4"/>
    <n v="10"/>
    <n v="2004"/>
    <x v="3"/>
  </r>
  <r>
    <n v="10182"/>
    <s v="S18_1749"/>
    <x v="43"/>
    <x v="34"/>
    <x v="0"/>
    <x v="0"/>
    <s v="Large"/>
    <n v="10"/>
    <n v="44"/>
    <n v="100"/>
    <n v="170"/>
    <n v="7554.8"/>
    <n v="74.8"/>
    <x v="117"/>
    <x v="0"/>
    <n v="4"/>
    <n v="11"/>
    <n v="2003"/>
    <x v="3"/>
  </r>
  <r>
    <n v="10227"/>
    <s v="S18_1749"/>
    <x v="73"/>
    <x v="59"/>
    <x v="3"/>
    <x v="1"/>
    <s v="Medium"/>
    <n v="10"/>
    <n v="26"/>
    <n v="100"/>
    <n v="170"/>
    <n v="3712.8"/>
    <n v="-707.2"/>
    <x v="118"/>
    <x v="0"/>
    <n v="1"/>
    <n v="3"/>
    <n v="2004"/>
    <x v="3"/>
  </r>
  <r>
    <n v="10181"/>
    <s v="S18_1889"/>
    <x v="1"/>
    <x v="1"/>
    <x v="1"/>
    <x v="1"/>
    <s v="Small"/>
    <n v="10"/>
    <n v="22"/>
    <n v="73.92"/>
    <n v="77"/>
    <n v="1626.24"/>
    <n v="-67.760000000000005"/>
    <x v="117"/>
    <x v="0"/>
    <n v="4"/>
    <n v="11"/>
    <n v="2003"/>
    <x v="1"/>
  </r>
  <r>
    <n v="10266"/>
    <s v="S18_1889"/>
    <x v="35"/>
    <x v="28"/>
    <x v="12"/>
    <x v="1"/>
    <s v="Small"/>
    <n v="10"/>
    <n v="33"/>
    <n v="74.69"/>
    <n v="77"/>
    <n v="2464.77"/>
    <n v="-76.23"/>
    <x v="153"/>
    <x v="0"/>
    <n v="3"/>
    <n v="7"/>
    <n v="2004"/>
    <x v="1"/>
  </r>
  <r>
    <n v="10278"/>
    <s v="S18_1889"/>
    <x v="83"/>
    <x v="65"/>
    <x v="0"/>
    <x v="0"/>
    <s v="Small"/>
    <n v="10"/>
    <n v="29"/>
    <n v="90.86"/>
    <n v="77"/>
    <n v="2634.94"/>
    <n v="401.94"/>
    <x v="154"/>
    <x v="0"/>
    <n v="3"/>
    <n v="8"/>
    <n v="2004"/>
    <x v="1"/>
  </r>
  <r>
    <n v="10192"/>
    <s v="S18_1984"/>
    <x v="8"/>
    <x v="7"/>
    <x v="0"/>
    <x v="0"/>
    <s v="Large"/>
    <n v="10"/>
    <n v="47"/>
    <n v="100"/>
    <n v="142"/>
    <n v="7421.3"/>
    <n v="747.3"/>
    <x v="34"/>
    <x v="0"/>
    <n v="4"/>
    <n v="11"/>
    <n v="2003"/>
    <x v="1"/>
  </r>
  <r>
    <n v="10127"/>
    <s v="S18_2238"/>
    <x v="34"/>
    <x v="5"/>
    <x v="0"/>
    <x v="0"/>
    <s v="Large"/>
    <n v="10"/>
    <n v="45"/>
    <n v="100"/>
    <n v="163"/>
    <n v="7146.9"/>
    <n v="-188.1"/>
    <x v="40"/>
    <x v="0"/>
    <n v="2"/>
    <n v="6"/>
    <n v="2003"/>
    <x v="1"/>
  </r>
  <r>
    <n v="10176"/>
    <s v="S18_2238"/>
    <x v="35"/>
    <x v="28"/>
    <x v="12"/>
    <x v="1"/>
    <s v="Medium"/>
    <n v="10"/>
    <n v="20"/>
    <n v="100"/>
    <n v="163"/>
    <n v="3667.6"/>
    <n v="407.6"/>
    <x v="21"/>
    <x v="0"/>
    <n v="4"/>
    <n v="11"/>
    <n v="2003"/>
    <x v="1"/>
  </r>
  <r>
    <n v="10358"/>
    <s v="S18_2238"/>
    <x v="26"/>
    <x v="21"/>
    <x v="8"/>
    <x v="1"/>
    <s v="Small"/>
    <n v="10"/>
    <n v="20"/>
    <n v="100"/>
    <n v="163"/>
    <n v="2428"/>
    <n v="-832"/>
    <x v="54"/>
    <x v="0"/>
    <n v="4"/>
    <n v="12"/>
    <n v="2004"/>
    <x v="1"/>
  </r>
  <r>
    <n v="10149"/>
    <s v="S18_2248"/>
    <x v="58"/>
    <x v="47"/>
    <x v="0"/>
    <x v="0"/>
    <s v="Small"/>
    <n v="10"/>
    <n v="24"/>
    <n v="62.36"/>
    <n v="60"/>
    <n v="1496.64"/>
    <n v="56.64"/>
    <x v="198"/>
    <x v="0"/>
    <n v="3"/>
    <n v="9"/>
    <n v="2003"/>
    <x v="3"/>
  </r>
  <r>
    <n v="10207"/>
    <s v="S18_2319"/>
    <x v="77"/>
    <x v="14"/>
    <x v="0"/>
    <x v="0"/>
    <s v="Medium"/>
    <n v="10"/>
    <n v="43"/>
    <n v="100"/>
    <n v="122"/>
    <n v="5752.54"/>
    <n v="506.54"/>
    <x v="131"/>
    <x v="0"/>
    <n v="4"/>
    <n v="12"/>
    <n v="2003"/>
    <x v="2"/>
  </r>
  <r>
    <n v="10324"/>
    <s v="S18_2319"/>
    <x v="28"/>
    <x v="5"/>
    <x v="0"/>
    <x v="0"/>
    <s v="Small"/>
    <n v="10"/>
    <n v="33"/>
    <n v="37.479999999999997"/>
    <n v="122"/>
    <n v="1236.8399999999999"/>
    <n v="-2789.16"/>
    <x v="33"/>
    <x v="0"/>
    <n v="4"/>
    <n v="11"/>
    <n v="2004"/>
    <x v="2"/>
  </r>
  <r>
    <n v="10173"/>
    <s v="S18_2325"/>
    <x v="67"/>
    <x v="54"/>
    <x v="12"/>
    <x v="1"/>
    <s v="Medium"/>
    <n v="10"/>
    <n v="31"/>
    <n v="100"/>
    <n v="127"/>
    <n v="4492.83"/>
    <n v="555.83000000000004"/>
    <x v="80"/>
    <x v="0"/>
    <n v="4"/>
    <n v="11"/>
    <n v="2003"/>
    <x v="3"/>
  </r>
  <r>
    <n v="10380"/>
    <s v="S18_2325"/>
    <x v="26"/>
    <x v="21"/>
    <x v="8"/>
    <x v="1"/>
    <s v="Medium"/>
    <n v="10"/>
    <n v="40"/>
    <n v="100"/>
    <n v="127"/>
    <n v="4931.6000000000004"/>
    <n v="-148.4"/>
    <x v="136"/>
    <x v="0"/>
    <n v="1"/>
    <n v="2"/>
    <n v="2005"/>
    <x v="3"/>
  </r>
  <r>
    <n v="10259"/>
    <s v="S18_2432"/>
    <x v="81"/>
    <x v="15"/>
    <x v="7"/>
    <x v="2"/>
    <s v="Small"/>
    <n v="10"/>
    <n v="30"/>
    <n v="49.22"/>
    <n v="60"/>
    <n v="1476.6"/>
    <n v="-323.39999999999998"/>
    <x v="147"/>
    <x v="0"/>
    <n v="2"/>
    <n v="6"/>
    <n v="2004"/>
    <x v="2"/>
  </r>
  <r>
    <n v="10425"/>
    <s v="S18_2432"/>
    <x v="3"/>
    <x v="3"/>
    <x v="3"/>
    <x v="1"/>
    <s v="Small"/>
    <n v="10"/>
    <n v="19"/>
    <n v="49.22"/>
    <n v="60"/>
    <n v="935.18"/>
    <n v="-204.82"/>
    <x v="148"/>
    <x v="2"/>
    <n v="2"/>
    <n v="5"/>
    <n v="2005"/>
    <x v="2"/>
  </r>
  <r>
    <n v="10263"/>
    <s v="S18_2581"/>
    <x v="25"/>
    <x v="20"/>
    <x v="0"/>
    <x v="0"/>
    <s v="Small"/>
    <n v="10"/>
    <n v="33"/>
    <n v="86.17"/>
    <n v="84"/>
    <n v="2843.61"/>
    <n v="71.61"/>
    <x v="28"/>
    <x v="0"/>
    <n v="2"/>
    <n v="6"/>
    <n v="2004"/>
    <x v="4"/>
  </r>
  <r>
    <n v="10145"/>
    <s v="S18_2625"/>
    <x v="22"/>
    <x v="18"/>
    <x v="0"/>
    <x v="0"/>
    <s v="Small"/>
    <n v="10"/>
    <n v="30"/>
    <n v="49.67"/>
    <n v="60"/>
    <n v="1490.1"/>
    <n v="-309.89999999999998"/>
    <x v="213"/>
    <x v="0"/>
    <n v="3"/>
    <n v="8"/>
    <n v="2003"/>
    <x v="0"/>
  </r>
  <r>
    <n v="10285"/>
    <s v="S18_2625"/>
    <x v="87"/>
    <x v="36"/>
    <x v="0"/>
    <x v="0"/>
    <s v="Small"/>
    <n v="10"/>
    <n v="20"/>
    <n v="49.06"/>
    <n v="60"/>
    <n v="981.2"/>
    <n v="-218.8"/>
    <x v="215"/>
    <x v="0"/>
    <n v="3"/>
    <n v="8"/>
    <n v="2004"/>
    <x v="0"/>
  </r>
  <r>
    <n v="10280"/>
    <s v="S18_2795"/>
    <x v="46"/>
    <x v="37"/>
    <x v="12"/>
    <x v="1"/>
    <s v="Medium"/>
    <n v="10"/>
    <n v="22"/>
    <n v="100"/>
    <n v="168"/>
    <n v="4455"/>
    <n v="759"/>
    <x v="53"/>
    <x v="0"/>
    <n v="3"/>
    <n v="8"/>
    <n v="2004"/>
    <x v="3"/>
  </r>
  <r>
    <n v="10148"/>
    <s v="S18_2870"/>
    <x v="47"/>
    <x v="38"/>
    <x v="2"/>
    <x v="2"/>
    <s v="Medium"/>
    <n v="10"/>
    <n v="27"/>
    <n v="100"/>
    <n v="132"/>
    <n v="3528.36"/>
    <n v="-35.64"/>
    <x v="134"/>
    <x v="0"/>
    <n v="3"/>
    <n v="9"/>
    <n v="2003"/>
    <x v="1"/>
  </r>
  <r>
    <n v="10311"/>
    <s v="S18_2870"/>
    <x v="26"/>
    <x v="21"/>
    <x v="8"/>
    <x v="1"/>
    <s v="Medium"/>
    <n v="10"/>
    <n v="43"/>
    <n v="100"/>
    <n v="132"/>
    <n v="5278.68"/>
    <n v="-397.32"/>
    <x v="81"/>
    <x v="0"/>
    <n v="4"/>
    <n v="10"/>
    <n v="2004"/>
    <x v="1"/>
  </r>
  <r>
    <n v="10331"/>
    <s v="S18_2870"/>
    <x v="9"/>
    <x v="8"/>
    <x v="0"/>
    <x v="0"/>
    <s v="Small"/>
    <n v="10"/>
    <n v="26"/>
    <n v="64.900000000000006"/>
    <n v="132"/>
    <n v="1687.4"/>
    <n v="-1744.6"/>
    <x v="95"/>
    <x v="0"/>
    <n v="4"/>
    <n v="11"/>
    <n v="2004"/>
    <x v="1"/>
  </r>
  <r>
    <n v="10270"/>
    <s v="S18_2949"/>
    <x v="64"/>
    <x v="51"/>
    <x v="2"/>
    <x v="2"/>
    <s v="Small"/>
    <n v="10"/>
    <n v="31"/>
    <n v="96.24"/>
    <n v="101"/>
    <n v="2983.44"/>
    <n v="-147.56"/>
    <x v="206"/>
    <x v="0"/>
    <n v="3"/>
    <n v="7"/>
    <n v="2004"/>
    <x v="3"/>
  </r>
  <r>
    <n v="10347"/>
    <s v="S18_2957"/>
    <x v="2"/>
    <x v="2"/>
    <x v="2"/>
    <x v="2"/>
    <s v="Small"/>
    <n v="10"/>
    <n v="34"/>
    <n v="64.959999999999994"/>
    <n v="62"/>
    <n v="2208.64"/>
    <n v="100.64"/>
    <x v="9"/>
    <x v="0"/>
    <n v="4"/>
    <n v="11"/>
    <n v="2004"/>
    <x v="3"/>
  </r>
  <r>
    <n v="10178"/>
    <s v="S18_3029"/>
    <x v="57"/>
    <x v="46"/>
    <x v="3"/>
    <x v="1"/>
    <s v="Medium"/>
    <n v="10"/>
    <n v="41"/>
    <n v="81.72"/>
    <n v="86"/>
    <n v="3350.52"/>
    <n v="-175.48"/>
    <x v="231"/>
    <x v="0"/>
    <n v="4"/>
    <n v="11"/>
    <n v="2003"/>
    <x v="5"/>
  </r>
  <r>
    <n v="10222"/>
    <s v="S18_3029"/>
    <x v="80"/>
    <x v="63"/>
    <x v="0"/>
    <x v="0"/>
    <s v="Medium"/>
    <n v="10"/>
    <n v="49"/>
    <n v="94.62"/>
    <n v="86"/>
    <n v="4636.38"/>
    <n v="422.38"/>
    <x v="233"/>
    <x v="0"/>
    <n v="1"/>
    <n v="2"/>
    <n v="2004"/>
    <x v="5"/>
  </r>
  <r>
    <n v="10150"/>
    <s v="S18_3136"/>
    <x v="17"/>
    <x v="15"/>
    <x v="7"/>
    <x v="2"/>
    <s v="Small"/>
    <n v="10"/>
    <n v="26"/>
    <n v="100"/>
    <n v="104"/>
    <n v="2804.36"/>
    <n v="100.36"/>
    <x v="18"/>
    <x v="0"/>
    <n v="3"/>
    <n v="9"/>
    <n v="2003"/>
    <x v="3"/>
  </r>
  <r>
    <n v="10183"/>
    <s v="S18_3136"/>
    <x v="18"/>
    <x v="8"/>
    <x v="0"/>
    <x v="0"/>
    <s v="Small"/>
    <n v="10"/>
    <n v="22"/>
    <n v="100"/>
    <n v="104"/>
    <n v="2488.1999999999998"/>
    <n v="200.2"/>
    <x v="19"/>
    <x v="0"/>
    <n v="4"/>
    <n v="11"/>
    <n v="2003"/>
    <x v="3"/>
  </r>
  <r>
    <n v="10184"/>
    <s v="S18_3232"/>
    <x v="86"/>
    <x v="68"/>
    <x v="8"/>
    <x v="1"/>
    <s v="Medium"/>
    <n v="10"/>
    <n v="28"/>
    <n v="100"/>
    <n v="169"/>
    <n v="4409.72"/>
    <n v="-322.27999999999997"/>
    <x v="69"/>
    <x v="0"/>
    <n v="4"/>
    <n v="11"/>
    <n v="2003"/>
    <x v="1"/>
  </r>
  <r>
    <n v="10195"/>
    <s v="S18_3232"/>
    <x v="13"/>
    <x v="11"/>
    <x v="0"/>
    <x v="0"/>
    <s v="Large"/>
    <n v="10"/>
    <n v="50"/>
    <n v="100"/>
    <n v="169"/>
    <n v="7620.5"/>
    <n v="-829.5"/>
    <x v="169"/>
    <x v="0"/>
    <n v="4"/>
    <n v="11"/>
    <n v="2003"/>
    <x v="1"/>
  </r>
  <r>
    <n v="10142"/>
    <s v="S18_3259"/>
    <x v="43"/>
    <x v="34"/>
    <x v="0"/>
    <x v="0"/>
    <s v="Small"/>
    <n v="10"/>
    <n v="22"/>
    <n v="97.81"/>
    <n v="100"/>
    <n v="2151.8200000000002"/>
    <n v="-48.18"/>
    <x v="182"/>
    <x v="0"/>
    <n v="3"/>
    <n v="8"/>
    <n v="2003"/>
    <x v="6"/>
  </r>
  <r>
    <n v="10135"/>
    <s v="S18_3278"/>
    <x v="43"/>
    <x v="34"/>
    <x v="0"/>
    <x v="0"/>
    <s v="Medium"/>
    <n v="10"/>
    <n v="45"/>
    <n v="78"/>
    <n v="80"/>
    <n v="3510"/>
    <n v="-90"/>
    <x v="180"/>
    <x v="0"/>
    <n v="3"/>
    <n v="7"/>
    <n v="2003"/>
    <x v="1"/>
  </r>
  <r>
    <n v="10147"/>
    <s v="S18_3278"/>
    <x v="53"/>
    <x v="25"/>
    <x v="0"/>
    <x v="0"/>
    <s v="Medium"/>
    <n v="10"/>
    <n v="36"/>
    <n v="86.04"/>
    <n v="80"/>
    <n v="3097.44"/>
    <n v="217.44"/>
    <x v="181"/>
    <x v="0"/>
    <n v="3"/>
    <n v="9"/>
    <n v="2003"/>
    <x v="1"/>
  </r>
  <r>
    <n v="10329"/>
    <s v="S18_3278"/>
    <x v="5"/>
    <x v="5"/>
    <x v="0"/>
    <x v="0"/>
    <s v="Small"/>
    <n v="10"/>
    <n v="38"/>
    <n v="59.1"/>
    <n v="80"/>
    <n v="2245.8000000000002"/>
    <n v="-794.2"/>
    <x v="5"/>
    <x v="0"/>
    <n v="4"/>
    <n v="11"/>
    <n v="2004"/>
    <x v="1"/>
  </r>
  <r>
    <n v="10363"/>
    <s v="S18_3278"/>
    <x v="38"/>
    <x v="30"/>
    <x v="14"/>
    <x v="1"/>
    <s v="Small"/>
    <n v="10"/>
    <n v="46"/>
    <n v="60.3"/>
    <n v="80"/>
    <n v="2773.8"/>
    <n v="-906.2"/>
    <x v="190"/>
    <x v="0"/>
    <n v="1"/>
    <n v="1"/>
    <n v="2005"/>
    <x v="1"/>
  </r>
  <r>
    <n v="10203"/>
    <s v="S18_3482"/>
    <x v="26"/>
    <x v="21"/>
    <x v="8"/>
    <x v="1"/>
    <s v="Medium"/>
    <n v="10"/>
    <n v="32"/>
    <n v="100"/>
    <n v="146"/>
    <n v="5127.04"/>
    <n v="455.04"/>
    <x v="86"/>
    <x v="0"/>
    <n v="4"/>
    <n v="12"/>
    <n v="2003"/>
    <x v="1"/>
  </r>
  <r>
    <n v="10378"/>
    <s v="S18_3482"/>
    <x v="26"/>
    <x v="21"/>
    <x v="8"/>
    <x v="1"/>
    <s v="Medium"/>
    <n v="10"/>
    <n v="43"/>
    <n v="96.49"/>
    <n v="146"/>
    <n v="4149.07"/>
    <n v="-2128.9299999999998"/>
    <x v="84"/>
    <x v="0"/>
    <n v="1"/>
    <n v="2"/>
    <n v="2005"/>
    <x v="1"/>
  </r>
  <r>
    <n v="10161"/>
    <s v="S18_3685"/>
    <x v="69"/>
    <x v="56"/>
    <x v="10"/>
    <x v="1"/>
    <s v="Medium"/>
    <n v="10"/>
    <n v="36"/>
    <n v="100"/>
    <n v="141"/>
    <n v="5544"/>
    <n v="468"/>
    <x v="142"/>
    <x v="0"/>
    <n v="4"/>
    <n v="10"/>
    <n v="2003"/>
    <x v="1"/>
  </r>
  <r>
    <n v="10155"/>
    <s v="S18_3856"/>
    <x v="44"/>
    <x v="35"/>
    <x v="14"/>
    <x v="1"/>
    <s v="Medium"/>
    <n v="10"/>
    <n v="29"/>
    <n v="100"/>
    <n v="105"/>
    <n v="3622.97"/>
    <n v="577.97"/>
    <x v="75"/>
    <x v="0"/>
    <n v="4"/>
    <n v="10"/>
    <n v="2003"/>
    <x v="3"/>
  </r>
  <r>
    <n v="10162"/>
    <s v="S18_4409"/>
    <x v="21"/>
    <x v="17"/>
    <x v="0"/>
    <x v="0"/>
    <s v="Medium"/>
    <n v="10"/>
    <n v="39"/>
    <n v="100"/>
    <n v="92"/>
    <n v="3912.09"/>
    <n v="324.08999999999997"/>
    <x v="60"/>
    <x v="0"/>
    <n v="4"/>
    <n v="10"/>
    <n v="2003"/>
    <x v="3"/>
  </r>
  <r>
    <n v="10105"/>
    <s v="S18_4522"/>
    <x v="30"/>
    <x v="24"/>
    <x v="10"/>
    <x v="1"/>
    <s v="Medium"/>
    <n v="10"/>
    <n v="41"/>
    <n v="82.5"/>
    <n v="87"/>
    <n v="3382.5"/>
    <n v="-184.5"/>
    <x v="187"/>
    <x v="0"/>
    <n v="1"/>
    <n v="2"/>
    <n v="2003"/>
    <x v="3"/>
  </r>
  <r>
    <n v="10175"/>
    <s v="S18_4600"/>
    <x v="42"/>
    <x v="33"/>
    <x v="15"/>
    <x v="1"/>
    <s v="Medium"/>
    <n v="10"/>
    <n v="47"/>
    <n v="100"/>
    <n v="121"/>
    <n v="5121.59"/>
    <n v="-565.41"/>
    <x v="21"/>
    <x v="0"/>
    <n v="4"/>
    <n v="11"/>
    <n v="2003"/>
    <x v="2"/>
  </r>
  <r>
    <n v="10229"/>
    <s v="S18_4600"/>
    <x v="43"/>
    <x v="34"/>
    <x v="0"/>
    <x v="0"/>
    <s v="Medium"/>
    <n v="10"/>
    <n v="41"/>
    <n v="100"/>
    <n v="121"/>
    <n v="4716.2299999999996"/>
    <n v="-244.77"/>
    <x v="48"/>
    <x v="0"/>
    <n v="1"/>
    <n v="3"/>
    <n v="2004"/>
    <x v="2"/>
  </r>
  <r>
    <n v="10281"/>
    <s v="S18_4600"/>
    <x v="4"/>
    <x v="4"/>
    <x v="0"/>
    <x v="0"/>
    <s v="Small"/>
    <n v="10"/>
    <n v="25"/>
    <n v="99.29"/>
    <n v="121"/>
    <n v="2482.25"/>
    <n v="-542.75"/>
    <x v="49"/>
    <x v="0"/>
    <n v="3"/>
    <n v="8"/>
    <n v="2004"/>
    <x v="2"/>
  </r>
  <r>
    <n v="10204"/>
    <s v="S24_1046"/>
    <x v="34"/>
    <x v="5"/>
    <x v="0"/>
    <x v="0"/>
    <s v="Small"/>
    <n v="10"/>
    <n v="20"/>
    <n v="62.47"/>
    <n v="73"/>
    <n v="1249.4000000000001"/>
    <n v="-210.6"/>
    <x v="86"/>
    <x v="0"/>
    <n v="4"/>
    <n v="12"/>
    <n v="2003"/>
    <x v="1"/>
  </r>
  <r>
    <n v="10367"/>
    <s v="S24_1046"/>
    <x v="22"/>
    <x v="18"/>
    <x v="0"/>
    <x v="0"/>
    <s v="Small"/>
    <n v="10"/>
    <n v="21"/>
    <n v="60.37"/>
    <n v="73"/>
    <n v="1267.77"/>
    <n v="-265.23"/>
    <x v="66"/>
    <x v="4"/>
    <n v="1"/>
    <n v="1"/>
    <n v="2005"/>
    <x v="1"/>
  </r>
  <r>
    <n v="10180"/>
    <s v="S24_1578"/>
    <x v="75"/>
    <x v="61"/>
    <x v="3"/>
    <x v="1"/>
    <s v="Medium"/>
    <n v="10"/>
    <n v="48"/>
    <n v="100"/>
    <n v="112"/>
    <n v="5355.36"/>
    <n v="-20.64"/>
    <x v="202"/>
    <x v="0"/>
    <n v="4"/>
    <n v="11"/>
    <n v="2003"/>
    <x v="0"/>
  </r>
  <r>
    <n v="10299"/>
    <s v="S24_1578"/>
    <x v="44"/>
    <x v="35"/>
    <x v="14"/>
    <x v="1"/>
    <s v="Medium"/>
    <n v="10"/>
    <n v="47"/>
    <n v="100"/>
    <n v="112"/>
    <n v="5455.76"/>
    <n v="191.76"/>
    <x v="204"/>
    <x v="0"/>
    <n v="3"/>
    <n v="9"/>
    <n v="2004"/>
    <x v="0"/>
  </r>
  <r>
    <n v="10339"/>
    <s v="S24_1578"/>
    <x v="41"/>
    <x v="32"/>
    <x v="5"/>
    <x v="2"/>
    <s v="Small"/>
    <n v="10"/>
    <n v="27"/>
    <n v="84.39"/>
    <n v="112"/>
    <n v="2278.5300000000002"/>
    <n v="-745.47"/>
    <x v="90"/>
    <x v="0"/>
    <n v="4"/>
    <n v="11"/>
    <n v="2004"/>
    <x v="0"/>
  </r>
  <r>
    <n v="10241"/>
    <s v="S24_1628"/>
    <x v="59"/>
    <x v="48"/>
    <x v="3"/>
    <x v="1"/>
    <s v="Small"/>
    <n v="10"/>
    <n v="21"/>
    <n v="40.25"/>
    <n v="50"/>
    <n v="845.25"/>
    <n v="-204.75"/>
    <x v="83"/>
    <x v="0"/>
    <n v="2"/>
    <n v="4"/>
    <n v="2004"/>
    <x v="1"/>
  </r>
  <r>
    <n v="10407"/>
    <s v="S24_1628"/>
    <x v="55"/>
    <x v="44"/>
    <x v="0"/>
    <x v="0"/>
    <s v="Small"/>
    <n v="10"/>
    <n v="64"/>
    <n v="40.25"/>
    <n v="50"/>
    <n v="2576"/>
    <n v="-624"/>
    <x v="85"/>
    <x v="5"/>
    <n v="2"/>
    <n v="4"/>
    <n v="2005"/>
    <x v="1"/>
  </r>
  <r>
    <n v="10120"/>
    <s v="S24_1785"/>
    <x v="2"/>
    <x v="2"/>
    <x v="2"/>
    <x v="2"/>
    <s v="Medium"/>
    <n v="10"/>
    <n v="39"/>
    <n v="100"/>
    <n v="109"/>
    <n v="4651.53"/>
    <n v="400.53"/>
    <x v="149"/>
    <x v="0"/>
    <n v="2"/>
    <n v="4"/>
    <n v="2003"/>
    <x v="4"/>
  </r>
  <r>
    <n v="10193"/>
    <s v="S24_1937"/>
    <x v="65"/>
    <x v="52"/>
    <x v="2"/>
    <x v="2"/>
    <s v="Small"/>
    <n v="10"/>
    <n v="26"/>
    <n v="29.21"/>
    <n v="33"/>
    <n v="759.46"/>
    <n v="-98.54"/>
    <x v="101"/>
    <x v="0"/>
    <n v="4"/>
    <n v="11"/>
    <n v="2003"/>
    <x v="3"/>
  </r>
  <r>
    <n v="10248"/>
    <s v="S24_2011"/>
    <x v="5"/>
    <x v="5"/>
    <x v="0"/>
    <x v="0"/>
    <s v="Medium"/>
    <n v="10"/>
    <n v="48"/>
    <n v="100"/>
    <n v="122"/>
    <n v="6960.48"/>
    <n v="1104.48"/>
    <x v="105"/>
    <x v="3"/>
    <n v="2"/>
    <n v="5"/>
    <n v="2004"/>
    <x v="5"/>
  </r>
  <r>
    <n v="10414"/>
    <s v="S24_2011"/>
    <x v="16"/>
    <x v="14"/>
    <x v="0"/>
    <x v="0"/>
    <s v="Medium"/>
    <n v="10"/>
    <n v="23"/>
    <n v="100"/>
    <n v="122"/>
    <n v="3335.23"/>
    <n v="529.23"/>
    <x v="106"/>
    <x v="5"/>
    <n v="2"/>
    <n v="5"/>
    <n v="2005"/>
    <x v="5"/>
  </r>
  <r>
    <n v="10332"/>
    <s v="S24_2022"/>
    <x v="62"/>
    <x v="50"/>
    <x v="15"/>
    <x v="1"/>
    <s v="Small"/>
    <n v="10"/>
    <n v="26"/>
    <n v="85.52"/>
    <n v="44"/>
    <n v="2223.52"/>
    <n v="1079.52"/>
    <x v="95"/>
    <x v="0"/>
    <n v="4"/>
    <n v="11"/>
    <n v="2004"/>
    <x v="3"/>
  </r>
  <r>
    <n v="10246"/>
    <s v="S24_2300"/>
    <x v="26"/>
    <x v="21"/>
    <x v="8"/>
    <x v="1"/>
    <s v="Medium"/>
    <n v="10"/>
    <n v="29"/>
    <n v="100"/>
    <n v="127"/>
    <n v="3520.6"/>
    <n v="-162.4"/>
    <x v="43"/>
    <x v="0"/>
    <n v="2"/>
    <n v="5"/>
    <n v="2004"/>
    <x v="2"/>
  </r>
  <r>
    <n v="10271"/>
    <s v="S24_2300"/>
    <x v="43"/>
    <x v="34"/>
    <x v="0"/>
    <x v="0"/>
    <s v="Medium"/>
    <n v="10"/>
    <n v="43"/>
    <n v="100"/>
    <n v="127"/>
    <n v="5605.05"/>
    <n v="144.05000000000001"/>
    <x v="44"/>
    <x v="0"/>
    <n v="3"/>
    <n v="7"/>
    <n v="2004"/>
    <x v="2"/>
  </r>
  <r>
    <n v="10305"/>
    <s v="S24_2300"/>
    <x v="87"/>
    <x v="36"/>
    <x v="0"/>
    <x v="0"/>
    <s v="Medium"/>
    <n v="10"/>
    <n v="24"/>
    <n v="100"/>
    <n v="127"/>
    <n v="3189.6"/>
    <n v="141.6"/>
    <x v="196"/>
    <x v="0"/>
    <n v="4"/>
    <n v="10"/>
    <n v="2004"/>
    <x v="2"/>
  </r>
  <r>
    <n v="10412"/>
    <s v="S24_2300"/>
    <x v="26"/>
    <x v="21"/>
    <x v="8"/>
    <x v="1"/>
    <s v="Large"/>
    <n v="10"/>
    <n v="70"/>
    <n v="100"/>
    <n v="127"/>
    <n v="8498"/>
    <n v="-392"/>
    <x v="197"/>
    <x v="0"/>
    <n v="2"/>
    <n v="5"/>
    <n v="2005"/>
    <x v="2"/>
  </r>
  <r>
    <n v="10124"/>
    <s v="S24_2766"/>
    <x v="83"/>
    <x v="65"/>
    <x v="0"/>
    <x v="0"/>
    <s v="Small"/>
    <n v="10"/>
    <n v="32"/>
    <n v="72.7"/>
    <n v="90"/>
    <n v="2326.4"/>
    <n v="-553.6"/>
    <x v="58"/>
    <x v="0"/>
    <n v="2"/>
    <n v="5"/>
    <n v="2003"/>
    <x v="1"/>
  </r>
  <r>
    <n v="10104"/>
    <s v="S24_2840"/>
    <x v="26"/>
    <x v="21"/>
    <x v="8"/>
    <x v="1"/>
    <s v="Small"/>
    <n v="10"/>
    <n v="44"/>
    <n v="39.6"/>
    <n v="35"/>
    <n v="1742.4"/>
    <n v="202.4"/>
    <x v="31"/>
    <x v="0"/>
    <n v="1"/>
    <n v="1"/>
    <n v="2003"/>
    <x v="1"/>
  </r>
  <r>
    <n v="10262"/>
    <s v="S24_2841"/>
    <x v="26"/>
    <x v="21"/>
    <x v="8"/>
    <x v="1"/>
    <s v="Small"/>
    <n v="10"/>
    <n v="24"/>
    <n v="67.14"/>
    <n v="68"/>
    <n v="1611.36"/>
    <n v="-20.64"/>
    <x v="155"/>
    <x v="3"/>
    <n v="2"/>
    <n v="6"/>
    <n v="2004"/>
    <x v="4"/>
  </r>
  <r>
    <n v="10316"/>
    <s v="S24_2841"/>
    <x v="84"/>
    <x v="66"/>
    <x v="15"/>
    <x v="1"/>
    <s v="Small"/>
    <n v="10"/>
    <n v="34"/>
    <n v="63.71"/>
    <n v="68"/>
    <n v="2166.14"/>
    <n v="-145.86000000000001"/>
    <x v="156"/>
    <x v="0"/>
    <n v="4"/>
    <n v="11"/>
    <n v="2004"/>
    <x v="4"/>
  </r>
  <r>
    <n v="10110"/>
    <s v="S24_2887"/>
    <x v="62"/>
    <x v="50"/>
    <x v="15"/>
    <x v="1"/>
    <s v="Medium"/>
    <n v="10"/>
    <n v="46"/>
    <n v="100"/>
    <n v="117"/>
    <n v="5942.28"/>
    <n v="560.28"/>
    <x v="92"/>
    <x v="0"/>
    <n v="1"/>
    <n v="3"/>
    <n v="2003"/>
    <x v="1"/>
  </r>
  <r>
    <n v="10301"/>
    <s v="S24_2972"/>
    <x v="60"/>
    <x v="49"/>
    <x v="1"/>
    <x v="1"/>
    <s v="Small"/>
    <n v="10"/>
    <n v="48"/>
    <n v="34.36"/>
    <n v="37"/>
    <n v="1649.28"/>
    <n v="-126.72"/>
    <x v="146"/>
    <x v="0"/>
    <n v="4"/>
    <n v="10"/>
    <n v="2003"/>
    <x v="1"/>
  </r>
  <r>
    <n v="10288"/>
    <s v="S24_3191"/>
    <x v="81"/>
    <x v="15"/>
    <x v="7"/>
    <x v="2"/>
    <s v="Small"/>
    <n v="10"/>
    <n v="34"/>
    <n v="68.489999999999995"/>
    <n v="85"/>
    <n v="2328.66"/>
    <n v="-561.34"/>
    <x v="158"/>
    <x v="0"/>
    <n v="3"/>
    <n v="9"/>
    <n v="2004"/>
    <x v="1"/>
  </r>
  <r>
    <n v="10420"/>
    <s v="S24_3191"/>
    <x v="64"/>
    <x v="51"/>
    <x v="2"/>
    <x v="2"/>
    <s v="Medium"/>
    <n v="10"/>
    <n v="35"/>
    <n v="96.74"/>
    <n v="85"/>
    <n v="3385.9"/>
    <n v="410.9"/>
    <x v="97"/>
    <x v="2"/>
    <n v="2"/>
    <n v="5"/>
    <n v="2005"/>
    <x v="1"/>
  </r>
  <r>
    <n v="10342"/>
    <s v="S24_3371"/>
    <x v="2"/>
    <x v="2"/>
    <x v="2"/>
    <x v="2"/>
    <s v="Small"/>
    <n v="10"/>
    <n v="48"/>
    <n v="62.45"/>
    <n v="61"/>
    <n v="2997.6"/>
    <n v="69.599999999999994"/>
    <x v="38"/>
    <x v="0"/>
    <n v="4"/>
    <n v="11"/>
    <n v="2004"/>
    <x v="1"/>
  </r>
  <r>
    <n v="10119"/>
    <s v="S24_3816"/>
    <x v="32"/>
    <x v="26"/>
    <x v="11"/>
    <x v="1"/>
    <s v="Medium"/>
    <n v="10"/>
    <n v="35"/>
    <n v="90.57"/>
    <n v="83"/>
    <n v="3169.95"/>
    <n v="264.95"/>
    <x v="247"/>
    <x v="0"/>
    <n v="2"/>
    <n v="4"/>
    <n v="2003"/>
    <x v="3"/>
  </r>
  <r>
    <n v="10350"/>
    <s v="S24_3816"/>
    <x v="26"/>
    <x v="21"/>
    <x v="8"/>
    <x v="1"/>
    <s v="Small"/>
    <n v="10"/>
    <n v="25"/>
    <n v="60.34"/>
    <n v="83"/>
    <n v="1508.5"/>
    <n v="-566.5"/>
    <x v="111"/>
    <x v="0"/>
    <n v="4"/>
    <n v="12"/>
    <n v="2004"/>
    <x v="3"/>
  </r>
  <r>
    <n v="10373"/>
    <s v="S24_3816"/>
    <x v="71"/>
    <x v="58"/>
    <x v="14"/>
    <x v="1"/>
    <s v="Small"/>
    <n v="10"/>
    <n v="23"/>
    <n v="100"/>
    <n v="83"/>
    <n v="2394.3000000000002"/>
    <n v="485.3"/>
    <x v="250"/>
    <x v="0"/>
    <n v="1"/>
    <n v="1"/>
    <n v="2005"/>
    <x v="3"/>
  </r>
  <r>
    <n v="10284"/>
    <s v="S24_3949"/>
    <x v="60"/>
    <x v="49"/>
    <x v="1"/>
    <x v="1"/>
    <s v="Small"/>
    <n v="10"/>
    <n v="21"/>
    <n v="55.96"/>
    <n v="68"/>
    <n v="1175.1600000000001"/>
    <n v="-252.84"/>
    <x v="88"/>
    <x v="0"/>
    <n v="3"/>
    <n v="8"/>
    <n v="2004"/>
    <x v="4"/>
  </r>
  <r>
    <n v="10282"/>
    <s v="S24_4048"/>
    <x v="43"/>
    <x v="34"/>
    <x v="0"/>
    <x v="0"/>
    <s v="Medium"/>
    <n v="10"/>
    <n v="39"/>
    <n v="100"/>
    <n v="118"/>
    <n v="4797.3900000000003"/>
    <n v="195.39"/>
    <x v="109"/>
    <x v="0"/>
    <n v="3"/>
    <n v="8"/>
    <n v="2004"/>
    <x v="1"/>
  </r>
  <r>
    <n v="10314"/>
    <s v="S24_4048"/>
    <x v="69"/>
    <x v="56"/>
    <x v="10"/>
    <x v="1"/>
    <s v="Medium"/>
    <n v="10"/>
    <n v="38"/>
    <n v="100"/>
    <n v="118"/>
    <n v="4000.26"/>
    <n v="-483.74"/>
    <x v="110"/>
    <x v="0"/>
    <n v="4"/>
    <n v="10"/>
    <n v="2004"/>
    <x v="1"/>
  </r>
  <r>
    <n v="10206"/>
    <s v="S24_4258"/>
    <x v="90"/>
    <x v="71"/>
    <x v="6"/>
    <x v="0"/>
    <s v="Medium"/>
    <n v="10"/>
    <n v="33"/>
    <n v="97.39"/>
    <n v="97"/>
    <n v="3213.87"/>
    <n v="12.87"/>
    <x v="240"/>
    <x v="0"/>
    <n v="4"/>
    <n v="12"/>
    <n v="2003"/>
    <x v="3"/>
  </r>
  <r>
    <n v="10304"/>
    <s v="S24_4258"/>
    <x v="20"/>
    <x v="16"/>
    <x v="3"/>
    <x v="1"/>
    <s v="Medium"/>
    <n v="10"/>
    <n v="33"/>
    <n v="100"/>
    <n v="97"/>
    <n v="3342.57"/>
    <n v="141.57"/>
    <x v="241"/>
    <x v="0"/>
    <n v="4"/>
    <n v="10"/>
    <n v="2004"/>
    <x v="3"/>
  </r>
  <r>
    <n v="10168"/>
    <s v="S24_4278"/>
    <x v="0"/>
    <x v="0"/>
    <x v="0"/>
    <x v="0"/>
    <s v="Medium"/>
    <n v="10"/>
    <n v="48"/>
    <n v="78.25"/>
    <n v="72"/>
    <n v="3756"/>
    <n v="300"/>
    <x v="0"/>
    <x v="0"/>
    <n v="4"/>
    <n v="10"/>
    <n v="2003"/>
    <x v="4"/>
  </r>
  <r>
    <n v="10223"/>
    <s v="S24_4278"/>
    <x v="2"/>
    <x v="2"/>
    <x v="2"/>
    <x v="2"/>
    <s v="Small"/>
    <n v="10"/>
    <n v="23"/>
    <n v="74.62"/>
    <n v="72"/>
    <n v="1716.26"/>
    <n v="60.26"/>
    <x v="2"/>
    <x v="0"/>
    <n v="1"/>
    <n v="2"/>
    <n v="2004"/>
    <x v="4"/>
  </r>
  <r>
    <n v="10275"/>
    <s v="S24_4278"/>
    <x v="3"/>
    <x v="3"/>
    <x v="3"/>
    <x v="1"/>
    <s v="Small"/>
    <n v="10"/>
    <n v="27"/>
    <n v="62.31"/>
    <n v="72"/>
    <n v="1682.37"/>
    <n v="-261.63"/>
    <x v="3"/>
    <x v="0"/>
    <n v="3"/>
    <n v="7"/>
    <n v="2004"/>
    <x v="4"/>
  </r>
  <r>
    <n v="10108"/>
    <s v="S24_4620"/>
    <x v="85"/>
    <x v="67"/>
    <x v="18"/>
    <x v="2"/>
    <s v="Small"/>
    <n v="10"/>
    <n v="31"/>
    <n v="68.709999999999994"/>
    <n v="80"/>
    <n v="2130.0100000000002"/>
    <n v="-349.99"/>
    <x v="189"/>
    <x v="0"/>
    <n v="1"/>
    <n v="3"/>
    <n v="2003"/>
    <x v="1"/>
  </r>
  <r>
    <n v="10390"/>
    <s v="S24_4620"/>
    <x v="43"/>
    <x v="34"/>
    <x v="0"/>
    <x v="0"/>
    <s v="Small"/>
    <n v="10"/>
    <n v="30"/>
    <n v="82.42"/>
    <n v="80"/>
    <n v="2472.6"/>
    <n v="72.599999999999994"/>
    <x v="122"/>
    <x v="0"/>
    <n v="1"/>
    <n v="3"/>
    <n v="2005"/>
    <x v="1"/>
  </r>
  <r>
    <n v="10151"/>
    <s v="S32_1268"/>
    <x v="71"/>
    <x v="58"/>
    <x v="14"/>
    <x v="1"/>
    <s v="Medium"/>
    <n v="10"/>
    <n v="27"/>
    <n v="100"/>
    <n v="96"/>
    <n v="3068.55"/>
    <n v="476.55"/>
    <x v="224"/>
    <x v="0"/>
    <n v="3"/>
    <n v="9"/>
    <n v="2003"/>
    <x v="2"/>
  </r>
  <r>
    <n v="10276"/>
    <s v="S32_2206"/>
    <x v="31"/>
    <x v="25"/>
    <x v="0"/>
    <x v="0"/>
    <s v="Small"/>
    <n v="10"/>
    <n v="27"/>
    <n v="36.61"/>
    <n v="40"/>
    <n v="988.47"/>
    <n v="-91.53"/>
    <x v="36"/>
    <x v="0"/>
    <n v="3"/>
    <n v="8"/>
    <n v="2004"/>
    <x v="0"/>
  </r>
  <r>
    <n v="10355"/>
    <s v="S32_2206"/>
    <x v="26"/>
    <x v="21"/>
    <x v="8"/>
    <x v="1"/>
    <s v="Small"/>
    <n v="10"/>
    <n v="38"/>
    <n v="39.83"/>
    <n v="40"/>
    <n v="1513.54"/>
    <n v="-6.46"/>
    <x v="127"/>
    <x v="0"/>
    <n v="4"/>
    <n v="12"/>
    <n v="2004"/>
    <x v="0"/>
  </r>
  <r>
    <n v="10292"/>
    <s v="S32_2509"/>
    <x v="5"/>
    <x v="5"/>
    <x v="0"/>
    <x v="0"/>
    <s v="Small"/>
    <n v="10"/>
    <n v="50"/>
    <n v="46.53"/>
    <n v="54"/>
    <n v="2326.5"/>
    <n v="-373.5"/>
    <x v="171"/>
    <x v="0"/>
    <n v="3"/>
    <n v="9"/>
    <n v="2004"/>
    <x v="2"/>
  </r>
  <r>
    <n v="10313"/>
    <s v="S32_3522"/>
    <x v="90"/>
    <x v="71"/>
    <x v="6"/>
    <x v="0"/>
    <s v="Small"/>
    <n v="10"/>
    <n v="34"/>
    <n v="56.24"/>
    <n v="64"/>
    <n v="1912.16"/>
    <n v="-263.83999999999997"/>
    <x v="110"/>
    <x v="0"/>
    <n v="4"/>
    <n v="10"/>
    <n v="2004"/>
    <x v="2"/>
  </r>
  <r>
    <n v="10210"/>
    <s v="S32_4289"/>
    <x v="12"/>
    <x v="10"/>
    <x v="5"/>
    <x v="2"/>
    <s v="Small"/>
    <n v="10"/>
    <n v="39"/>
    <n v="59.16"/>
    <n v="68"/>
    <n v="2307.2399999999998"/>
    <n v="-344.76"/>
    <x v="13"/>
    <x v="0"/>
    <n v="1"/>
    <n v="1"/>
    <n v="2004"/>
    <x v="3"/>
  </r>
  <r>
    <n v="10308"/>
    <s v="S32_4289"/>
    <x v="13"/>
    <x v="11"/>
    <x v="0"/>
    <x v="0"/>
    <s v="Medium"/>
    <n v="10"/>
    <n v="46"/>
    <n v="66.040000000000006"/>
    <n v="68"/>
    <n v="3037.84"/>
    <n v="-90.16"/>
    <x v="14"/>
    <x v="0"/>
    <n v="4"/>
    <n v="10"/>
    <n v="2004"/>
    <x v="3"/>
  </r>
  <r>
    <n v="10165"/>
    <s v="S50_1392"/>
    <x v="17"/>
    <x v="15"/>
    <x v="7"/>
    <x v="2"/>
    <s v="Medium"/>
    <n v="10"/>
    <n v="48"/>
    <n v="94.92"/>
    <n v="115"/>
    <n v="4556.16"/>
    <n v="-963.84"/>
    <x v="116"/>
    <x v="0"/>
    <n v="4"/>
    <n v="10"/>
    <n v="2003"/>
    <x v="2"/>
  </r>
  <r>
    <n v="10371"/>
    <s v="S50_1392"/>
    <x v="43"/>
    <x v="34"/>
    <x v="0"/>
    <x v="0"/>
    <s v="Small"/>
    <n v="10"/>
    <n v="48"/>
    <n v="56.55"/>
    <n v="115"/>
    <n v="2714.4"/>
    <n v="-2805.6"/>
    <x v="207"/>
    <x v="0"/>
    <n v="1"/>
    <n v="1"/>
    <n v="2005"/>
    <x v="2"/>
  </r>
  <r>
    <n v="10383"/>
    <s v="S50_1514"/>
    <x v="26"/>
    <x v="21"/>
    <x v="8"/>
    <x v="1"/>
    <s v="Small"/>
    <n v="10"/>
    <n v="38"/>
    <n v="60.06"/>
    <n v="58"/>
    <n v="2282.2800000000002"/>
    <n v="78.28"/>
    <x v="132"/>
    <x v="0"/>
    <n v="1"/>
    <n v="2"/>
    <n v="2005"/>
    <x v="6"/>
  </r>
  <r>
    <n v="10159"/>
    <s v="S50_4713"/>
    <x v="21"/>
    <x v="17"/>
    <x v="0"/>
    <x v="0"/>
    <s v="Small"/>
    <n v="10"/>
    <n v="31"/>
    <n v="71.599999999999994"/>
    <n v="81"/>
    <n v="2219.6"/>
    <n v="-291.39999999999998"/>
    <x v="160"/>
    <x v="0"/>
    <n v="4"/>
    <n v="10"/>
    <n v="2003"/>
    <x v="0"/>
  </r>
  <r>
    <n v="10169"/>
    <s v="S50_4713"/>
    <x v="47"/>
    <x v="38"/>
    <x v="2"/>
    <x v="2"/>
    <s v="Medium"/>
    <n v="10"/>
    <n v="48"/>
    <n v="80.55"/>
    <n v="81"/>
    <n v="3866.4"/>
    <n v="-21.6"/>
    <x v="185"/>
    <x v="0"/>
    <n v="4"/>
    <n v="11"/>
    <n v="2003"/>
    <x v="0"/>
  </r>
  <r>
    <n v="10211"/>
    <s v="S50_4713"/>
    <x v="11"/>
    <x v="9"/>
    <x v="3"/>
    <x v="1"/>
    <s v="Medium"/>
    <n v="10"/>
    <n v="40"/>
    <n v="80.55"/>
    <n v="81"/>
    <n v="3222"/>
    <n v="-18"/>
    <x v="186"/>
    <x v="0"/>
    <n v="1"/>
    <n v="1"/>
    <n v="2004"/>
    <x v="0"/>
  </r>
  <r>
    <n v="10177"/>
    <s v="S700_1938"/>
    <x v="37"/>
    <x v="21"/>
    <x v="8"/>
    <x v="1"/>
    <s v="Small"/>
    <n v="10"/>
    <n v="31"/>
    <n v="88.34"/>
    <n v="86"/>
    <n v="2738.54"/>
    <n v="72.540000000000006"/>
    <x v="236"/>
    <x v="0"/>
    <n v="4"/>
    <n v="11"/>
    <n v="2003"/>
    <x v="5"/>
  </r>
  <r>
    <n v="10185"/>
    <s v="S700_1938"/>
    <x v="49"/>
    <x v="40"/>
    <x v="0"/>
    <x v="0"/>
    <s v="Small"/>
    <n v="10"/>
    <n v="30"/>
    <n v="94.4"/>
    <n v="86"/>
    <n v="2832"/>
    <n v="252"/>
    <x v="69"/>
    <x v="0"/>
    <n v="4"/>
    <n v="11"/>
    <n v="2003"/>
    <x v="5"/>
  </r>
  <r>
    <n v="10208"/>
    <s v="S700_1938"/>
    <x v="73"/>
    <x v="59"/>
    <x v="3"/>
    <x v="1"/>
    <s v="Medium"/>
    <n v="10"/>
    <n v="40"/>
    <n v="80.55"/>
    <n v="86"/>
    <n v="3222"/>
    <n v="-218"/>
    <x v="237"/>
    <x v="0"/>
    <n v="1"/>
    <n v="1"/>
    <n v="2004"/>
    <x v="5"/>
  </r>
  <r>
    <n v="10306"/>
    <s v="S700_1938"/>
    <x v="62"/>
    <x v="50"/>
    <x v="15"/>
    <x v="1"/>
    <s v="Medium"/>
    <n v="10"/>
    <n v="38"/>
    <n v="91.81"/>
    <n v="86"/>
    <n v="3488.78"/>
    <n v="220.78"/>
    <x v="71"/>
    <x v="0"/>
    <n v="4"/>
    <n v="10"/>
    <n v="2004"/>
    <x v="5"/>
  </r>
  <r>
    <n v="10235"/>
    <s v="S700_2466"/>
    <x v="89"/>
    <x v="70"/>
    <x v="6"/>
    <x v="0"/>
    <s v="Medium"/>
    <n v="10"/>
    <n v="38"/>
    <n v="88.75"/>
    <n v="99"/>
    <n v="3372.5"/>
    <n v="-389.5"/>
    <x v="210"/>
    <x v="0"/>
    <n v="2"/>
    <n v="4"/>
    <n v="2004"/>
    <x v="4"/>
  </r>
  <r>
    <n v="10328"/>
    <s v="S700_2466"/>
    <x v="67"/>
    <x v="54"/>
    <x v="12"/>
    <x v="1"/>
    <s v="Medium"/>
    <n v="10"/>
    <n v="37"/>
    <n v="100"/>
    <n v="99"/>
    <n v="4021.53"/>
    <n v="358.53"/>
    <x v="177"/>
    <x v="0"/>
    <n v="4"/>
    <n v="11"/>
    <n v="2004"/>
    <x v="4"/>
  </r>
  <r>
    <n v="10401"/>
    <s v="S700_2466"/>
    <x v="24"/>
    <x v="19"/>
    <x v="0"/>
    <x v="0"/>
    <s v="Large"/>
    <n v="10"/>
    <n v="85"/>
    <n v="88.75"/>
    <n v="99"/>
    <n v="7543.75"/>
    <n v="-871.25"/>
    <x v="212"/>
    <x v="5"/>
    <n v="2"/>
    <n v="4"/>
    <n v="2005"/>
    <x v="4"/>
  </r>
  <r>
    <n v="10167"/>
    <s v="S700_2610"/>
    <x v="51"/>
    <x v="42"/>
    <x v="4"/>
    <x v="1"/>
    <s v="Medium"/>
    <n v="10"/>
    <n v="46"/>
    <n v="70.11"/>
    <n v="72"/>
    <n v="3225.06"/>
    <n v="-86.94"/>
    <x v="68"/>
    <x v="3"/>
    <n v="4"/>
    <n v="10"/>
    <n v="2003"/>
    <x v="5"/>
  </r>
  <r>
    <n v="10386"/>
    <s v="S700_2610"/>
    <x v="26"/>
    <x v="21"/>
    <x v="8"/>
    <x v="1"/>
    <s v="Medium"/>
    <n v="10"/>
    <n v="37"/>
    <n v="100"/>
    <n v="72"/>
    <n v="5017.57"/>
    <n v="2353.5700000000002"/>
    <x v="178"/>
    <x v="4"/>
    <n v="1"/>
    <n v="3"/>
    <n v="2005"/>
    <x v="5"/>
  </r>
  <r>
    <n v="10114"/>
    <s v="S700_2824"/>
    <x v="40"/>
    <x v="9"/>
    <x v="3"/>
    <x v="1"/>
    <s v="Medium"/>
    <n v="10"/>
    <n v="42"/>
    <n v="100"/>
    <n v="101"/>
    <n v="4758.18"/>
    <n v="516.17999999999995"/>
    <x v="174"/>
    <x v="0"/>
    <n v="2"/>
    <n v="4"/>
    <n v="2003"/>
    <x v="1"/>
  </r>
  <r>
    <n v="10375"/>
    <s v="S700_2834"/>
    <x v="3"/>
    <x v="3"/>
    <x v="3"/>
    <x v="1"/>
    <s v="Small"/>
    <n v="10"/>
    <n v="25"/>
    <n v="66.73"/>
    <n v="118"/>
    <n v="1668.25"/>
    <n v="-1281.75"/>
    <x v="234"/>
    <x v="0"/>
    <n v="1"/>
    <n v="2"/>
    <n v="2005"/>
    <x v="4"/>
  </r>
  <r>
    <n v="10250"/>
    <s v="S700_3167"/>
    <x v="55"/>
    <x v="44"/>
    <x v="0"/>
    <x v="0"/>
    <s v="Small"/>
    <n v="10"/>
    <n v="44"/>
    <n v="67.2"/>
    <n v="80"/>
    <n v="2956.8"/>
    <n v="-563.20000000000005"/>
    <x v="161"/>
    <x v="0"/>
    <n v="2"/>
    <n v="5"/>
    <n v="2004"/>
    <x v="4"/>
  </r>
  <r>
    <n v="10361"/>
    <s v="S700_3167"/>
    <x v="64"/>
    <x v="51"/>
    <x v="2"/>
    <x v="2"/>
    <s v="Medium"/>
    <n v="10"/>
    <n v="44"/>
    <n v="100"/>
    <n v="80"/>
    <n v="5001.92"/>
    <n v="1481.92"/>
    <x v="201"/>
    <x v="0"/>
    <n v="4"/>
    <n v="12"/>
    <n v="2004"/>
    <x v="4"/>
  </r>
  <r>
    <n v="10398"/>
    <s v="S700_3167"/>
    <x v="82"/>
    <x v="64"/>
    <x v="3"/>
    <x v="1"/>
    <s v="Small"/>
    <n v="10"/>
    <n v="29"/>
    <n v="65.599999999999994"/>
    <n v="80"/>
    <n v="1902.4"/>
    <n v="-417.6"/>
    <x v="248"/>
    <x v="0"/>
    <n v="1"/>
    <n v="3"/>
    <n v="2005"/>
    <x v="4"/>
  </r>
  <r>
    <n v="10416"/>
    <s v="S700_3167"/>
    <x v="35"/>
    <x v="28"/>
    <x v="12"/>
    <x v="1"/>
    <s v="Small"/>
    <n v="10"/>
    <n v="39"/>
    <n v="67.2"/>
    <n v="80"/>
    <n v="2620.8000000000002"/>
    <n v="-499.2"/>
    <x v="163"/>
    <x v="0"/>
    <n v="2"/>
    <n v="5"/>
    <n v="2005"/>
    <x v="4"/>
  </r>
  <r>
    <n v="10197"/>
    <s v="S700_3505"/>
    <x v="88"/>
    <x v="69"/>
    <x v="8"/>
    <x v="1"/>
    <s v="Small"/>
    <n v="10"/>
    <n v="27"/>
    <n v="92.16"/>
    <n v="100"/>
    <n v="2488.3200000000002"/>
    <n v="-211.68"/>
    <x v="108"/>
    <x v="0"/>
    <n v="4"/>
    <n v="11"/>
    <n v="2003"/>
    <x v="5"/>
  </r>
  <r>
    <n v="10283"/>
    <s v="S700_3505"/>
    <x v="89"/>
    <x v="70"/>
    <x v="6"/>
    <x v="0"/>
    <s v="Small"/>
    <n v="10"/>
    <n v="22"/>
    <n v="88.15"/>
    <n v="100"/>
    <n v="1939.3"/>
    <n v="-260.7"/>
    <x v="109"/>
    <x v="0"/>
    <n v="3"/>
    <n v="8"/>
    <n v="2004"/>
    <x v="5"/>
  </r>
  <r>
    <n v="10106"/>
    <s v="S700_4002"/>
    <x v="67"/>
    <x v="54"/>
    <x v="12"/>
    <x v="1"/>
    <s v="Small"/>
    <n v="10"/>
    <n v="48"/>
    <n v="61.44"/>
    <n v="74"/>
    <n v="2949.12"/>
    <n v="-602.88"/>
    <x v="242"/>
    <x v="0"/>
    <n v="1"/>
    <n v="2"/>
    <n v="2003"/>
    <x v="4"/>
  </r>
  <r>
    <n v="10143"/>
    <s v="S72_1253"/>
    <x v="49"/>
    <x v="40"/>
    <x v="0"/>
    <x v="0"/>
    <s v="Small"/>
    <n v="10"/>
    <n v="37"/>
    <n v="50.65"/>
    <n v="49"/>
    <n v="1874.05"/>
    <n v="61.05"/>
    <x v="221"/>
    <x v="0"/>
    <n v="3"/>
    <n v="8"/>
    <n v="2003"/>
    <x v="4"/>
  </r>
  <r>
    <n v="10296"/>
    <s v="S72_1253"/>
    <x v="91"/>
    <x v="72"/>
    <x v="9"/>
    <x v="1"/>
    <s v="Small"/>
    <n v="10"/>
    <n v="21"/>
    <n v="45.19"/>
    <n v="49"/>
    <n v="948.99"/>
    <n v="-80.010000000000005"/>
    <x v="223"/>
    <x v="0"/>
    <n v="3"/>
    <n v="9"/>
    <n v="2004"/>
    <x v="4"/>
  </r>
  <r>
    <n v="10273"/>
    <s v="S72_3212"/>
    <x v="66"/>
    <x v="53"/>
    <x v="17"/>
    <x v="1"/>
    <s v="Small"/>
    <n v="10"/>
    <n v="37"/>
    <n v="45.86"/>
    <n v="54"/>
    <n v="1696.82"/>
    <n v="-301.18"/>
    <x v="70"/>
    <x v="0"/>
    <n v="3"/>
    <n v="7"/>
    <n v="2004"/>
    <x v="5"/>
  </r>
  <r>
    <n v="10103"/>
    <s v="S10_1949"/>
    <x v="39"/>
    <x v="31"/>
    <x v="1"/>
    <x v="1"/>
    <s v="Medium"/>
    <n v="11"/>
    <n v="26"/>
    <n v="100"/>
    <n v="214"/>
    <n v="5404.62"/>
    <n v="-159.38"/>
    <x v="166"/>
    <x v="0"/>
    <n v="1"/>
    <n v="1"/>
    <n v="2003"/>
    <x v="1"/>
  </r>
  <r>
    <n v="10126"/>
    <s v="S10_1949"/>
    <x v="63"/>
    <x v="21"/>
    <x v="8"/>
    <x v="1"/>
    <s v="Large"/>
    <n v="11"/>
    <n v="38"/>
    <n v="100"/>
    <n v="214"/>
    <n v="7329.06"/>
    <n v="-802.94"/>
    <x v="167"/>
    <x v="0"/>
    <n v="2"/>
    <n v="5"/>
    <n v="2003"/>
    <x v="1"/>
  </r>
  <r>
    <n v="10140"/>
    <s v="S10_1949"/>
    <x v="0"/>
    <x v="0"/>
    <x v="0"/>
    <x v="0"/>
    <s v="Large"/>
    <n v="11"/>
    <n v="37"/>
    <n v="100"/>
    <n v="214"/>
    <n v="7374.1"/>
    <n v="-543.9"/>
    <x v="168"/>
    <x v="0"/>
    <n v="3"/>
    <n v="7"/>
    <n v="2003"/>
    <x v="1"/>
  </r>
  <r>
    <n v="10194"/>
    <s v="S10_1949"/>
    <x v="73"/>
    <x v="59"/>
    <x v="3"/>
    <x v="1"/>
    <s v="Large"/>
    <n v="11"/>
    <n v="42"/>
    <n v="100"/>
    <n v="214"/>
    <n v="7290.36"/>
    <n v="-1697.64"/>
    <x v="169"/>
    <x v="0"/>
    <n v="4"/>
    <n v="11"/>
    <n v="2003"/>
    <x v="1"/>
  </r>
  <r>
    <n v="10291"/>
    <s v="S10_1949"/>
    <x v="51"/>
    <x v="42"/>
    <x v="4"/>
    <x v="1"/>
    <s v="Large"/>
    <n v="11"/>
    <n v="37"/>
    <n v="100"/>
    <n v="214"/>
    <n v="7136.19"/>
    <n v="-781.81"/>
    <x v="171"/>
    <x v="0"/>
    <n v="3"/>
    <n v="9"/>
    <n v="2004"/>
    <x v="1"/>
  </r>
  <r>
    <n v="10180"/>
    <s v="S10_4698"/>
    <x v="75"/>
    <x v="61"/>
    <x v="3"/>
    <x v="1"/>
    <s v="Large"/>
    <n v="11"/>
    <n v="41"/>
    <n v="100"/>
    <n v="193"/>
    <n v="8892.9"/>
    <n v="979.9"/>
    <x v="202"/>
    <x v="0"/>
    <n v="4"/>
    <n v="11"/>
    <n v="2003"/>
    <x v="0"/>
  </r>
  <r>
    <n v="10299"/>
    <s v="S10_4698"/>
    <x v="44"/>
    <x v="35"/>
    <x v="14"/>
    <x v="1"/>
    <s v="Medium"/>
    <n v="11"/>
    <n v="29"/>
    <n v="100"/>
    <n v="193"/>
    <n v="6683.34"/>
    <n v="1086.3399999999999"/>
    <x v="204"/>
    <x v="0"/>
    <n v="3"/>
    <n v="9"/>
    <n v="2004"/>
    <x v="0"/>
  </r>
  <r>
    <n v="10119"/>
    <s v="S10_4757"/>
    <x v="32"/>
    <x v="26"/>
    <x v="11"/>
    <x v="1"/>
    <s v="Medium"/>
    <n v="11"/>
    <n v="46"/>
    <n v="100"/>
    <n v="136"/>
    <n v="5004.8"/>
    <n v="-1251.2"/>
    <x v="247"/>
    <x v="0"/>
    <n v="2"/>
    <n v="4"/>
    <n v="2003"/>
    <x v="1"/>
  </r>
  <r>
    <n v="10153"/>
    <s v="S12_1108"/>
    <x v="26"/>
    <x v="21"/>
    <x v="8"/>
    <x v="1"/>
    <s v="Medium"/>
    <n v="11"/>
    <n v="20"/>
    <n v="100"/>
    <n v="207"/>
    <n v="4904"/>
    <n v="764"/>
    <x v="226"/>
    <x v="0"/>
    <n v="3"/>
    <n v="9"/>
    <n v="2003"/>
    <x v="1"/>
  </r>
  <r>
    <n v="10313"/>
    <s v="S12_1666"/>
    <x v="90"/>
    <x v="71"/>
    <x v="6"/>
    <x v="0"/>
    <s v="Small"/>
    <n v="11"/>
    <n v="21"/>
    <n v="100"/>
    <n v="136"/>
    <n v="2669.1"/>
    <n v="-186.9"/>
    <x v="110"/>
    <x v="0"/>
    <n v="4"/>
    <n v="10"/>
    <n v="2004"/>
    <x v="2"/>
  </r>
  <r>
    <n v="10336"/>
    <s v="S12_3148"/>
    <x v="40"/>
    <x v="9"/>
    <x v="3"/>
    <x v="1"/>
    <s v="Medium"/>
    <n v="11"/>
    <n v="33"/>
    <n v="100"/>
    <n v="151"/>
    <n v="4059.33"/>
    <n v="-923.67"/>
    <x v="45"/>
    <x v="0"/>
    <n v="4"/>
    <n v="11"/>
    <n v="2004"/>
    <x v="1"/>
  </r>
  <r>
    <n v="10382"/>
    <s v="S12_3148"/>
    <x v="43"/>
    <x v="34"/>
    <x v="0"/>
    <x v="0"/>
    <s v="Medium"/>
    <n v="11"/>
    <n v="37"/>
    <n v="100"/>
    <n v="151"/>
    <n v="4071.85"/>
    <n v="-1515.15"/>
    <x v="23"/>
    <x v="0"/>
    <n v="1"/>
    <n v="2"/>
    <n v="2005"/>
    <x v="1"/>
  </r>
  <r>
    <n v="10253"/>
    <s v="S12_3380"/>
    <x v="50"/>
    <x v="41"/>
    <x v="15"/>
    <x v="1"/>
    <s v="Small"/>
    <n v="11"/>
    <n v="22"/>
    <n v="100"/>
    <n v="117"/>
    <n v="2402.84"/>
    <n v="-171.16"/>
    <x v="65"/>
    <x v="3"/>
    <n v="2"/>
    <n v="6"/>
    <n v="2004"/>
    <x v="1"/>
  </r>
  <r>
    <n v="10419"/>
    <s v="S12_3380"/>
    <x v="32"/>
    <x v="26"/>
    <x v="11"/>
    <x v="1"/>
    <s v="Small"/>
    <n v="11"/>
    <n v="10"/>
    <n v="100"/>
    <n v="117"/>
    <n v="1092.2"/>
    <n v="-77.8"/>
    <x v="67"/>
    <x v="0"/>
    <n v="2"/>
    <n v="5"/>
    <n v="2005"/>
    <x v="1"/>
  </r>
  <r>
    <n v="10142"/>
    <s v="S12_3891"/>
    <x v="43"/>
    <x v="34"/>
    <x v="0"/>
    <x v="0"/>
    <s v="Large"/>
    <n v="11"/>
    <n v="46"/>
    <n v="100"/>
    <n v="173"/>
    <n v="9470.94"/>
    <n v="1512.94"/>
    <x v="182"/>
    <x v="0"/>
    <n v="3"/>
    <n v="8"/>
    <n v="2003"/>
    <x v="1"/>
  </r>
  <r>
    <n v="10122"/>
    <s v="S12_3990"/>
    <x v="56"/>
    <x v="45"/>
    <x v="3"/>
    <x v="1"/>
    <s v="Small"/>
    <n v="11"/>
    <n v="32"/>
    <n v="63.84"/>
    <n v="79"/>
    <n v="2042.88"/>
    <n v="-485.12"/>
    <x v="78"/>
    <x v="0"/>
    <n v="2"/>
    <n v="5"/>
    <n v="2003"/>
    <x v="1"/>
  </r>
  <r>
    <n v="10310"/>
    <s v="S12_3990"/>
    <x v="29"/>
    <x v="23"/>
    <x v="9"/>
    <x v="1"/>
    <s v="Medium"/>
    <n v="11"/>
    <n v="49"/>
    <n v="81.400000000000006"/>
    <n v="79"/>
    <n v="3988.6"/>
    <n v="117.6"/>
    <x v="81"/>
    <x v="0"/>
    <n v="4"/>
    <n v="10"/>
    <n v="2004"/>
    <x v="1"/>
  </r>
  <r>
    <n v="10127"/>
    <s v="S12_4473"/>
    <x v="34"/>
    <x v="5"/>
    <x v="0"/>
    <x v="0"/>
    <s v="Small"/>
    <n v="11"/>
    <n v="24"/>
    <n v="100"/>
    <n v="118"/>
    <n v="2559.6"/>
    <n v="-272.39999999999998"/>
    <x v="40"/>
    <x v="0"/>
    <n v="2"/>
    <n v="6"/>
    <n v="2003"/>
    <x v="2"/>
  </r>
  <r>
    <n v="10181"/>
    <s v="S12_4675"/>
    <x v="1"/>
    <x v="1"/>
    <x v="1"/>
    <x v="1"/>
    <s v="Medium"/>
    <n v="11"/>
    <n v="36"/>
    <n v="100"/>
    <n v="115"/>
    <n v="4477.32"/>
    <n v="337.32"/>
    <x v="117"/>
    <x v="0"/>
    <n v="4"/>
    <n v="11"/>
    <n v="2003"/>
    <x v="1"/>
  </r>
  <r>
    <n v="10266"/>
    <s v="S12_4675"/>
    <x v="35"/>
    <x v="28"/>
    <x v="12"/>
    <x v="1"/>
    <s v="Medium"/>
    <n v="11"/>
    <n v="40"/>
    <n v="100"/>
    <n v="115"/>
    <n v="4468.3999999999996"/>
    <n v="-131.6"/>
    <x v="153"/>
    <x v="0"/>
    <n v="3"/>
    <n v="7"/>
    <n v="2004"/>
    <x v="1"/>
  </r>
  <r>
    <n v="10192"/>
    <s v="S18_1129"/>
    <x v="8"/>
    <x v="7"/>
    <x v="0"/>
    <x v="0"/>
    <s v="Medium"/>
    <n v="11"/>
    <n v="22"/>
    <n v="100"/>
    <n v="141"/>
    <n v="3300.66"/>
    <n v="198.66"/>
    <x v="34"/>
    <x v="0"/>
    <n v="4"/>
    <n v="11"/>
    <n v="2003"/>
    <x v="1"/>
  </r>
  <r>
    <n v="10241"/>
    <s v="S18_1589"/>
    <x v="59"/>
    <x v="48"/>
    <x v="3"/>
    <x v="1"/>
    <s v="Small"/>
    <n v="11"/>
    <n v="21"/>
    <n v="100"/>
    <n v="124"/>
    <n v="2508.66"/>
    <n v="-95.34"/>
    <x v="83"/>
    <x v="0"/>
    <n v="2"/>
    <n v="4"/>
    <n v="2004"/>
    <x v="1"/>
  </r>
  <r>
    <n v="10407"/>
    <s v="S18_1589"/>
    <x v="55"/>
    <x v="44"/>
    <x v="0"/>
    <x v="0"/>
    <s v="Large"/>
    <n v="11"/>
    <n v="59"/>
    <n v="100"/>
    <n v="124"/>
    <n v="7048.14"/>
    <n v="-267.86"/>
    <x v="85"/>
    <x v="5"/>
    <n v="2"/>
    <n v="4"/>
    <n v="2005"/>
    <x v="1"/>
  </r>
  <r>
    <n v="10284"/>
    <s v="S18_1662"/>
    <x v="60"/>
    <x v="49"/>
    <x v="1"/>
    <x v="1"/>
    <s v="Medium"/>
    <n v="11"/>
    <n v="45"/>
    <n v="100"/>
    <n v="157"/>
    <n v="5747.85"/>
    <n v="-1317.15"/>
    <x v="88"/>
    <x v="0"/>
    <n v="3"/>
    <n v="8"/>
    <n v="2004"/>
    <x v="4"/>
  </r>
  <r>
    <n v="10398"/>
    <s v="S18_1662"/>
    <x v="82"/>
    <x v="64"/>
    <x v="3"/>
    <x v="1"/>
    <s v="Medium"/>
    <n v="11"/>
    <n v="33"/>
    <n v="100"/>
    <n v="157"/>
    <n v="4215.09"/>
    <n v="-965.91"/>
    <x v="248"/>
    <x v="0"/>
    <n v="1"/>
    <n v="3"/>
    <n v="2005"/>
    <x v="4"/>
  </r>
  <r>
    <n v="10149"/>
    <s v="S18_1749"/>
    <x v="58"/>
    <x v="47"/>
    <x v="0"/>
    <x v="0"/>
    <s v="Medium"/>
    <n v="11"/>
    <n v="34"/>
    <n v="100"/>
    <n v="170"/>
    <n v="5375.4"/>
    <n v="-404.6"/>
    <x v="198"/>
    <x v="0"/>
    <n v="3"/>
    <n v="9"/>
    <n v="2003"/>
    <x v="3"/>
  </r>
  <r>
    <n v="10161"/>
    <s v="S18_1984"/>
    <x v="69"/>
    <x v="56"/>
    <x v="10"/>
    <x v="1"/>
    <s v="Medium"/>
    <n v="11"/>
    <n v="48"/>
    <n v="100"/>
    <n v="142"/>
    <n v="6145.44"/>
    <n v="-670.56"/>
    <x v="142"/>
    <x v="0"/>
    <n v="4"/>
    <n v="10"/>
    <n v="2003"/>
    <x v="1"/>
  </r>
  <r>
    <n v="10165"/>
    <s v="S18_2238"/>
    <x v="17"/>
    <x v="15"/>
    <x v="7"/>
    <x v="2"/>
    <s v="Medium"/>
    <n v="11"/>
    <n v="29"/>
    <n v="100"/>
    <n v="163"/>
    <n v="5032.95"/>
    <n v="305.95"/>
    <x v="116"/>
    <x v="0"/>
    <n v="4"/>
    <n v="10"/>
    <n v="2003"/>
    <x v="1"/>
  </r>
  <r>
    <n v="10292"/>
    <s v="S18_2319"/>
    <x v="5"/>
    <x v="5"/>
    <x v="0"/>
    <x v="0"/>
    <s v="Medium"/>
    <n v="11"/>
    <n v="41"/>
    <n v="100"/>
    <n v="122"/>
    <n v="4528.8599999999997"/>
    <n v="-473.14"/>
    <x v="171"/>
    <x v="0"/>
    <n v="3"/>
    <n v="9"/>
    <n v="2004"/>
    <x v="2"/>
  </r>
  <r>
    <n v="10358"/>
    <s v="S18_2319"/>
    <x v="26"/>
    <x v="21"/>
    <x v="8"/>
    <x v="1"/>
    <s v="Small"/>
    <n v="11"/>
    <n v="20"/>
    <n v="36.42"/>
    <n v="122"/>
    <n v="728.4"/>
    <n v="-1711.6"/>
    <x v="54"/>
    <x v="0"/>
    <n v="4"/>
    <n v="12"/>
    <n v="2004"/>
    <x v="2"/>
  </r>
  <r>
    <n v="10383"/>
    <s v="S18_2319"/>
    <x v="26"/>
    <x v="21"/>
    <x v="8"/>
    <x v="1"/>
    <s v="Medium"/>
    <n v="11"/>
    <n v="27"/>
    <n v="100"/>
    <n v="122"/>
    <n v="3843.99"/>
    <n v="549.99"/>
    <x v="132"/>
    <x v="0"/>
    <n v="1"/>
    <n v="2"/>
    <n v="2005"/>
    <x v="2"/>
  </r>
  <r>
    <n v="10193"/>
    <s v="S18_2325"/>
    <x v="65"/>
    <x v="52"/>
    <x v="2"/>
    <x v="2"/>
    <s v="Medium"/>
    <n v="11"/>
    <n v="44"/>
    <n v="100"/>
    <n v="127"/>
    <n v="4642.88"/>
    <n v="-945.12"/>
    <x v="101"/>
    <x v="0"/>
    <n v="4"/>
    <n v="11"/>
    <n v="2003"/>
    <x v="3"/>
  </r>
  <r>
    <n v="10246"/>
    <s v="S18_2432"/>
    <x v="26"/>
    <x v="21"/>
    <x v="8"/>
    <x v="1"/>
    <s v="Small"/>
    <n v="11"/>
    <n v="30"/>
    <n v="61.99"/>
    <n v="60"/>
    <n v="1859.7"/>
    <n v="59.7"/>
    <x v="43"/>
    <x v="0"/>
    <n v="2"/>
    <n v="5"/>
    <n v="2004"/>
    <x v="2"/>
  </r>
  <r>
    <n v="10271"/>
    <s v="S18_2432"/>
    <x v="43"/>
    <x v="34"/>
    <x v="0"/>
    <x v="0"/>
    <s v="Small"/>
    <n v="11"/>
    <n v="25"/>
    <n v="69.28"/>
    <n v="60"/>
    <n v="1732"/>
    <n v="232"/>
    <x v="44"/>
    <x v="0"/>
    <n v="3"/>
    <n v="7"/>
    <n v="2004"/>
    <x v="2"/>
  </r>
  <r>
    <n v="10305"/>
    <s v="S18_2432"/>
    <x v="87"/>
    <x v="36"/>
    <x v="0"/>
    <x v="0"/>
    <s v="Small"/>
    <n v="11"/>
    <n v="41"/>
    <n v="53.48"/>
    <n v="60"/>
    <n v="2192.6799999999998"/>
    <n v="-267.32"/>
    <x v="196"/>
    <x v="0"/>
    <n v="4"/>
    <n v="10"/>
    <n v="2004"/>
    <x v="2"/>
  </r>
  <r>
    <n v="10322"/>
    <s v="S18_2432"/>
    <x v="8"/>
    <x v="7"/>
    <x v="0"/>
    <x v="0"/>
    <s v="Small"/>
    <n v="11"/>
    <n v="35"/>
    <n v="61.21"/>
    <n v="60"/>
    <n v="2142.35"/>
    <n v="42.35"/>
    <x v="8"/>
    <x v="0"/>
    <n v="4"/>
    <n v="11"/>
    <n v="2004"/>
    <x v="2"/>
  </r>
  <r>
    <n v="10412"/>
    <s v="S18_2432"/>
    <x v="26"/>
    <x v="21"/>
    <x v="8"/>
    <x v="1"/>
    <s v="Small"/>
    <n v="11"/>
    <n v="47"/>
    <n v="61.99"/>
    <n v="60"/>
    <n v="2913.53"/>
    <n v="93.53"/>
    <x v="197"/>
    <x v="0"/>
    <n v="2"/>
    <n v="5"/>
    <n v="2005"/>
    <x v="2"/>
  </r>
  <r>
    <n v="10312"/>
    <s v="S18_2795"/>
    <x v="43"/>
    <x v="34"/>
    <x v="0"/>
    <x v="0"/>
    <s v="Medium"/>
    <n v="11"/>
    <n v="25"/>
    <n v="100"/>
    <n v="168"/>
    <n v="3881.25"/>
    <n v="-318.75"/>
    <x v="140"/>
    <x v="0"/>
    <n v="4"/>
    <n v="10"/>
    <n v="2004"/>
    <x v="3"/>
  </r>
  <r>
    <n v="10150"/>
    <s v="S18_2957"/>
    <x v="17"/>
    <x v="15"/>
    <x v="7"/>
    <x v="2"/>
    <s v="Small"/>
    <n v="11"/>
    <n v="30"/>
    <n v="49.97"/>
    <n v="62"/>
    <n v="1499.1"/>
    <n v="-360.9"/>
    <x v="18"/>
    <x v="0"/>
    <n v="3"/>
    <n v="9"/>
    <n v="2003"/>
    <x v="3"/>
  </r>
  <r>
    <n v="10183"/>
    <s v="S18_2957"/>
    <x v="18"/>
    <x v="8"/>
    <x v="0"/>
    <x v="0"/>
    <s v="Small"/>
    <n v="11"/>
    <n v="39"/>
    <n v="68.08"/>
    <n v="62"/>
    <n v="2655.12"/>
    <n v="237.12"/>
    <x v="19"/>
    <x v="0"/>
    <n v="4"/>
    <n v="11"/>
    <n v="2003"/>
    <x v="3"/>
  </r>
  <r>
    <n v="10155"/>
    <s v="S18_3029"/>
    <x v="44"/>
    <x v="35"/>
    <x v="14"/>
    <x v="1"/>
    <s v="Medium"/>
    <n v="11"/>
    <n v="44"/>
    <n v="79.14"/>
    <n v="86"/>
    <n v="3482.16"/>
    <n v="-301.83999999999997"/>
    <x v="75"/>
    <x v="0"/>
    <n v="4"/>
    <n v="10"/>
    <n v="2003"/>
    <x v="5"/>
  </r>
  <r>
    <n v="10270"/>
    <s v="S18_3136"/>
    <x v="64"/>
    <x v="51"/>
    <x v="2"/>
    <x v="2"/>
    <s v="Medium"/>
    <n v="11"/>
    <n v="38"/>
    <n v="100"/>
    <n v="104"/>
    <n v="4775.08"/>
    <n v="823.08"/>
    <x v="206"/>
    <x v="0"/>
    <n v="3"/>
    <n v="7"/>
    <n v="2004"/>
    <x v="3"/>
  </r>
  <r>
    <n v="10347"/>
    <s v="S18_3136"/>
    <x v="2"/>
    <x v="2"/>
    <x v="2"/>
    <x v="2"/>
    <s v="Medium"/>
    <n v="11"/>
    <n v="45"/>
    <n v="100"/>
    <n v="104"/>
    <n v="4948.2"/>
    <n v="268.2"/>
    <x v="9"/>
    <x v="0"/>
    <n v="4"/>
    <n v="11"/>
    <n v="2004"/>
    <x v="3"/>
  </r>
  <r>
    <n v="10105"/>
    <s v="S18_3140"/>
    <x v="30"/>
    <x v="24"/>
    <x v="10"/>
    <x v="1"/>
    <s v="Medium"/>
    <n v="11"/>
    <n v="22"/>
    <n v="100"/>
    <n v="136"/>
    <n v="3065.04"/>
    <n v="73.040000000000006"/>
    <x v="187"/>
    <x v="0"/>
    <n v="1"/>
    <n v="2"/>
    <n v="2003"/>
    <x v="3"/>
  </r>
  <r>
    <n v="10207"/>
    <s v="S18_3232"/>
    <x v="77"/>
    <x v="14"/>
    <x v="0"/>
    <x v="0"/>
    <s v="Medium"/>
    <n v="11"/>
    <n v="25"/>
    <n v="100"/>
    <n v="169"/>
    <n v="3937.25"/>
    <n v="-287.75"/>
    <x v="131"/>
    <x v="0"/>
    <n v="4"/>
    <n v="12"/>
    <n v="2003"/>
    <x v="1"/>
  </r>
  <r>
    <n v="10212"/>
    <s v="S18_3232"/>
    <x v="26"/>
    <x v="21"/>
    <x v="8"/>
    <x v="1"/>
    <s v="Medium"/>
    <n v="11"/>
    <n v="40"/>
    <n v="100"/>
    <n v="169"/>
    <n v="5554.4"/>
    <n v="-1205.5999999999999"/>
    <x v="173"/>
    <x v="0"/>
    <n v="1"/>
    <n v="1"/>
    <n v="2004"/>
    <x v="1"/>
  </r>
  <r>
    <n v="10321"/>
    <s v="S18_3232"/>
    <x v="78"/>
    <x v="40"/>
    <x v="0"/>
    <x v="0"/>
    <s v="Medium"/>
    <n v="11"/>
    <n v="33"/>
    <n v="100"/>
    <n v="169"/>
    <n v="5700.09"/>
    <n v="123.09"/>
    <x v="8"/>
    <x v="0"/>
    <n v="4"/>
    <n v="11"/>
    <n v="2004"/>
    <x v="1"/>
  </r>
  <r>
    <n v="10331"/>
    <s v="S18_3232"/>
    <x v="9"/>
    <x v="8"/>
    <x v="0"/>
    <x v="0"/>
    <s v="Medium"/>
    <n v="11"/>
    <n v="27"/>
    <n v="100"/>
    <n v="169"/>
    <n v="4170.6899999999996"/>
    <n v="-392.31"/>
    <x v="95"/>
    <x v="0"/>
    <n v="4"/>
    <n v="11"/>
    <n v="2004"/>
    <x v="1"/>
  </r>
  <r>
    <n v="10177"/>
    <s v="S18_3259"/>
    <x v="37"/>
    <x v="21"/>
    <x v="8"/>
    <x v="1"/>
    <s v="Medium"/>
    <n v="11"/>
    <n v="29"/>
    <n v="100"/>
    <n v="100"/>
    <n v="3070.52"/>
    <n v="170.52"/>
    <x v="236"/>
    <x v="0"/>
    <n v="4"/>
    <n v="11"/>
    <n v="2003"/>
    <x v="6"/>
  </r>
  <r>
    <n v="10185"/>
    <s v="S18_3259"/>
    <x v="49"/>
    <x v="40"/>
    <x v="0"/>
    <x v="0"/>
    <s v="Medium"/>
    <n v="11"/>
    <n v="49"/>
    <n v="80.67"/>
    <n v="100"/>
    <n v="3952.83"/>
    <n v="-947.17"/>
    <x v="69"/>
    <x v="0"/>
    <n v="4"/>
    <n v="11"/>
    <n v="2003"/>
    <x v="6"/>
  </r>
  <r>
    <n v="10208"/>
    <s v="S18_3259"/>
    <x v="73"/>
    <x v="59"/>
    <x v="3"/>
    <x v="1"/>
    <s v="Medium"/>
    <n v="11"/>
    <n v="48"/>
    <n v="100"/>
    <n v="100"/>
    <n v="5614.56"/>
    <n v="814.56"/>
    <x v="237"/>
    <x v="0"/>
    <n v="1"/>
    <n v="1"/>
    <n v="2004"/>
    <x v="6"/>
  </r>
  <r>
    <n v="10306"/>
    <s v="S18_3259"/>
    <x v="62"/>
    <x v="50"/>
    <x v="15"/>
    <x v="1"/>
    <s v="Medium"/>
    <n v="11"/>
    <n v="40"/>
    <n v="91.76"/>
    <n v="100"/>
    <n v="3670.4"/>
    <n v="-329.6"/>
    <x v="71"/>
    <x v="0"/>
    <n v="4"/>
    <n v="10"/>
    <n v="2004"/>
    <x v="6"/>
  </r>
  <r>
    <n v="10203"/>
    <s v="S18_3278"/>
    <x v="26"/>
    <x v="21"/>
    <x v="8"/>
    <x v="1"/>
    <s v="Small"/>
    <n v="11"/>
    <n v="33"/>
    <n v="86.04"/>
    <n v="80"/>
    <n v="2839.32"/>
    <n v="199.32"/>
    <x v="86"/>
    <x v="0"/>
    <n v="4"/>
    <n v="12"/>
    <n v="2003"/>
    <x v="1"/>
  </r>
  <r>
    <n v="10206"/>
    <s v="S18_3320"/>
    <x v="90"/>
    <x v="71"/>
    <x v="6"/>
    <x v="0"/>
    <s v="Small"/>
    <n v="11"/>
    <n v="28"/>
    <n v="87.3"/>
    <n v="99"/>
    <n v="2444.4"/>
    <n v="-327.60000000000002"/>
    <x v="240"/>
    <x v="0"/>
    <n v="4"/>
    <n v="12"/>
    <n v="2003"/>
    <x v="3"/>
  </r>
  <r>
    <n v="10304"/>
    <s v="S18_3320"/>
    <x v="20"/>
    <x v="16"/>
    <x v="3"/>
    <x v="1"/>
    <s v="Medium"/>
    <n v="11"/>
    <n v="38"/>
    <n v="100"/>
    <n v="99"/>
    <n v="3958.46"/>
    <n v="196.46"/>
    <x v="241"/>
    <x v="0"/>
    <n v="4"/>
    <n v="10"/>
    <n v="2004"/>
    <x v="3"/>
  </r>
  <r>
    <n v="10225"/>
    <s v="S18_3482"/>
    <x v="48"/>
    <x v="39"/>
    <x v="16"/>
    <x v="1"/>
    <s v="Medium"/>
    <n v="11"/>
    <n v="27"/>
    <n v="100"/>
    <n v="146"/>
    <n v="4564.08"/>
    <n v="622.08000000000004"/>
    <x v="56"/>
    <x v="0"/>
    <n v="1"/>
    <n v="2"/>
    <n v="2004"/>
    <x v="1"/>
  </r>
  <r>
    <n v="10363"/>
    <s v="S18_3482"/>
    <x v="38"/>
    <x v="30"/>
    <x v="14"/>
    <x v="1"/>
    <s v="Medium"/>
    <n v="11"/>
    <n v="24"/>
    <n v="100"/>
    <n v="146"/>
    <n v="4142.6400000000003"/>
    <n v="638.64"/>
    <x v="190"/>
    <x v="0"/>
    <n v="1"/>
    <n v="1"/>
    <n v="2005"/>
    <x v="1"/>
  </r>
  <r>
    <n v="10148"/>
    <s v="S18_3685"/>
    <x v="47"/>
    <x v="38"/>
    <x v="2"/>
    <x v="2"/>
    <s v="Medium"/>
    <n v="11"/>
    <n v="28"/>
    <n v="100"/>
    <n v="141"/>
    <n v="3639.44"/>
    <n v="-308.56"/>
    <x v="134"/>
    <x v="0"/>
    <n v="3"/>
    <n v="9"/>
    <n v="2003"/>
    <x v="1"/>
  </r>
  <r>
    <n v="10311"/>
    <s v="S18_3685"/>
    <x v="26"/>
    <x v="21"/>
    <x v="8"/>
    <x v="1"/>
    <s v="Medium"/>
    <n v="11"/>
    <n v="32"/>
    <n v="100"/>
    <n v="141"/>
    <n v="3616.64"/>
    <n v="-895.36"/>
    <x v="81"/>
    <x v="0"/>
    <n v="4"/>
    <n v="10"/>
    <n v="2004"/>
    <x v="1"/>
  </r>
  <r>
    <n v="10182"/>
    <s v="S18_4409"/>
    <x v="43"/>
    <x v="34"/>
    <x v="0"/>
    <x v="0"/>
    <s v="Medium"/>
    <n v="11"/>
    <n v="36"/>
    <n v="100"/>
    <n v="92"/>
    <n v="3942.72"/>
    <n v="630.72"/>
    <x v="117"/>
    <x v="0"/>
    <n v="4"/>
    <n v="11"/>
    <n v="2003"/>
    <x v="3"/>
  </r>
  <r>
    <n v="10227"/>
    <s v="S18_4409"/>
    <x v="73"/>
    <x v="59"/>
    <x v="3"/>
    <x v="1"/>
    <s v="Medium"/>
    <n v="11"/>
    <n v="34"/>
    <n v="100"/>
    <n v="92"/>
    <n v="3566.94"/>
    <n v="438.94"/>
    <x v="118"/>
    <x v="0"/>
    <n v="1"/>
    <n v="3"/>
    <n v="2004"/>
    <x v="3"/>
  </r>
  <r>
    <n v="10248"/>
    <s v="S18_4522"/>
    <x v="5"/>
    <x v="5"/>
    <x v="0"/>
    <x v="0"/>
    <s v="Medium"/>
    <n v="11"/>
    <n v="42"/>
    <n v="75.48"/>
    <n v="87"/>
    <n v="3170.16"/>
    <n v="-483.84"/>
    <x v="105"/>
    <x v="3"/>
    <n v="2"/>
    <n v="5"/>
    <n v="2004"/>
    <x v="3"/>
  </r>
  <r>
    <n v="10414"/>
    <s v="S18_4522"/>
    <x v="16"/>
    <x v="14"/>
    <x v="0"/>
    <x v="0"/>
    <s v="Small"/>
    <n v="11"/>
    <n v="16"/>
    <n v="75.48"/>
    <n v="87"/>
    <n v="1207.68"/>
    <n v="-184.32"/>
    <x v="106"/>
    <x v="5"/>
    <n v="2"/>
    <n v="5"/>
    <n v="2005"/>
    <x v="3"/>
  </r>
  <r>
    <n v="10108"/>
    <s v="S18_4721"/>
    <x v="85"/>
    <x v="67"/>
    <x v="18"/>
    <x v="2"/>
    <s v="Medium"/>
    <n v="11"/>
    <n v="44"/>
    <n v="100"/>
    <n v="148"/>
    <n v="5565.12"/>
    <n v="-946.88"/>
    <x v="189"/>
    <x v="0"/>
    <n v="1"/>
    <n v="3"/>
    <n v="2003"/>
    <x v="1"/>
  </r>
  <r>
    <n v="10342"/>
    <s v="S18_4721"/>
    <x v="2"/>
    <x v="2"/>
    <x v="2"/>
    <x v="2"/>
    <s v="Medium"/>
    <n v="11"/>
    <n v="38"/>
    <n v="100"/>
    <n v="148"/>
    <n v="6276.46"/>
    <n v="652.46"/>
    <x v="38"/>
    <x v="0"/>
    <n v="4"/>
    <n v="11"/>
    <n v="2004"/>
    <x v="1"/>
  </r>
  <r>
    <n v="10288"/>
    <s v="S24_1046"/>
    <x v="81"/>
    <x v="15"/>
    <x v="7"/>
    <x v="2"/>
    <s v="Small"/>
    <n v="11"/>
    <n v="36"/>
    <n v="66.14"/>
    <n v="73"/>
    <n v="2381.04"/>
    <n v="-246.96"/>
    <x v="158"/>
    <x v="0"/>
    <n v="3"/>
    <n v="9"/>
    <n v="2004"/>
    <x v="1"/>
  </r>
  <r>
    <n v="10420"/>
    <s v="S24_1046"/>
    <x v="64"/>
    <x v="51"/>
    <x v="2"/>
    <x v="2"/>
    <s v="Medium"/>
    <n v="11"/>
    <n v="60"/>
    <n v="64.67"/>
    <n v="73"/>
    <n v="3880.2"/>
    <n v="-499.8"/>
    <x v="97"/>
    <x v="2"/>
    <n v="2"/>
    <n v="5"/>
    <n v="2005"/>
    <x v="1"/>
  </r>
  <r>
    <n v="10282"/>
    <s v="S24_1444"/>
    <x v="43"/>
    <x v="34"/>
    <x v="0"/>
    <x v="0"/>
    <s v="Small"/>
    <n v="11"/>
    <n v="29"/>
    <n v="46.82"/>
    <n v="57"/>
    <n v="1357.78"/>
    <n v="-295.22000000000003"/>
    <x v="109"/>
    <x v="0"/>
    <n v="3"/>
    <n v="8"/>
    <n v="2004"/>
    <x v="1"/>
  </r>
  <r>
    <n v="10314"/>
    <s v="S24_1444"/>
    <x v="69"/>
    <x v="56"/>
    <x v="10"/>
    <x v="1"/>
    <s v="Small"/>
    <n v="11"/>
    <n v="44"/>
    <n v="53.18"/>
    <n v="57"/>
    <n v="2339.92"/>
    <n v="-168.08"/>
    <x v="110"/>
    <x v="0"/>
    <n v="4"/>
    <n v="10"/>
    <n v="2004"/>
    <x v="1"/>
  </r>
  <r>
    <n v="10367"/>
    <s v="S24_1628"/>
    <x v="22"/>
    <x v="18"/>
    <x v="0"/>
    <x v="0"/>
    <s v="Small"/>
    <n v="11"/>
    <n v="38"/>
    <n v="38.5"/>
    <n v="50"/>
    <n v="1463"/>
    <n v="-437"/>
    <x v="66"/>
    <x v="4"/>
    <n v="1"/>
    <n v="1"/>
    <n v="2005"/>
    <x v="1"/>
  </r>
  <r>
    <n v="10168"/>
    <s v="S24_1785"/>
    <x v="0"/>
    <x v="0"/>
    <x v="0"/>
    <x v="0"/>
    <s v="Medium"/>
    <n v="11"/>
    <n v="49"/>
    <n v="100"/>
    <n v="109"/>
    <n v="6433.7"/>
    <n v="1092.7"/>
    <x v="0"/>
    <x v="0"/>
    <n v="4"/>
    <n v="10"/>
    <n v="2003"/>
    <x v="4"/>
  </r>
  <r>
    <n v="10223"/>
    <s v="S24_1785"/>
    <x v="2"/>
    <x v="2"/>
    <x v="2"/>
    <x v="2"/>
    <s v="Medium"/>
    <n v="11"/>
    <n v="34"/>
    <n v="100"/>
    <n v="109"/>
    <n v="3608.76"/>
    <n v="-97.24"/>
    <x v="2"/>
    <x v="0"/>
    <n v="1"/>
    <n v="2"/>
    <n v="2004"/>
    <x v="4"/>
  </r>
  <r>
    <n v="10275"/>
    <s v="S24_1785"/>
    <x v="3"/>
    <x v="3"/>
    <x v="3"/>
    <x v="1"/>
    <s v="Small"/>
    <n v="11"/>
    <n v="25"/>
    <n v="95.2"/>
    <n v="109"/>
    <n v="2380"/>
    <n v="-345"/>
    <x v="3"/>
    <x v="0"/>
    <n v="3"/>
    <n v="7"/>
    <n v="2004"/>
    <x v="4"/>
  </r>
  <r>
    <n v="10386"/>
    <s v="S24_1785"/>
    <x v="26"/>
    <x v="21"/>
    <x v="8"/>
    <x v="1"/>
    <s v="Small"/>
    <n v="11"/>
    <n v="33"/>
    <n v="41.71"/>
    <n v="109"/>
    <n v="1376.43"/>
    <n v="-2220.5700000000002"/>
    <x v="178"/>
    <x v="4"/>
    <n v="1"/>
    <n v="3"/>
    <n v="2005"/>
    <x v="4"/>
  </r>
  <r>
    <n v="10145"/>
    <s v="S24_2000"/>
    <x v="22"/>
    <x v="18"/>
    <x v="0"/>
    <x v="0"/>
    <s v="Medium"/>
    <n v="11"/>
    <n v="47"/>
    <n v="83.03"/>
    <n v="76"/>
    <n v="3902.41"/>
    <n v="330.41"/>
    <x v="213"/>
    <x v="0"/>
    <n v="3"/>
    <n v="8"/>
    <n v="2003"/>
    <x v="0"/>
  </r>
  <r>
    <n v="10285"/>
    <s v="S24_2000"/>
    <x v="87"/>
    <x v="36"/>
    <x v="0"/>
    <x v="0"/>
    <s v="Small"/>
    <n v="11"/>
    <n v="39"/>
    <n v="70.08"/>
    <n v="76"/>
    <n v="2733.12"/>
    <n v="-230.88"/>
    <x v="215"/>
    <x v="0"/>
    <n v="3"/>
    <n v="8"/>
    <n v="2004"/>
    <x v="0"/>
  </r>
  <r>
    <n v="10273"/>
    <s v="S24_2011"/>
    <x v="66"/>
    <x v="53"/>
    <x v="17"/>
    <x v="1"/>
    <s v="Small"/>
    <n v="11"/>
    <n v="22"/>
    <n v="100"/>
    <n v="122"/>
    <n v="2784.76"/>
    <n v="100.76"/>
    <x v="70"/>
    <x v="0"/>
    <n v="3"/>
    <n v="7"/>
    <n v="2004"/>
    <x v="5"/>
  </r>
  <r>
    <n v="10280"/>
    <s v="S24_2022"/>
    <x v="46"/>
    <x v="37"/>
    <x v="12"/>
    <x v="1"/>
    <s v="Small"/>
    <n v="11"/>
    <n v="45"/>
    <n v="47.49"/>
    <n v="44"/>
    <n v="2137.0500000000002"/>
    <n v="157.05000000000001"/>
    <x v="53"/>
    <x v="0"/>
    <n v="3"/>
    <n v="8"/>
    <n v="2004"/>
    <x v="3"/>
  </r>
  <r>
    <n v="10184"/>
    <s v="S24_2300"/>
    <x v="86"/>
    <x v="68"/>
    <x v="8"/>
    <x v="1"/>
    <s v="Medium"/>
    <n v="11"/>
    <n v="24"/>
    <n v="100"/>
    <n v="127"/>
    <n v="3496.32"/>
    <n v="448.32"/>
    <x v="69"/>
    <x v="0"/>
    <n v="4"/>
    <n v="11"/>
    <n v="2003"/>
    <x v="2"/>
  </r>
  <r>
    <n v="10159"/>
    <s v="S24_2360"/>
    <x v="21"/>
    <x v="17"/>
    <x v="0"/>
    <x v="0"/>
    <s v="Small"/>
    <n v="11"/>
    <n v="27"/>
    <n v="80.34"/>
    <n v="69"/>
    <n v="2169.1799999999998"/>
    <n v="306.18"/>
    <x v="160"/>
    <x v="0"/>
    <n v="4"/>
    <n v="10"/>
    <n v="2003"/>
    <x v="0"/>
  </r>
  <r>
    <n v="10169"/>
    <s v="S24_2360"/>
    <x v="47"/>
    <x v="38"/>
    <x v="2"/>
    <x v="2"/>
    <s v="Small"/>
    <n v="11"/>
    <n v="38"/>
    <n v="74.11"/>
    <n v="69"/>
    <n v="2816.18"/>
    <n v="194.18"/>
    <x v="185"/>
    <x v="0"/>
    <n v="4"/>
    <n v="11"/>
    <n v="2003"/>
    <x v="0"/>
  </r>
  <r>
    <n v="10211"/>
    <s v="S24_2360"/>
    <x v="11"/>
    <x v="9"/>
    <x v="3"/>
    <x v="1"/>
    <s v="Small"/>
    <n v="11"/>
    <n v="21"/>
    <n v="63.72"/>
    <n v="69"/>
    <n v="1338.12"/>
    <n v="-110.88"/>
    <x v="186"/>
    <x v="0"/>
    <n v="1"/>
    <n v="1"/>
    <n v="2004"/>
    <x v="0"/>
  </r>
  <r>
    <n v="10110"/>
    <s v="S24_2766"/>
    <x v="62"/>
    <x v="50"/>
    <x v="15"/>
    <x v="1"/>
    <s v="Medium"/>
    <n v="11"/>
    <n v="43"/>
    <n v="78.150000000000006"/>
    <n v="90"/>
    <n v="3360.45"/>
    <n v="-509.55"/>
    <x v="92"/>
    <x v="0"/>
    <n v="1"/>
    <n v="3"/>
    <n v="2003"/>
    <x v="1"/>
  </r>
  <r>
    <n v="10332"/>
    <s v="S24_2887"/>
    <x v="62"/>
    <x v="50"/>
    <x v="15"/>
    <x v="1"/>
    <s v="Small"/>
    <n v="11"/>
    <n v="44"/>
    <n v="42.26"/>
    <n v="117"/>
    <n v="1859.44"/>
    <n v="-3288.56"/>
    <x v="95"/>
    <x v="0"/>
    <n v="4"/>
    <n v="11"/>
    <n v="2004"/>
    <x v="1"/>
  </r>
  <r>
    <n v="10167"/>
    <s v="S24_3151"/>
    <x v="51"/>
    <x v="42"/>
    <x v="4"/>
    <x v="1"/>
    <s v="Small"/>
    <n v="11"/>
    <n v="20"/>
    <n v="79.66"/>
    <n v="88"/>
    <n v="1593.2"/>
    <n v="-166.8"/>
    <x v="68"/>
    <x v="3"/>
    <n v="4"/>
    <n v="10"/>
    <n v="2003"/>
    <x v="3"/>
  </r>
  <r>
    <n v="10124"/>
    <s v="S24_3191"/>
    <x v="83"/>
    <x v="65"/>
    <x v="0"/>
    <x v="0"/>
    <s v="Medium"/>
    <n v="11"/>
    <n v="49"/>
    <n v="83.04"/>
    <n v="85"/>
    <n v="4068.96"/>
    <n v="-96.04"/>
    <x v="58"/>
    <x v="0"/>
    <n v="2"/>
    <n v="5"/>
    <n v="2003"/>
    <x v="1"/>
  </r>
  <r>
    <n v="10287"/>
    <s v="S24_3371"/>
    <x v="48"/>
    <x v="39"/>
    <x v="16"/>
    <x v="1"/>
    <s v="Small"/>
    <n v="11"/>
    <n v="20"/>
    <n v="67.97"/>
    <n v="61"/>
    <n v="1359.4"/>
    <n v="139.4"/>
    <x v="99"/>
    <x v="0"/>
    <n v="3"/>
    <n v="8"/>
    <n v="2004"/>
    <x v="1"/>
  </r>
  <r>
    <n v="10262"/>
    <s v="S24_3420"/>
    <x v="26"/>
    <x v="21"/>
    <x v="8"/>
    <x v="1"/>
    <s v="Medium"/>
    <n v="11"/>
    <n v="46"/>
    <n v="70.349999999999994"/>
    <n v="65"/>
    <n v="3236.1"/>
    <n v="246.1"/>
    <x v="155"/>
    <x v="3"/>
    <n v="2"/>
    <n v="6"/>
    <n v="2004"/>
    <x v="3"/>
  </r>
  <r>
    <n v="10316"/>
    <s v="S24_3420"/>
    <x v="84"/>
    <x v="66"/>
    <x v="15"/>
    <x v="1"/>
    <s v="Medium"/>
    <n v="11"/>
    <n v="47"/>
    <n v="76.930000000000007"/>
    <n v="65"/>
    <n v="3615.71"/>
    <n v="560.71"/>
    <x v="156"/>
    <x v="0"/>
    <n v="4"/>
    <n v="11"/>
    <n v="2004"/>
    <x v="3"/>
  </r>
  <r>
    <n v="10373"/>
    <s v="S24_3420"/>
    <x v="71"/>
    <x v="58"/>
    <x v="14"/>
    <x v="1"/>
    <s v="Medium"/>
    <n v="11"/>
    <n v="46"/>
    <n v="66"/>
    <n v="65"/>
    <n v="3036"/>
    <n v="46"/>
    <x v="250"/>
    <x v="0"/>
    <n v="1"/>
    <n v="1"/>
    <n v="2005"/>
    <x v="3"/>
  </r>
  <r>
    <n v="10204"/>
    <s v="S24_3432"/>
    <x v="34"/>
    <x v="5"/>
    <x v="0"/>
    <x v="0"/>
    <s v="Medium"/>
    <n v="11"/>
    <n v="48"/>
    <n v="91.02"/>
    <n v="107"/>
    <n v="4368.96"/>
    <n v="-767.04"/>
    <x v="86"/>
    <x v="0"/>
    <n v="4"/>
    <n v="12"/>
    <n v="2003"/>
    <x v="1"/>
  </r>
  <r>
    <n v="10380"/>
    <s v="S24_3432"/>
    <x v="26"/>
    <x v="21"/>
    <x v="8"/>
    <x v="1"/>
    <s v="Medium"/>
    <n v="11"/>
    <n v="34"/>
    <n v="100"/>
    <n v="107"/>
    <n v="3953.18"/>
    <n v="315.18"/>
    <x v="136"/>
    <x v="0"/>
    <n v="1"/>
    <n v="2"/>
    <n v="2005"/>
    <x v="1"/>
  </r>
  <r>
    <n v="10178"/>
    <s v="S24_3816"/>
    <x v="57"/>
    <x v="46"/>
    <x v="3"/>
    <x v="1"/>
    <s v="Small"/>
    <n v="11"/>
    <n v="21"/>
    <n v="72.12"/>
    <n v="83"/>
    <n v="1514.52"/>
    <n v="-228.48"/>
    <x v="231"/>
    <x v="0"/>
    <n v="4"/>
    <n v="11"/>
    <n v="2003"/>
    <x v="3"/>
  </r>
  <r>
    <n v="10222"/>
    <s v="S24_3816"/>
    <x v="80"/>
    <x v="63"/>
    <x v="0"/>
    <x v="0"/>
    <s v="Medium"/>
    <n v="11"/>
    <n v="46"/>
    <n v="80.510000000000005"/>
    <n v="83"/>
    <n v="3703.46"/>
    <n v="-114.54"/>
    <x v="233"/>
    <x v="0"/>
    <n v="1"/>
    <n v="2"/>
    <n v="2004"/>
    <x v="3"/>
  </r>
  <r>
    <n v="10301"/>
    <s v="S24_3856"/>
    <x v="60"/>
    <x v="49"/>
    <x v="1"/>
    <x v="1"/>
    <s v="Large"/>
    <n v="11"/>
    <n v="50"/>
    <n v="100"/>
    <n v="140"/>
    <n v="7723.5"/>
    <n v="723.5"/>
    <x v="146"/>
    <x v="0"/>
    <n v="4"/>
    <n v="10"/>
    <n v="2003"/>
    <x v="1"/>
  </r>
  <r>
    <n v="10106"/>
    <s v="S24_3949"/>
    <x v="67"/>
    <x v="54"/>
    <x v="12"/>
    <x v="1"/>
    <s v="Medium"/>
    <n v="11"/>
    <n v="50"/>
    <n v="64.83"/>
    <n v="68"/>
    <n v="3241.5"/>
    <n v="-158.5"/>
    <x v="242"/>
    <x v="0"/>
    <n v="1"/>
    <n v="2"/>
    <n v="2003"/>
    <x v="4"/>
  </r>
  <r>
    <n v="10339"/>
    <s v="S24_3949"/>
    <x v="41"/>
    <x v="32"/>
    <x v="5"/>
    <x v="2"/>
    <s v="Medium"/>
    <n v="11"/>
    <n v="45"/>
    <n v="96.92"/>
    <n v="68"/>
    <n v="4361.3999999999996"/>
    <n v="1301.4000000000001"/>
    <x v="90"/>
    <x v="0"/>
    <n v="4"/>
    <n v="11"/>
    <n v="2004"/>
    <x v="4"/>
  </r>
  <r>
    <n v="10173"/>
    <s v="S24_3969"/>
    <x v="67"/>
    <x v="54"/>
    <x v="12"/>
    <x v="1"/>
    <s v="Small"/>
    <n v="11"/>
    <n v="35"/>
    <n v="33.229999999999997"/>
    <n v="41"/>
    <n v="1163.05"/>
    <n v="-271.95"/>
    <x v="80"/>
    <x v="0"/>
    <n v="4"/>
    <n v="11"/>
    <n v="2003"/>
    <x v="3"/>
  </r>
  <r>
    <n v="10263"/>
    <s v="S24_4278"/>
    <x v="25"/>
    <x v="20"/>
    <x v="0"/>
    <x v="0"/>
    <s v="Small"/>
    <n v="11"/>
    <n v="24"/>
    <n v="75.349999999999994"/>
    <n v="72"/>
    <n v="1808.4"/>
    <n v="80.400000000000006"/>
    <x v="28"/>
    <x v="0"/>
    <n v="2"/>
    <n v="6"/>
    <n v="2004"/>
    <x v="4"/>
  </r>
  <r>
    <n v="10135"/>
    <s v="S24_4620"/>
    <x v="43"/>
    <x v="34"/>
    <x v="0"/>
    <x v="0"/>
    <s v="Small"/>
    <n v="11"/>
    <n v="23"/>
    <n v="87.31"/>
    <n v="80"/>
    <n v="2008.13"/>
    <n v="168.13"/>
    <x v="180"/>
    <x v="0"/>
    <n v="3"/>
    <n v="7"/>
    <n v="2003"/>
    <x v="1"/>
  </r>
  <r>
    <n v="10147"/>
    <s v="S24_4620"/>
    <x v="53"/>
    <x v="25"/>
    <x v="0"/>
    <x v="0"/>
    <s v="Small"/>
    <n v="11"/>
    <n v="31"/>
    <n v="64.67"/>
    <n v="80"/>
    <n v="2004.77"/>
    <n v="-475.23"/>
    <x v="181"/>
    <x v="0"/>
    <n v="3"/>
    <n v="9"/>
    <n v="2003"/>
    <x v="1"/>
  </r>
  <r>
    <n v="10259"/>
    <s v="S32_1268"/>
    <x v="81"/>
    <x v="15"/>
    <x v="7"/>
    <x v="2"/>
    <s v="Medium"/>
    <n v="11"/>
    <n v="45"/>
    <n v="86.68"/>
    <n v="96"/>
    <n v="3900.6"/>
    <n v="-419.4"/>
    <x v="147"/>
    <x v="0"/>
    <n v="2"/>
    <n v="6"/>
    <n v="2004"/>
    <x v="2"/>
  </r>
  <r>
    <n v="10324"/>
    <s v="S32_1268"/>
    <x v="28"/>
    <x v="5"/>
    <x v="0"/>
    <x v="0"/>
    <s v="Small"/>
    <n v="11"/>
    <n v="20"/>
    <n v="98.18"/>
    <n v="96"/>
    <n v="1963.6"/>
    <n v="43.6"/>
    <x v="33"/>
    <x v="0"/>
    <n v="4"/>
    <n v="11"/>
    <n v="2004"/>
    <x v="2"/>
  </r>
  <r>
    <n v="10425"/>
    <s v="S32_1268"/>
    <x v="3"/>
    <x v="3"/>
    <x v="3"/>
    <x v="1"/>
    <s v="Medium"/>
    <n v="11"/>
    <n v="41"/>
    <n v="86.68"/>
    <n v="96"/>
    <n v="3553.88"/>
    <n v="-382.12"/>
    <x v="148"/>
    <x v="2"/>
    <n v="2"/>
    <n v="5"/>
    <n v="2005"/>
    <x v="2"/>
  </r>
  <r>
    <n v="10329"/>
    <s v="S32_1374"/>
    <x v="5"/>
    <x v="5"/>
    <x v="0"/>
    <x v="0"/>
    <s v="Small"/>
    <n v="11"/>
    <n v="45"/>
    <n v="63.91"/>
    <n v="99"/>
    <n v="2875.95"/>
    <n v="-1579.05"/>
    <x v="5"/>
    <x v="0"/>
    <n v="4"/>
    <n v="11"/>
    <n v="2004"/>
    <x v="0"/>
  </r>
  <r>
    <n v="10390"/>
    <s v="S32_2206"/>
    <x v="43"/>
    <x v="34"/>
    <x v="0"/>
    <x v="0"/>
    <s v="Small"/>
    <n v="11"/>
    <n v="41"/>
    <n v="44.56"/>
    <n v="40"/>
    <n v="1826.96"/>
    <n v="186.96"/>
    <x v="122"/>
    <x v="0"/>
    <n v="1"/>
    <n v="3"/>
    <n v="2005"/>
    <x v="0"/>
  </r>
  <r>
    <n v="10104"/>
    <s v="S32_2509"/>
    <x v="26"/>
    <x v="21"/>
    <x v="8"/>
    <x v="1"/>
    <s v="Small"/>
    <n v="11"/>
    <n v="35"/>
    <n v="47.62"/>
    <n v="54"/>
    <n v="1666.7"/>
    <n v="-223.3"/>
    <x v="31"/>
    <x v="0"/>
    <n v="1"/>
    <n v="1"/>
    <n v="2003"/>
    <x v="2"/>
  </r>
  <r>
    <n v="10371"/>
    <s v="S32_3207"/>
    <x v="43"/>
    <x v="34"/>
    <x v="0"/>
    <x v="0"/>
    <s v="Small"/>
    <n v="11"/>
    <n v="30"/>
    <n v="99.55"/>
    <n v="62"/>
    <n v="2986.5"/>
    <n v="1126.5"/>
    <x v="207"/>
    <x v="0"/>
    <n v="1"/>
    <n v="1"/>
    <n v="2005"/>
    <x v="6"/>
  </r>
  <r>
    <n v="10120"/>
    <s v="S32_4289"/>
    <x v="2"/>
    <x v="2"/>
    <x v="2"/>
    <x v="2"/>
    <s v="Small"/>
    <n v="11"/>
    <n v="29"/>
    <n v="72.23"/>
    <n v="68"/>
    <n v="2094.67"/>
    <n v="122.67"/>
    <x v="149"/>
    <x v="0"/>
    <n v="2"/>
    <n v="4"/>
    <n v="2003"/>
    <x v="3"/>
  </r>
  <r>
    <n v="10210"/>
    <s v="S50_1341"/>
    <x v="12"/>
    <x v="10"/>
    <x v="5"/>
    <x v="2"/>
    <s v="Small"/>
    <n v="11"/>
    <n v="43"/>
    <n v="41.02"/>
    <n v="43"/>
    <n v="1763.86"/>
    <n v="-85.14"/>
    <x v="13"/>
    <x v="0"/>
    <n v="1"/>
    <n v="1"/>
    <n v="2004"/>
    <x v="3"/>
  </r>
  <r>
    <n v="10308"/>
    <s v="S50_1341"/>
    <x v="13"/>
    <x v="11"/>
    <x v="0"/>
    <x v="0"/>
    <s v="Small"/>
    <n v="11"/>
    <n v="47"/>
    <n v="43.64"/>
    <n v="43"/>
    <n v="2051.08"/>
    <n v="30.08"/>
    <x v="14"/>
    <x v="0"/>
    <n v="4"/>
    <n v="10"/>
    <n v="2004"/>
    <x v="3"/>
  </r>
  <r>
    <n v="10117"/>
    <s v="S50_1514"/>
    <x v="17"/>
    <x v="15"/>
    <x v="7"/>
    <x v="2"/>
    <s v="Small"/>
    <n v="11"/>
    <n v="21"/>
    <n v="49.21"/>
    <n v="58"/>
    <n v="1033.4100000000001"/>
    <n v="-184.59"/>
    <x v="246"/>
    <x v="0"/>
    <n v="2"/>
    <n v="4"/>
    <n v="2003"/>
    <x v="6"/>
  </r>
  <r>
    <n v="10276"/>
    <s v="S50_4713"/>
    <x v="31"/>
    <x v="25"/>
    <x v="0"/>
    <x v="0"/>
    <s v="Small"/>
    <n v="11"/>
    <n v="21"/>
    <n v="70.78"/>
    <n v="81"/>
    <n v="1486.38"/>
    <n v="-214.62"/>
    <x v="36"/>
    <x v="0"/>
    <n v="3"/>
    <n v="8"/>
    <n v="2004"/>
    <x v="0"/>
  </r>
  <r>
    <n v="10350"/>
    <s v="S700_1138"/>
    <x v="26"/>
    <x v="21"/>
    <x v="8"/>
    <x v="1"/>
    <s v="Medium"/>
    <n v="11"/>
    <n v="46"/>
    <n v="76.67"/>
    <n v="66"/>
    <n v="3526.82"/>
    <n v="490.82"/>
    <x v="111"/>
    <x v="0"/>
    <n v="4"/>
    <n v="12"/>
    <n v="2004"/>
    <x v="5"/>
  </r>
  <r>
    <n v="10143"/>
    <s v="S700_2047"/>
    <x v="49"/>
    <x v="40"/>
    <x v="0"/>
    <x v="0"/>
    <s v="Small"/>
    <n v="11"/>
    <n v="26"/>
    <n v="100"/>
    <n v="90"/>
    <n v="2612.48"/>
    <n v="272.48"/>
    <x v="221"/>
    <x v="0"/>
    <n v="3"/>
    <n v="8"/>
    <n v="2003"/>
    <x v="5"/>
  </r>
  <r>
    <n v="10296"/>
    <s v="S700_2047"/>
    <x v="91"/>
    <x v="72"/>
    <x v="9"/>
    <x v="1"/>
    <s v="Medium"/>
    <n v="11"/>
    <n v="34"/>
    <n v="100"/>
    <n v="90"/>
    <n v="3477.86"/>
    <n v="417.86"/>
    <x v="223"/>
    <x v="0"/>
    <n v="3"/>
    <n v="9"/>
    <n v="2004"/>
    <x v="5"/>
  </r>
  <r>
    <n v="10250"/>
    <s v="S700_2466"/>
    <x v="55"/>
    <x v="44"/>
    <x v="0"/>
    <x v="0"/>
    <s v="Medium"/>
    <n v="11"/>
    <n v="35"/>
    <n v="100"/>
    <n v="99"/>
    <n v="3909.15"/>
    <n v="444.15"/>
    <x v="161"/>
    <x v="0"/>
    <n v="2"/>
    <n v="5"/>
    <n v="2004"/>
    <x v="4"/>
  </r>
  <r>
    <n v="10416"/>
    <s v="S700_2466"/>
    <x v="35"/>
    <x v="28"/>
    <x v="12"/>
    <x v="1"/>
    <s v="Small"/>
    <n v="11"/>
    <n v="22"/>
    <n v="100"/>
    <n v="99"/>
    <n v="2457.1799999999998"/>
    <n v="279.18"/>
    <x v="163"/>
    <x v="0"/>
    <n v="2"/>
    <n v="5"/>
    <n v="2005"/>
    <x v="4"/>
  </r>
  <r>
    <n v="10175"/>
    <s v="S700_2824"/>
    <x v="42"/>
    <x v="33"/>
    <x v="15"/>
    <x v="1"/>
    <s v="Medium"/>
    <n v="11"/>
    <n v="42"/>
    <n v="85.98"/>
    <n v="101"/>
    <n v="3611.16"/>
    <n v="-630.84"/>
    <x v="21"/>
    <x v="0"/>
    <n v="4"/>
    <n v="11"/>
    <n v="2003"/>
    <x v="1"/>
  </r>
  <r>
    <n v="10229"/>
    <s v="S700_2824"/>
    <x v="43"/>
    <x v="34"/>
    <x v="0"/>
    <x v="0"/>
    <s v="Medium"/>
    <n v="11"/>
    <n v="50"/>
    <n v="100"/>
    <n v="101"/>
    <n v="5614"/>
    <n v="564"/>
    <x v="48"/>
    <x v="0"/>
    <n v="1"/>
    <n v="3"/>
    <n v="2004"/>
    <x v="1"/>
  </r>
  <r>
    <n v="10281"/>
    <s v="S700_2824"/>
    <x v="4"/>
    <x v="4"/>
    <x v="0"/>
    <x v="0"/>
    <s v="Small"/>
    <n v="11"/>
    <n v="27"/>
    <n v="85.98"/>
    <n v="101"/>
    <n v="2321.46"/>
    <n v="-405.54"/>
    <x v="49"/>
    <x v="0"/>
    <n v="3"/>
    <n v="8"/>
    <n v="2004"/>
    <x v="1"/>
  </r>
  <r>
    <n v="10328"/>
    <s v="S700_2834"/>
    <x v="67"/>
    <x v="54"/>
    <x v="12"/>
    <x v="1"/>
    <s v="Medium"/>
    <n v="11"/>
    <n v="33"/>
    <n v="100"/>
    <n v="118"/>
    <n v="4072.2"/>
    <n v="178.2"/>
    <x v="177"/>
    <x v="0"/>
    <n v="4"/>
    <n v="11"/>
    <n v="2004"/>
    <x v="4"/>
  </r>
  <r>
    <n v="10375"/>
    <s v="S700_3167"/>
    <x v="3"/>
    <x v="3"/>
    <x v="3"/>
    <x v="1"/>
    <s v="Medium"/>
    <n v="11"/>
    <n v="44"/>
    <n v="100"/>
    <n v="80"/>
    <n v="5208.72"/>
    <n v="1688.72"/>
    <x v="234"/>
    <x v="0"/>
    <n v="1"/>
    <n v="2"/>
    <n v="2005"/>
    <x v="4"/>
  </r>
  <r>
    <n v="10197"/>
    <s v="S700_3962"/>
    <x v="88"/>
    <x v="69"/>
    <x v="8"/>
    <x v="1"/>
    <s v="Medium"/>
    <n v="11"/>
    <n v="35"/>
    <n v="93.35"/>
    <n v="99"/>
    <n v="3267.25"/>
    <n v="-197.75"/>
    <x v="108"/>
    <x v="0"/>
    <n v="4"/>
    <n v="11"/>
    <n v="2003"/>
    <x v="5"/>
  </r>
  <r>
    <n v="10283"/>
    <s v="S700_3962"/>
    <x v="89"/>
    <x v="70"/>
    <x v="6"/>
    <x v="0"/>
    <s v="Medium"/>
    <n v="11"/>
    <n v="38"/>
    <n v="89.38"/>
    <n v="99"/>
    <n v="3396.44"/>
    <n v="-365.56"/>
    <x v="109"/>
    <x v="0"/>
    <n v="3"/>
    <n v="8"/>
    <n v="2004"/>
    <x v="5"/>
  </r>
  <r>
    <n v="10235"/>
    <s v="S700_4002"/>
    <x v="89"/>
    <x v="70"/>
    <x v="6"/>
    <x v="0"/>
    <s v="Small"/>
    <n v="11"/>
    <n v="34"/>
    <n v="72.55"/>
    <n v="74"/>
    <n v="2466.6999999999998"/>
    <n v="-49.3"/>
    <x v="210"/>
    <x v="0"/>
    <n v="2"/>
    <n v="4"/>
    <n v="2004"/>
    <x v="4"/>
  </r>
  <r>
    <n v="10361"/>
    <s v="S700_4002"/>
    <x v="64"/>
    <x v="51"/>
    <x v="2"/>
    <x v="2"/>
    <s v="Medium"/>
    <n v="11"/>
    <n v="35"/>
    <n v="100"/>
    <n v="74"/>
    <n v="4277.3500000000004"/>
    <n v="1687.35"/>
    <x v="201"/>
    <x v="0"/>
    <n v="4"/>
    <n v="12"/>
    <n v="2004"/>
    <x v="4"/>
  </r>
  <r>
    <n v="10401"/>
    <s v="S700_4002"/>
    <x v="24"/>
    <x v="19"/>
    <x v="0"/>
    <x v="0"/>
    <s v="Small"/>
    <n v="11"/>
    <n v="28"/>
    <n v="72.55"/>
    <n v="74"/>
    <n v="2031.4"/>
    <n v="-40.6"/>
    <x v="212"/>
    <x v="5"/>
    <n v="2"/>
    <n v="4"/>
    <n v="2005"/>
    <x v="4"/>
  </r>
  <r>
    <n v="10375"/>
    <s v="S10_1678"/>
    <x v="3"/>
    <x v="3"/>
    <x v="3"/>
    <x v="1"/>
    <s v="Small"/>
    <n v="12"/>
    <n v="21"/>
    <n v="34.909999999999997"/>
    <n v="95"/>
    <n v="733.11"/>
    <n v="-1261.8900000000001"/>
    <x v="234"/>
    <x v="0"/>
    <n v="1"/>
    <n v="2"/>
    <n v="2005"/>
    <x v="0"/>
  </r>
  <r>
    <n v="10180"/>
    <s v="S10_2016"/>
    <x v="75"/>
    <x v="61"/>
    <x v="3"/>
    <x v="1"/>
    <s v="Medium"/>
    <n v="12"/>
    <n v="42"/>
    <n v="100"/>
    <n v="118"/>
    <n v="4695.6000000000004"/>
    <n v="-260.39999999999998"/>
    <x v="202"/>
    <x v="0"/>
    <n v="4"/>
    <n v="11"/>
    <n v="2003"/>
    <x v="0"/>
  </r>
  <r>
    <n v="10178"/>
    <s v="S10_4757"/>
    <x v="57"/>
    <x v="46"/>
    <x v="3"/>
    <x v="1"/>
    <s v="Medium"/>
    <n v="12"/>
    <n v="24"/>
    <n v="100"/>
    <n v="136"/>
    <n v="3492.48"/>
    <n v="228.48"/>
    <x v="231"/>
    <x v="0"/>
    <n v="4"/>
    <n v="11"/>
    <n v="2003"/>
    <x v="1"/>
  </r>
  <r>
    <n v="10222"/>
    <s v="S10_4757"/>
    <x v="80"/>
    <x v="63"/>
    <x v="0"/>
    <x v="0"/>
    <s v="Medium"/>
    <n v="12"/>
    <n v="49"/>
    <n v="100"/>
    <n v="136"/>
    <n v="5997.6"/>
    <n v="-666.4"/>
    <x v="233"/>
    <x v="0"/>
    <n v="1"/>
    <n v="2"/>
    <n v="2004"/>
    <x v="1"/>
  </r>
  <r>
    <n v="10259"/>
    <s v="S10_4962"/>
    <x v="81"/>
    <x v="15"/>
    <x v="7"/>
    <x v="2"/>
    <s v="Medium"/>
    <n v="12"/>
    <n v="26"/>
    <n v="100"/>
    <n v="147"/>
    <n v="4033.38"/>
    <n v="211.38"/>
    <x v="147"/>
    <x v="0"/>
    <n v="2"/>
    <n v="6"/>
    <n v="2004"/>
    <x v="1"/>
  </r>
  <r>
    <n v="10425"/>
    <s v="S10_4962"/>
    <x v="3"/>
    <x v="3"/>
    <x v="3"/>
    <x v="1"/>
    <s v="Medium"/>
    <n v="12"/>
    <n v="38"/>
    <n v="100"/>
    <n v="147"/>
    <n v="5894.94"/>
    <n v="308.94"/>
    <x v="148"/>
    <x v="2"/>
    <n v="2"/>
    <n v="5"/>
    <n v="2005"/>
    <x v="1"/>
  </r>
  <r>
    <n v="10287"/>
    <s v="S12_1099"/>
    <x v="48"/>
    <x v="39"/>
    <x v="16"/>
    <x v="1"/>
    <s v="Medium"/>
    <n v="12"/>
    <n v="21"/>
    <n v="100"/>
    <n v="194"/>
    <n v="3432.24"/>
    <n v="-641.76"/>
    <x v="99"/>
    <x v="0"/>
    <n v="3"/>
    <n v="8"/>
    <n v="2004"/>
    <x v="1"/>
  </r>
  <r>
    <n v="10142"/>
    <s v="S12_1108"/>
    <x v="43"/>
    <x v="34"/>
    <x v="0"/>
    <x v="0"/>
    <s v="Large"/>
    <n v="12"/>
    <n v="33"/>
    <n v="100"/>
    <n v="207"/>
    <n v="8023.29"/>
    <n v="1192.29"/>
    <x v="182"/>
    <x v="0"/>
    <n v="3"/>
    <n v="8"/>
    <n v="2003"/>
    <x v="1"/>
  </r>
  <r>
    <n v="10153"/>
    <s v="S12_3148"/>
    <x v="26"/>
    <x v="21"/>
    <x v="8"/>
    <x v="1"/>
    <s v="Medium"/>
    <n v="12"/>
    <n v="42"/>
    <n v="100"/>
    <n v="151"/>
    <n v="5393.64"/>
    <n v="-948.36"/>
    <x v="226"/>
    <x v="0"/>
    <n v="3"/>
    <n v="9"/>
    <n v="2003"/>
    <x v="1"/>
  </r>
  <r>
    <n v="10181"/>
    <s v="S12_3380"/>
    <x v="1"/>
    <x v="1"/>
    <x v="1"/>
    <x v="1"/>
    <s v="Small"/>
    <n v="12"/>
    <n v="28"/>
    <n v="100"/>
    <n v="117"/>
    <n v="2860.76"/>
    <n v="-415.24"/>
    <x v="117"/>
    <x v="0"/>
    <n v="4"/>
    <n v="11"/>
    <n v="2003"/>
    <x v="1"/>
  </r>
  <r>
    <n v="10266"/>
    <s v="S12_3380"/>
    <x v="35"/>
    <x v="28"/>
    <x v="12"/>
    <x v="1"/>
    <s v="Small"/>
    <n v="12"/>
    <n v="22"/>
    <n v="100"/>
    <n v="117"/>
    <n v="2454.54"/>
    <n v="-119.46"/>
    <x v="153"/>
    <x v="0"/>
    <n v="3"/>
    <n v="7"/>
    <n v="2004"/>
    <x v="1"/>
  </r>
  <r>
    <n v="10185"/>
    <s v="S12_3891"/>
    <x v="49"/>
    <x v="40"/>
    <x v="0"/>
    <x v="0"/>
    <s v="Large"/>
    <n v="12"/>
    <n v="43"/>
    <n v="100"/>
    <n v="173"/>
    <n v="7886.2"/>
    <n v="447.2"/>
    <x v="69"/>
    <x v="0"/>
    <n v="4"/>
    <n v="11"/>
    <n v="2003"/>
    <x v="1"/>
  </r>
  <r>
    <n v="10208"/>
    <s v="S12_3891"/>
    <x v="73"/>
    <x v="59"/>
    <x v="3"/>
    <x v="1"/>
    <s v="Medium"/>
    <n v="12"/>
    <n v="20"/>
    <n v="100"/>
    <n v="173"/>
    <n v="3114.4"/>
    <n v="-345.6"/>
    <x v="237"/>
    <x v="0"/>
    <n v="1"/>
    <n v="1"/>
    <n v="2004"/>
    <x v="1"/>
  </r>
  <r>
    <n v="10306"/>
    <s v="S12_3891"/>
    <x v="62"/>
    <x v="50"/>
    <x v="15"/>
    <x v="1"/>
    <s v="Medium"/>
    <n v="12"/>
    <n v="20"/>
    <n v="100"/>
    <n v="173"/>
    <n v="3633.4"/>
    <n v="173.4"/>
    <x v="71"/>
    <x v="0"/>
    <n v="4"/>
    <n v="10"/>
    <n v="2004"/>
    <x v="1"/>
  </r>
  <r>
    <n v="10382"/>
    <s v="S12_3891"/>
    <x v="43"/>
    <x v="34"/>
    <x v="0"/>
    <x v="0"/>
    <s v="Medium"/>
    <n v="12"/>
    <n v="34"/>
    <n v="95.35"/>
    <n v="173"/>
    <n v="3241.9"/>
    <n v="-2640.1"/>
    <x v="23"/>
    <x v="0"/>
    <n v="1"/>
    <n v="2"/>
    <n v="2005"/>
    <x v="1"/>
  </r>
  <r>
    <n v="10165"/>
    <s v="S12_4473"/>
    <x v="17"/>
    <x v="15"/>
    <x v="7"/>
    <x v="2"/>
    <s v="Medium"/>
    <n v="12"/>
    <n v="48"/>
    <n v="100"/>
    <n v="118"/>
    <n v="6825.6"/>
    <n v="1161.5999999999999"/>
    <x v="116"/>
    <x v="0"/>
    <n v="4"/>
    <n v="10"/>
    <n v="2003"/>
    <x v="2"/>
  </r>
  <r>
    <n v="10161"/>
    <s v="S18_1129"/>
    <x v="69"/>
    <x v="56"/>
    <x v="10"/>
    <x v="1"/>
    <s v="Medium"/>
    <n v="12"/>
    <n v="28"/>
    <n v="100"/>
    <n v="141"/>
    <n v="3764.88"/>
    <n v="-183.12"/>
    <x v="142"/>
    <x v="0"/>
    <n v="4"/>
    <n v="10"/>
    <n v="2003"/>
    <x v="1"/>
  </r>
  <r>
    <n v="10304"/>
    <s v="S18_1367"/>
    <x v="20"/>
    <x v="16"/>
    <x v="3"/>
    <x v="1"/>
    <s v="Small"/>
    <n v="12"/>
    <n v="37"/>
    <n v="48.52"/>
    <n v="53"/>
    <n v="1795.24"/>
    <n v="-165.76"/>
    <x v="241"/>
    <x v="0"/>
    <n v="4"/>
    <n v="10"/>
    <n v="2004"/>
    <x v="3"/>
  </r>
  <r>
    <n v="10106"/>
    <s v="S18_1662"/>
    <x v="67"/>
    <x v="54"/>
    <x v="12"/>
    <x v="1"/>
    <s v="Medium"/>
    <n v="12"/>
    <n v="36"/>
    <n v="100"/>
    <n v="157"/>
    <n v="5279.4"/>
    <n v="-372.6"/>
    <x v="242"/>
    <x v="0"/>
    <n v="1"/>
    <n v="2"/>
    <n v="2003"/>
    <x v="4"/>
  </r>
  <r>
    <n v="10148"/>
    <s v="S18_1984"/>
    <x v="47"/>
    <x v="38"/>
    <x v="2"/>
    <x v="2"/>
    <s v="Medium"/>
    <n v="12"/>
    <n v="25"/>
    <n v="100"/>
    <n v="142"/>
    <n v="4232"/>
    <n v="682"/>
    <x v="134"/>
    <x v="0"/>
    <n v="3"/>
    <n v="9"/>
    <n v="2003"/>
    <x v="1"/>
  </r>
  <r>
    <n v="10173"/>
    <s v="S18_2248"/>
    <x v="67"/>
    <x v="54"/>
    <x v="12"/>
    <x v="1"/>
    <s v="Small"/>
    <n v="12"/>
    <n v="26"/>
    <n v="57.51"/>
    <n v="60"/>
    <n v="1495.26"/>
    <n v="-64.739999999999995"/>
    <x v="80"/>
    <x v="0"/>
    <n v="4"/>
    <n v="11"/>
    <n v="2003"/>
    <x v="3"/>
  </r>
  <r>
    <n v="10104"/>
    <s v="S18_2319"/>
    <x v="26"/>
    <x v="21"/>
    <x v="8"/>
    <x v="1"/>
    <s v="Medium"/>
    <n v="12"/>
    <n v="29"/>
    <n v="100"/>
    <n v="122"/>
    <n v="3772.61"/>
    <n v="234.61"/>
    <x v="31"/>
    <x v="0"/>
    <n v="1"/>
    <n v="1"/>
    <n v="2003"/>
    <x v="2"/>
  </r>
  <r>
    <n v="10184"/>
    <s v="S18_2432"/>
    <x v="86"/>
    <x v="68"/>
    <x v="8"/>
    <x v="1"/>
    <s v="Small"/>
    <n v="12"/>
    <n v="44"/>
    <n v="60.16"/>
    <n v="60"/>
    <n v="2647.04"/>
    <n v="7.04"/>
    <x v="69"/>
    <x v="0"/>
    <n v="4"/>
    <n v="11"/>
    <n v="2003"/>
    <x v="2"/>
  </r>
  <r>
    <n v="10329"/>
    <s v="S18_2625"/>
    <x v="5"/>
    <x v="5"/>
    <x v="0"/>
    <x v="0"/>
    <s v="Medium"/>
    <n v="12"/>
    <n v="38"/>
    <n v="100"/>
    <n v="60"/>
    <n v="5266.04"/>
    <n v="2986.04"/>
    <x v="5"/>
    <x v="0"/>
    <n v="4"/>
    <n v="11"/>
    <n v="2004"/>
    <x v="0"/>
  </r>
  <r>
    <n v="10241"/>
    <s v="S18_2870"/>
    <x v="59"/>
    <x v="48"/>
    <x v="3"/>
    <x v="1"/>
    <s v="Medium"/>
    <n v="12"/>
    <n v="44"/>
    <n v="100"/>
    <n v="132"/>
    <n v="6853.44"/>
    <n v="1045.44"/>
    <x v="83"/>
    <x v="0"/>
    <n v="2"/>
    <n v="4"/>
    <n v="2004"/>
    <x v="1"/>
  </r>
  <r>
    <n v="10407"/>
    <s v="S18_2870"/>
    <x v="55"/>
    <x v="44"/>
    <x v="0"/>
    <x v="0"/>
    <s v="Medium"/>
    <n v="12"/>
    <n v="41"/>
    <n v="100"/>
    <n v="132"/>
    <n v="6386.16"/>
    <n v="974.16"/>
    <x v="85"/>
    <x v="5"/>
    <n v="2"/>
    <n v="4"/>
    <n v="2005"/>
    <x v="1"/>
  </r>
  <r>
    <n v="10103"/>
    <s v="S18_2949"/>
    <x v="39"/>
    <x v="31"/>
    <x v="1"/>
    <x v="1"/>
    <s v="Small"/>
    <n v="12"/>
    <n v="27"/>
    <n v="83.07"/>
    <n v="101"/>
    <n v="2242.89"/>
    <n v="-484.11"/>
    <x v="166"/>
    <x v="0"/>
    <n v="1"/>
    <n v="1"/>
    <n v="2003"/>
    <x v="3"/>
  </r>
  <r>
    <n v="10126"/>
    <s v="S18_2949"/>
    <x v="63"/>
    <x v="21"/>
    <x v="8"/>
    <x v="1"/>
    <s v="Small"/>
    <n v="12"/>
    <n v="31"/>
    <n v="90.17"/>
    <n v="101"/>
    <n v="2795.27"/>
    <n v="-335.73"/>
    <x v="167"/>
    <x v="0"/>
    <n v="2"/>
    <n v="5"/>
    <n v="2003"/>
    <x v="3"/>
  </r>
  <r>
    <n v="10291"/>
    <s v="S18_2949"/>
    <x v="51"/>
    <x v="42"/>
    <x v="4"/>
    <x v="1"/>
    <s v="Medium"/>
    <n v="12"/>
    <n v="47"/>
    <n v="100"/>
    <n v="101"/>
    <n v="5713.79"/>
    <n v="966.79"/>
    <x v="171"/>
    <x v="0"/>
    <n v="3"/>
    <n v="9"/>
    <n v="2004"/>
    <x v="3"/>
  </r>
  <r>
    <n v="10322"/>
    <s v="S18_2949"/>
    <x v="8"/>
    <x v="7"/>
    <x v="0"/>
    <x v="0"/>
    <s v="Medium"/>
    <n v="12"/>
    <n v="33"/>
    <n v="100"/>
    <n v="101"/>
    <n v="3524.73"/>
    <n v="191.73"/>
    <x v="8"/>
    <x v="0"/>
    <n v="4"/>
    <n v="11"/>
    <n v="2004"/>
    <x v="3"/>
  </r>
  <r>
    <n v="10248"/>
    <s v="S18_3140"/>
    <x v="5"/>
    <x v="5"/>
    <x v="0"/>
    <x v="0"/>
    <s v="Medium"/>
    <n v="12"/>
    <n v="32"/>
    <n v="100"/>
    <n v="136"/>
    <n v="3802.56"/>
    <n v="-549.44000000000005"/>
    <x v="105"/>
    <x v="3"/>
    <n v="2"/>
    <n v="5"/>
    <n v="2004"/>
    <x v="3"/>
  </r>
  <r>
    <n v="10336"/>
    <s v="S18_3140"/>
    <x v="40"/>
    <x v="9"/>
    <x v="3"/>
    <x v="1"/>
    <s v="Medium"/>
    <n v="12"/>
    <n v="48"/>
    <n v="100"/>
    <n v="136"/>
    <n v="5778.24"/>
    <n v="-749.76"/>
    <x v="45"/>
    <x v="0"/>
    <n v="4"/>
    <n v="11"/>
    <n v="2004"/>
    <x v="3"/>
  </r>
  <r>
    <n v="10414"/>
    <s v="S18_3140"/>
    <x v="16"/>
    <x v="14"/>
    <x v="0"/>
    <x v="0"/>
    <s v="Medium"/>
    <n v="12"/>
    <n v="41"/>
    <n v="100"/>
    <n v="136"/>
    <n v="4872.03"/>
    <n v="-703.97"/>
    <x v="106"/>
    <x v="5"/>
    <n v="2"/>
    <n v="5"/>
    <n v="2005"/>
    <x v="3"/>
  </r>
  <r>
    <n v="10192"/>
    <s v="S18_3232"/>
    <x v="8"/>
    <x v="7"/>
    <x v="0"/>
    <x v="0"/>
    <s v="Medium"/>
    <n v="12"/>
    <n v="26"/>
    <n v="100"/>
    <n v="169"/>
    <n v="3918.46"/>
    <n v="-475.54"/>
    <x v="34"/>
    <x v="0"/>
    <n v="4"/>
    <n v="11"/>
    <n v="2003"/>
    <x v="1"/>
  </r>
  <r>
    <n v="10292"/>
    <s v="S18_3232"/>
    <x v="5"/>
    <x v="5"/>
    <x v="0"/>
    <x v="0"/>
    <s v="Small"/>
    <n v="12"/>
    <n v="21"/>
    <n v="100"/>
    <n v="169"/>
    <n v="2844.87"/>
    <n v="-704.13"/>
    <x v="171"/>
    <x v="0"/>
    <n v="3"/>
    <n v="9"/>
    <n v="2004"/>
    <x v="1"/>
  </r>
  <r>
    <n v="10324"/>
    <s v="S18_3232"/>
    <x v="28"/>
    <x v="5"/>
    <x v="0"/>
    <x v="0"/>
    <s v="Medium"/>
    <n v="12"/>
    <n v="27"/>
    <n v="100"/>
    <n v="169"/>
    <n v="3155.49"/>
    <n v="-1407.51"/>
    <x v="33"/>
    <x v="0"/>
    <n v="4"/>
    <n v="11"/>
    <n v="2004"/>
    <x v="1"/>
  </r>
  <r>
    <n v="10358"/>
    <s v="S18_3232"/>
    <x v="26"/>
    <x v="21"/>
    <x v="8"/>
    <x v="1"/>
    <s v="Small"/>
    <n v="12"/>
    <n v="32"/>
    <n v="93.49"/>
    <n v="169"/>
    <n v="2991.68"/>
    <n v="-2416.3200000000002"/>
    <x v="54"/>
    <x v="0"/>
    <n v="4"/>
    <n v="12"/>
    <n v="2004"/>
    <x v="1"/>
  </r>
  <r>
    <n v="10383"/>
    <s v="S18_3259"/>
    <x v="26"/>
    <x v="21"/>
    <x v="8"/>
    <x v="1"/>
    <s v="Medium"/>
    <n v="12"/>
    <n v="26"/>
    <n v="100"/>
    <n v="100"/>
    <n v="3340.48"/>
    <n v="740.48"/>
    <x v="132"/>
    <x v="0"/>
    <n v="1"/>
    <n v="2"/>
    <n v="2005"/>
    <x v="6"/>
  </r>
  <r>
    <n v="10225"/>
    <s v="S18_3278"/>
    <x v="48"/>
    <x v="39"/>
    <x v="16"/>
    <x v="1"/>
    <s v="Medium"/>
    <n v="12"/>
    <n v="37"/>
    <n v="95.69"/>
    <n v="80"/>
    <n v="3540.53"/>
    <n v="580.53"/>
    <x v="56"/>
    <x v="0"/>
    <n v="1"/>
    <n v="2"/>
    <n v="2004"/>
    <x v="1"/>
  </r>
  <r>
    <n v="10347"/>
    <s v="S18_3320"/>
    <x v="2"/>
    <x v="2"/>
    <x v="2"/>
    <x v="2"/>
    <s v="Small"/>
    <n v="12"/>
    <n v="26"/>
    <n v="100"/>
    <n v="99"/>
    <n v="2656.94"/>
    <n v="82.94"/>
    <x v="9"/>
    <x v="0"/>
    <n v="4"/>
    <n v="11"/>
    <n v="2004"/>
    <x v="3"/>
  </r>
  <r>
    <n v="10122"/>
    <s v="S18_3482"/>
    <x v="56"/>
    <x v="45"/>
    <x v="3"/>
    <x v="1"/>
    <s v="Small"/>
    <n v="12"/>
    <n v="21"/>
    <n v="100"/>
    <n v="146"/>
    <n v="2469.39"/>
    <n v="-596.61"/>
    <x v="78"/>
    <x v="0"/>
    <n v="2"/>
    <n v="5"/>
    <n v="2003"/>
    <x v="1"/>
  </r>
  <r>
    <n v="10310"/>
    <s v="S18_3482"/>
    <x v="29"/>
    <x v="23"/>
    <x v="9"/>
    <x v="1"/>
    <s v="Medium"/>
    <n v="12"/>
    <n v="49"/>
    <n v="100"/>
    <n v="146"/>
    <n v="6266.12"/>
    <n v="-887.88"/>
    <x v="81"/>
    <x v="0"/>
    <n v="4"/>
    <n v="10"/>
    <n v="2004"/>
    <x v="1"/>
  </r>
  <r>
    <n v="10331"/>
    <s v="S18_3685"/>
    <x v="9"/>
    <x v="8"/>
    <x v="0"/>
    <x v="0"/>
    <s v="Small"/>
    <n v="12"/>
    <n v="26"/>
    <n v="67.91"/>
    <n v="141"/>
    <n v="1765.66"/>
    <n v="-1900.34"/>
    <x v="95"/>
    <x v="0"/>
    <n v="4"/>
    <n v="11"/>
    <n v="2004"/>
    <x v="1"/>
  </r>
  <r>
    <n v="10108"/>
    <s v="S18_3782"/>
    <x v="85"/>
    <x v="67"/>
    <x v="18"/>
    <x v="2"/>
    <s v="Small"/>
    <n v="12"/>
    <n v="43"/>
    <n v="67.77"/>
    <n v="62"/>
    <n v="2914.11"/>
    <n v="248.11"/>
    <x v="189"/>
    <x v="0"/>
    <n v="1"/>
    <n v="3"/>
    <n v="2003"/>
    <x v="0"/>
  </r>
  <r>
    <n v="10363"/>
    <s v="S18_3782"/>
    <x v="38"/>
    <x v="30"/>
    <x v="14"/>
    <x v="1"/>
    <s v="Small"/>
    <n v="12"/>
    <n v="32"/>
    <n v="89.12"/>
    <n v="62"/>
    <n v="2851.84"/>
    <n v="867.84"/>
    <x v="190"/>
    <x v="0"/>
    <n v="1"/>
    <n v="1"/>
    <n v="2005"/>
    <x v="0"/>
  </r>
  <r>
    <n v="10143"/>
    <s v="S18_3856"/>
    <x v="49"/>
    <x v="40"/>
    <x v="0"/>
    <x v="0"/>
    <s v="Medium"/>
    <n v="12"/>
    <n v="34"/>
    <n v="100"/>
    <n v="105"/>
    <n v="3455.76"/>
    <n v="-114.24"/>
    <x v="221"/>
    <x v="0"/>
    <n v="3"/>
    <n v="8"/>
    <n v="2003"/>
    <x v="3"/>
  </r>
  <r>
    <n v="10296"/>
    <s v="S18_3856"/>
    <x v="91"/>
    <x v="72"/>
    <x v="9"/>
    <x v="1"/>
    <s v="Small"/>
    <n v="12"/>
    <n v="22"/>
    <n v="84.7"/>
    <n v="105"/>
    <n v="1863.4"/>
    <n v="-446.6"/>
    <x v="223"/>
    <x v="0"/>
    <n v="3"/>
    <n v="9"/>
    <n v="2004"/>
    <x v="3"/>
  </r>
  <r>
    <n v="10117"/>
    <s v="S18_4027"/>
    <x v="17"/>
    <x v="15"/>
    <x v="7"/>
    <x v="2"/>
    <s v="Small"/>
    <n v="12"/>
    <n v="22"/>
    <n v="100"/>
    <n v="143"/>
    <n v="2780.58"/>
    <n v="-365.42"/>
    <x v="246"/>
    <x v="0"/>
    <n v="2"/>
    <n v="4"/>
    <n v="2003"/>
    <x v="1"/>
  </r>
  <r>
    <n v="10273"/>
    <s v="S18_4522"/>
    <x v="66"/>
    <x v="53"/>
    <x v="17"/>
    <x v="1"/>
    <s v="Small"/>
    <n v="12"/>
    <n v="33"/>
    <n v="71.09"/>
    <n v="87"/>
    <n v="2345.9699999999998"/>
    <n v="-525.03"/>
    <x v="70"/>
    <x v="0"/>
    <n v="3"/>
    <n v="7"/>
    <n v="2004"/>
    <x v="3"/>
  </r>
  <r>
    <n v="10135"/>
    <s v="S18_4721"/>
    <x v="43"/>
    <x v="34"/>
    <x v="0"/>
    <x v="0"/>
    <s v="Medium"/>
    <n v="12"/>
    <n v="31"/>
    <n v="100"/>
    <n v="148"/>
    <n v="4705.18"/>
    <n v="117.18"/>
    <x v="180"/>
    <x v="0"/>
    <n v="3"/>
    <n v="7"/>
    <n v="2003"/>
    <x v="1"/>
  </r>
  <r>
    <n v="10182"/>
    <s v="S18_4933"/>
    <x v="43"/>
    <x v="34"/>
    <x v="0"/>
    <x v="0"/>
    <s v="Medium"/>
    <n v="12"/>
    <n v="44"/>
    <n v="69.84"/>
    <n v="71"/>
    <n v="3072.96"/>
    <n v="-51.04"/>
    <x v="117"/>
    <x v="0"/>
    <n v="4"/>
    <n v="11"/>
    <n v="2003"/>
    <x v="1"/>
  </r>
  <r>
    <n v="10227"/>
    <s v="S18_4933"/>
    <x v="73"/>
    <x v="59"/>
    <x v="3"/>
    <x v="1"/>
    <s v="Small"/>
    <n v="12"/>
    <n v="37"/>
    <n v="57.73"/>
    <n v="71"/>
    <n v="2136.0100000000002"/>
    <n v="-490.99"/>
    <x v="118"/>
    <x v="0"/>
    <n v="1"/>
    <n v="3"/>
    <n v="2004"/>
    <x v="1"/>
  </r>
  <r>
    <n v="10124"/>
    <s v="S24_1046"/>
    <x v="83"/>
    <x v="65"/>
    <x v="0"/>
    <x v="0"/>
    <s v="Small"/>
    <n v="12"/>
    <n v="22"/>
    <n v="77.900000000000006"/>
    <n v="73"/>
    <n v="1713.8"/>
    <n v="107.8"/>
    <x v="58"/>
    <x v="0"/>
    <n v="2"/>
    <n v="5"/>
    <n v="2003"/>
    <x v="1"/>
  </r>
  <r>
    <n v="10371"/>
    <s v="S24_1444"/>
    <x v="43"/>
    <x v="34"/>
    <x v="0"/>
    <x v="0"/>
    <s v="Small"/>
    <n v="12"/>
    <n v="25"/>
    <n v="97.27"/>
    <n v="57"/>
    <n v="2431.75"/>
    <n v="1006.75"/>
    <x v="207"/>
    <x v="0"/>
    <n v="1"/>
    <n v="1"/>
    <n v="2005"/>
    <x v="1"/>
  </r>
  <r>
    <n v="10204"/>
    <s v="S24_1628"/>
    <x v="34"/>
    <x v="5"/>
    <x v="0"/>
    <x v="0"/>
    <s v="Small"/>
    <n v="12"/>
    <n v="45"/>
    <n v="49.81"/>
    <n v="50"/>
    <n v="2241.4499999999998"/>
    <n v="-8.5500000000000007"/>
    <x v="86"/>
    <x v="0"/>
    <n v="4"/>
    <n v="12"/>
    <n v="2003"/>
    <x v="1"/>
  </r>
  <r>
    <n v="10280"/>
    <s v="S24_1937"/>
    <x v="46"/>
    <x v="37"/>
    <x v="12"/>
    <x v="1"/>
    <s v="Small"/>
    <n v="12"/>
    <n v="20"/>
    <n v="28.88"/>
    <n v="33"/>
    <n v="577.6"/>
    <n v="-82.4"/>
    <x v="53"/>
    <x v="0"/>
    <n v="3"/>
    <n v="8"/>
    <n v="2004"/>
    <x v="3"/>
  </r>
  <r>
    <n v="10312"/>
    <s v="S24_2022"/>
    <x v="43"/>
    <x v="34"/>
    <x v="0"/>
    <x v="0"/>
    <s v="Small"/>
    <n v="12"/>
    <n v="23"/>
    <n v="37.630000000000003"/>
    <n v="44"/>
    <n v="865.49"/>
    <n v="-146.51"/>
    <x v="140"/>
    <x v="0"/>
    <n v="4"/>
    <n v="10"/>
    <n v="2004"/>
    <x v="3"/>
  </r>
  <r>
    <n v="10367"/>
    <s v="S24_2022"/>
    <x v="22"/>
    <x v="18"/>
    <x v="0"/>
    <x v="0"/>
    <s v="Small"/>
    <n v="12"/>
    <n v="28"/>
    <n v="30.59"/>
    <n v="44"/>
    <n v="856.52"/>
    <n v="-375.48"/>
    <x v="66"/>
    <x v="4"/>
    <n v="1"/>
    <n v="1"/>
    <n v="2005"/>
    <x v="3"/>
  </r>
  <r>
    <n v="10207"/>
    <s v="S24_2300"/>
    <x v="77"/>
    <x v="14"/>
    <x v="0"/>
    <x v="0"/>
    <s v="Medium"/>
    <n v="12"/>
    <n v="46"/>
    <n v="100"/>
    <n v="127"/>
    <n v="6819.04"/>
    <n v="977.04"/>
    <x v="131"/>
    <x v="0"/>
    <n v="4"/>
    <n v="12"/>
    <n v="2003"/>
    <x v="2"/>
  </r>
  <r>
    <n v="10276"/>
    <s v="S24_2360"/>
    <x v="31"/>
    <x v="25"/>
    <x v="0"/>
    <x v="0"/>
    <s v="Medium"/>
    <n v="12"/>
    <n v="46"/>
    <n v="75.489999999999995"/>
    <n v="69"/>
    <n v="3472.54"/>
    <n v="298.54000000000002"/>
    <x v="36"/>
    <x v="0"/>
    <n v="3"/>
    <n v="8"/>
    <n v="2004"/>
    <x v="0"/>
  </r>
  <r>
    <n v="10127"/>
    <s v="S24_2840"/>
    <x v="34"/>
    <x v="5"/>
    <x v="0"/>
    <x v="0"/>
    <s v="Small"/>
    <n v="12"/>
    <n v="39"/>
    <n v="38.19"/>
    <n v="35"/>
    <n v="1489.41"/>
    <n v="124.41"/>
    <x v="40"/>
    <x v="0"/>
    <n v="2"/>
    <n v="6"/>
    <n v="2003"/>
    <x v="1"/>
  </r>
  <r>
    <n v="10284"/>
    <s v="S24_2841"/>
    <x v="60"/>
    <x v="49"/>
    <x v="1"/>
    <x v="1"/>
    <s v="Small"/>
    <n v="12"/>
    <n v="30"/>
    <n v="73.989999999999995"/>
    <n v="68"/>
    <n v="2219.6999999999998"/>
    <n v="179.7"/>
    <x v="88"/>
    <x v="0"/>
    <n v="3"/>
    <n v="8"/>
    <n v="2004"/>
    <x v="4"/>
  </r>
  <r>
    <n v="10339"/>
    <s v="S24_2841"/>
    <x v="41"/>
    <x v="32"/>
    <x v="5"/>
    <x v="2"/>
    <s v="Medium"/>
    <n v="12"/>
    <n v="55"/>
    <n v="100"/>
    <n v="68"/>
    <n v="6214.45"/>
    <n v="2474.4499999999998"/>
    <x v="90"/>
    <x v="0"/>
    <n v="4"/>
    <n v="11"/>
    <n v="2004"/>
    <x v="4"/>
  </r>
  <r>
    <n v="10212"/>
    <s v="S24_2972"/>
    <x v="26"/>
    <x v="21"/>
    <x v="8"/>
    <x v="1"/>
    <s v="Small"/>
    <n v="12"/>
    <n v="34"/>
    <n v="43.42"/>
    <n v="37"/>
    <n v="1476.28"/>
    <n v="218.28"/>
    <x v="173"/>
    <x v="0"/>
    <n v="1"/>
    <n v="1"/>
    <n v="2004"/>
    <x v="1"/>
  </r>
  <r>
    <n v="10321"/>
    <s v="S24_2972"/>
    <x v="78"/>
    <x v="40"/>
    <x v="0"/>
    <x v="0"/>
    <s v="Small"/>
    <n v="12"/>
    <n v="37"/>
    <n v="33.229999999999997"/>
    <n v="37"/>
    <n v="1229.51"/>
    <n v="-139.49"/>
    <x v="8"/>
    <x v="0"/>
    <n v="4"/>
    <n v="11"/>
    <n v="2004"/>
    <x v="1"/>
  </r>
  <r>
    <n v="10373"/>
    <s v="S24_3151"/>
    <x v="71"/>
    <x v="58"/>
    <x v="14"/>
    <x v="1"/>
    <s v="Small"/>
    <n v="12"/>
    <n v="33"/>
    <n v="57.32"/>
    <n v="88"/>
    <n v="1891.56"/>
    <n v="-1012.44"/>
    <x v="250"/>
    <x v="0"/>
    <n v="1"/>
    <n v="1"/>
    <n v="2005"/>
    <x v="3"/>
  </r>
  <r>
    <n v="10110"/>
    <s v="S24_3191"/>
    <x v="62"/>
    <x v="50"/>
    <x v="15"/>
    <x v="1"/>
    <s v="Small"/>
    <n v="12"/>
    <n v="27"/>
    <n v="73.62"/>
    <n v="85"/>
    <n v="1987.74"/>
    <n v="-307.26"/>
    <x v="92"/>
    <x v="0"/>
    <n v="1"/>
    <n v="3"/>
    <n v="2003"/>
    <x v="1"/>
  </r>
  <r>
    <n v="10332"/>
    <s v="S24_3191"/>
    <x v="62"/>
    <x v="50"/>
    <x v="15"/>
    <x v="1"/>
    <s v="Small"/>
    <n v="12"/>
    <n v="45"/>
    <n v="34.19"/>
    <n v="85"/>
    <n v="1538.55"/>
    <n v="-2286.4499999999998"/>
    <x v="95"/>
    <x v="0"/>
    <n v="4"/>
    <n v="11"/>
    <n v="2004"/>
    <x v="1"/>
  </r>
  <r>
    <n v="10253"/>
    <s v="S24_3371"/>
    <x v="50"/>
    <x v="41"/>
    <x v="15"/>
    <x v="1"/>
    <s v="Small"/>
    <n v="12"/>
    <n v="24"/>
    <n v="52.66"/>
    <n v="61"/>
    <n v="1263.8399999999999"/>
    <n v="-200.16"/>
    <x v="65"/>
    <x v="3"/>
    <n v="2"/>
    <n v="6"/>
    <n v="2004"/>
    <x v="1"/>
  </r>
  <r>
    <n v="10419"/>
    <s v="S24_3371"/>
    <x v="32"/>
    <x v="26"/>
    <x v="11"/>
    <x v="1"/>
    <s v="Small"/>
    <n v="12"/>
    <n v="55"/>
    <n v="52.66"/>
    <n v="61"/>
    <n v="2896.3"/>
    <n v="-458.7"/>
    <x v="67"/>
    <x v="0"/>
    <n v="2"/>
    <n v="5"/>
    <n v="2005"/>
    <x v="1"/>
  </r>
  <r>
    <n v="10288"/>
    <s v="S24_3432"/>
    <x v="81"/>
    <x v="15"/>
    <x v="7"/>
    <x v="2"/>
    <s v="Medium"/>
    <n v="12"/>
    <n v="41"/>
    <n v="100"/>
    <n v="107"/>
    <n v="4873.26"/>
    <n v="486.26"/>
    <x v="158"/>
    <x v="0"/>
    <n v="3"/>
    <n v="9"/>
    <n v="2004"/>
    <x v="1"/>
  </r>
  <r>
    <n v="10420"/>
    <s v="S24_3432"/>
    <x v="64"/>
    <x v="51"/>
    <x v="2"/>
    <x v="2"/>
    <s v="Small"/>
    <n v="12"/>
    <n v="26"/>
    <n v="100"/>
    <n v="107"/>
    <n v="2617.16"/>
    <n v="-164.84"/>
    <x v="97"/>
    <x v="2"/>
    <n v="2"/>
    <n v="5"/>
    <n v="2005"/>
    <x v="1"/>
  </r>
  <r>
    <n v="10155"/>
    <s v="S24_3816"/>
    <x v="44"/>
    <x v="35"/>
    <x v="14"/>
    <x v="1"/>
    <s v="Small"/>
    <n v="12"/>
    <n v="37"/>
    <n v="67.930000000000007"/>
    <n v="83"/>
    <n v="2513.41"/>
    <n v="-557.59"/>
    <x v="75"/>
    <x v="0"/>
    <n v="4"/>
    <n v="10"/>
    <n v="2003"/>
    <x v="3"/>
  </r>
  <r>
    <n v="10235"/>
    <s v="S24_3949"/>
    <x v="89"/>
    <x v="70"/>
    <x v="6"/>
    <x v="0"/>
    <s v="Small"/>
    <n v="12"/>
    <n v="33"/>
    <n v="60.05"/>
    <n v="68"/>
    <n v="1981.65"/>
    <n v="-262.35000000000002"/>
    <x v="210"/>
    <x v="0"/>
    <n v="2"/>
    <n v="4"/>
    <n v="2004"/>
    <x v="4"/>
  </r>
  <r>
    <n v="10386"/>
    <s v="S24_3949"/>
    <x v="26"/>
    <x v="21"/>
    <x v="8"/>
    <x v="1"/>
    <s v="Medium"/>
    <n v="12"/>
    <n v="41"/>
    <n v="73.319999999999993"/>
    <n v="68"/>
    <n v="3006.12"/>
    <n v="218.12"/>
    <x v="178"/>
    <x v="4"/>
    <n v="1"/>
    <n v="3"/>
    <n v="2005"/>
    <x v="4"/>
  </r>
  <r>
    <n v="10401"/>
    <s v="S24_3949"/>
    <x v="24"/>
    <x v="19"/>
    <x v="0"/>
    <x v="0"/>
    <s v="Medium"/>
    <n v="12"/>
    <n v="64"/>
    <n v="60.05"/>
    <n v="68"/>
    <n v="3843.2"/>
    <n v="-508.8"/>
    <x v="212"/>
    <x v="5"/>
    <n v="2"/>
    <n v="4"/>
    <n v="2005"/>
    <x v="4"/>
  </r>
  <r>
    <n v="10193"/>
    <s v="S24_3969"/>
    <x v="65"/>
    <x v="52"/>
    <x v="2"/>
    <x v="2"/>
    <s v="Small"/>
    <n v="12"/>
    <n v="22"/>
    <n v="41.03"/>
    <n v="41"/>
    <n v="902.66"/>
    <n v="0.66"/>
    <x v="101"/>
    <x v="0"/>
    <n v="4"/>
    <n v="11"/>
    <n v="2003"/>
    <x v="3"/>
  </r>
  <r>
    <n v="10380"/>
    <s v="S24_3969"/>
    <x v="26"/>
    <x v="21"/>
    <x v="8"/>
    <x v="1"/>
    <s v="Medium"/>
    <n v="12"/>
    <n v="43"/>
    <n v="95.03"/>
    <n v="41"/>
    <n v="4086.29"/>
    <n v="2323.29"/>
    <x v="136"/>
    <x v="0"/>
    <n v="1"/>
    <n v="2"/>
    <n v="2005"/>
    <x v="3"/>
  </r>
  <r>
    <n v="10183"/>
    <s v="S24_4258"/>
    <x v="18"/>
    <x v="8"/>
    <x v="0"/>
    <x v="0"/>
    <s v="Medium"/>
    <n v="12"/>
    <n v="47"/>
    <n v="100"/>
    <n v="97"/>
    <n v="5035.1099999999997"/>
    <n v="476.11"/>
    <x v="19"/>
    <x v="0"/>
    <n v="4"/>
    <n v="11"/>
    <n v="2003"/>
    <x v="3"/>
  </r>
  <r>
    <n v="10305"/>
    <s v="S32_1268"/>
    <x v="87"/>
    <x v="36"/>
    <x v="0"/>
    <x v="0"/>
    <s v="Medium"/>
    <n v="12"/>
    <n v="28"/>
    <n v="100"/>
    <n v="96"/>
    <n v="3155.04"/>
    <n v="467.04"/>
    <x v="196"/>
    <x v="0"/>
    <n v="4"/>
    <n v="10"/>
    <n v="2004"/>
    <x v="2"/>
  </r>
  <r>
    <n v="10145"/>
    <s v="S32_1374"/>
    <x v="22"/>
    <x v="18"/>
    <x v="0"/>
    <x v="0"/>
    <s v="Medium"/>
    <n v="12"/>
    <n v="33"/>
    <n v="93.9"/>
    <n v="99"/>
    <n v="3098.7"/>
    <n v="-168.3"/>
    <x v="213"/>
    <x v="0"/>
    <n v="3"/>
    <n v="8"/>
    <n v="2003"/>
    <x v="0"/>
  </r>
  <r>
    <n v="10285"/>
    <s v="S32_1374"/>
    <x v="87"/>
    <x v="36"/>
    <x v="0"/>
    <x v="0"/>
    <s v="Medium"/>
    <n v="12"/>
    <n v="37"/>
    <n v="98.89"/>
    <n v="99"/>
    <n v="3658.93"/>
    <n v="-4.07"/>
    <x v="215"/>
    <x v="0"/>
    <n v="3"/>
    <n v="8"/>
    <n v="2004"/>
    <x v="0"/>
  </r>
  <r>
    <n v="10175"/>
    <s v="S32_3522"/>
    <x v="42"/>
    <x v="33"/>
    <x v="15"/>
    <x v="1"/>
    <s v="Small"/>
    <n v="12"/>
    <n v="29"/>
    <n v="74.98"/>
    <n v="64"/>
    <n v="2174.42"/>
    <n v="318.42"/>
    <x v="21"/>
    <x v="0"/>
    <n v="4"/>
    <n v="11"/>
    <n v="2003"/>
    <x v="2"/>
  </r>
  <r>
    <n v="10229"/>
    <s v="S32_3522"/>
    <x v="43"/>
    <x v="34"/>
    <x v="0"/>
    <x v="0"/>
    <s v="Small"/>
    <n v="12"/>
    <n v="30"/>
    <n v="73.040000000000006"/>
    <n v="64"/>
    <n v="2191.1999999999998"/>
    <n v="271.2"/>
    <x v="48"/>
    <x v="0"/>
    <n v="1"/>
    <n v="3"/>
    <n v="2004"/>
    <x v="2"/>
  </r>
  <r>
    <n v="10281"/>
    <s v="S32_3522"/>
    <x v="4"/>
    <x v="4"/>
    <x v="0"/>
    <x v="0"/>
    <s v="Small"/>
    <n v="12"/>
    <n v="36"/>
    <n v="77.569999999999993"/>
    <n v="64"/>
    <n v="2792.52"/>
    <n v="488.52"/>
    <x v="49"/>
    <x v="0"/>
    <n v="3"/>
    <n v="8"/>
    <n v="2004"/>
    <x v="2"/>
  </r>
  <r>
    <n v="10168"/>
    <s v="S32_4289"/>
    <x v="0"/>
    <x v="0"/>
    <x v="0"/>
    <x v="0"/>
    <s v="Small"/>
    <n v="12"/>
    <n v="31"/>
    <n v="73.61"/>
    <n v="68"/>
    <n v="2281.91"/>
    <n v="173.91"/>
    <x v="0"/>
    <x v="0"/>
    <n v="4"/>
    <n v="10"/>
    <n v="2003"/>
    <x v="3"/>
  </r>
  <r>
    <n v="10223"/>
    <s v="S32_4289"/>
    <x v="2"/>
    <x v="2"/>
    <x v="2"/>
    <x v="2"/>
    <s v="Small"/>
    <n v="12"/>
    <n v="20"/>
    <n v="66.040000000000006"/>
    <n v="68"/>
    <n v="1320.8"/>
    <n v="-39.200000000000003"/>
    <x v="2"/>
    <x v="0"/>
    <n v="1"/>
    <n v="2"/>
    <n v="2004"/>
    <x v="3"/>
  </r>
  <r>
    <n v="10275"/>
    <s v="S32_4289"/>
    <x v="3"/>
    <x v="3"/>
    <x v="3"/>
    <x v="1"/>
    <s v="Small"/>
    <n v="12"/>
    <n v="28"/>
    <n v="63.97"/>
    <n v="68"/>
    <n v="1791.16"/>
    <n v="-112.84"/>
    <x v="3"/>
    <x v="0"/>
    <n v="3"/>
    <n v="7"/>
    <n v="2004"/>
    <x v="3"/>
  </r>
  <r>
    <n v="10159"/>
    <s v="S32_4485"/>
    <x v="21"/>
    <x v="17"/>
    <x v="0"/>
    <x v="0"/>
    <s v="Small"/>
    <n v="12"/>
    <n v="23"/>
    <n v="100"/>
    <n v="102"/>
    <n v="2347.15"/>
    <n v="1.1499999999999999"/>
    <x v="160"/>
    <x v="0"/>
    <n v="4"/>
    <n v="10"/>
    <n v="2003"/>
    <x v="0"/>
  </r>
  <r>
    <n v="10169"/>
    <s v="S32_4485"/>
    <x v="47"/>
    <x v="38"/>
    <x v="2"/>
    <x v="2"/>
    <s v="Medium"/>
    <n v="12"/>
    <n v="34"/>
    <n v="100"/>
    <n v="102"/>
    <n v="3920.88"/>
    <n v="452.88"/>
    <x v="185"/>
    <x v="0"/>
    <n v="4"/>
    <n v="11"/>
    <n v="2003"/>
    <x v="0"/>
  </r>
  <r>
    <n v="10211"/>
    <s v="S32_4485"/>
    <x v="11"/>
    <x v="9"/>
    <x v="3"/>
    <x v="1"/>
    <s v="Medium"/>
    <n v="12"/>
    <n v="37"/>
    <n v="100"/>
    <n v="102"/>
    <n v="4040.03"/>
    <n v="266.02999999999997"/>
    <x v="186"/>
    <x v="0"/>
    <n v="1"/>
    <n v="1"/>
    <n v="2004"/>
    <x v="0"/>
  </r>
  <r>
    <n v="10390"/>
    <s v="S32_4485"/>
    <x v="43"/>
    <x v="34"/>
    <x v="0"/>
    <x v="0"/>
    <s v="Small"/>
    <n v="12"/>
    <n v="45"/>
    <n v="48.98"/>
    <n v="102"/>
    <n v="2204.1"/>
    <n v="-2385.9"/>
    <x v="122"/>
    <x v="0"/>
    <n v="1"/>
    <n v="3"/>
    <n v="2005"/>
    <x v="0"/>
  </r>
  <r>
    <n v="10120"/>
    <s v="S50_1341"/>
    <x v="2"/>
    <x v="2"/>
    <x v="2"/>
    <x v="2"/>
    <s v="Small"/>
    <n v="12"/>
    <n v="49"/>
    <n v="50.62"/>
    <n v="43"/>
    <n v="2480.38"/>
    <n v="373.38"/>
    <x v="149"/>
    <x v="0"/>
    <n v="2"/>
    <n v="4"/>
    <n v="2003"/>
    <x v="3"/>
  </r>
  <r>
    <n v="10282"/>
    <s v="S50_1392"/>
    <x v="43"/>
    <x v="34"/>
    <x v="0"/>
    <x v="0"/>
    <s v="Medium"/>
    <n v="12"/>
    <n v="38"/>
    <n v="100"/>
    <n v="115"/>
    <n v="4310.72"/>
    <n v="-59.28"/>
    <x v="109"/>
    <x v="0"/>
    <n v="3"/>
    <n v="8"/>
    <n v="2004"/>
    <x v="2"/>
  </r>
  <r>
    <n v="10314"/>
    <s v="S50_1392"/>
    <x v="69"/>
    <x v="56"/>
    <x v="10"/>
    <x v="1"/>
    <s v="Medium"/>
    <n v="12"/>
    <n v="28"/>
    <n v="100"/>
    <n v="115"/>
    <n v="3403.12"/>
    <n v="183.12"/>
    <x v="110"/>
    <x v="0"/>
    <n v="4"/>
    <n v="10"/>
    <n v="2004"/>
    <x v="2"/>
  </r>
  <r>
    <n v="10167"/>
    <s v="S700_1138"/>
    <x v="51"/>
    <x v="42"/>
    <x v="4"/>
    <x v="1"/>
    <s v="Medium"/>
    <n v="12"/>
    <n v="43"/>
    <n v="75.34"/>
    <n v="66"/>
    <n v="3239.62"/>
    <n v="401.62"/>
    <x v="68"/>
    <x v="3"/>
    <n v="4"/>
    <n v="10"/>
    <n v="2003"/>
    <x v="5"/>
  </r>
  <r>
    <n v="10210"/>
    <s v="S700_1691"/>
    <x v="12"/>
    <x v="10"/>
    <x v="5"/>
    <x v="2"/>
    <s v="Small"/>
    <n v="12"/>
    <n v="21"/>
    <n v="78.55"/>
    <n v="91"/>
    <n v="1649.55"/>
    <n v="-261.45"/>
    <x v="13"/>
    <x v="0"/>
    <n v="1"/>
    <n v="1"/>
    <n v="2004"/>
    <x v="4"/>
  </r>
  <r>
    <n v="10308"/>
    <s v="S700_1691"/>
    <x v="13"/>
    <x v="11"/>
    <x v="0"/>
    <x v="0"/>
    <s v="Small"/>
    <n v="12"/>
    <n v="21"/>
    <n v="100"/>
    <n v="91"/>
    <n v="2224.9499999999998"/>
    <n v="313.95"/>
    <x v="14"/>
    <x v="0"/>
    <n v="4"/>
    <n v="10"/>
    <n v="2004"/>
    <x v="4"/>
  </r>
  <r>
    <n v="10105"/>
    <s v="S700_1938"/>
    <x v="30"/>
    <x v="24"/>
    <x v="10"/>
    <x v="1"/>
    <s v="Small"/>
    <n v="12"/>
    <n v="29"/>
    <n v="70.150000000000006"/>
    <n v="86"/>
    <n v="2034.35"/>
    <n v="-459.65"/>
    <x v="187"/>
    <x v="0"/>
    <n v="1"/>
    <n v="2"/>
    <n v="2003"/>
    <x v="5"/>
  </r>
  <r>
    <n v="10119"/>
    <s v="S700_2610"/>
    <x v="32"/>
    <x v="26"/>
    <x v="11"/>
    <x v="1"/>
    <s v="Small"/>
    <n v="12"/>
    <n v="38"/>
    <n v="65.77"/>
    <n v="72"/>
    <n v="2499.2600000000002"/>
    <n v="-236.74"/>
    <x v="247"/>
    <x v="0"/>
    <n v="2"/>
    <n v="4"/>
    <n v="2003"/>
    <x v="5"/>
  </r>
  <r>
    <n v="10350"/>
    <s v="S700_2610"/>
    <x v="26"/>
    <x v="21"/>
    <x v="8"/>
    <x v="1"/>
    <s v="Small"/>
    <n v="12"/>
    <n v="29"/>
    <n v="75.349999999999994"/>
    <n v="72"/>
    <n v="2185.15"/>
    <n v="97.15"/>
    <x v="111"/>
    <x v="0"/>
    <n v="4"/>
    <n v="12"/>
    <n v="2004"/>
    <x v="5"/>
  </r>
  <r>
    <n v="10250"/>
    <s v="S700_4002"/>
    <x v="55"/>
    <x v="44"/>
    <x v="0"/>
    <x v="0"/>
    <s v="Small"/>
    <n v="12"/>
    <n v="38"/>
    <n v="62.19"/>
    <n v="74"/>
    <n v="2363.2199999999998"/>
    <n v="-448.78"/>
    <x v="161"/>
    <x v="0"/>
    <n v="2"/>
    <n v="5"/>
    <n v="2004"/>
    <x v="4"/>
  </r>
  <r>
    <n v="10328"/>
    <s v="S700_4002"/>
    <x v="67"/>
    <x v="54"/>
    <x v="12"/>
    <x v="1"/>
    <s v="Medium"/>
    <n v="12"/>
    <n v="39"/>
    <n v="85.87"/>
    <n v="74"/>
    <n v="3348.93"/>
    <n v="462.93"/>
    <x v="177"/>
    <x v="0"/>
    <n v="4"/>
    <n v="11"/>
    <n v="2004"/>
    <x v="4"/>
  </r>
  <r>
    <n v="10398"/>
    <s v="S700_4002"/>
    <x v="82"/>
    <x v="64"/>
    <x v="3"/>
    <x v="1"/>
    <s v="Medium"/>
    <n v="12"/>
    <n v="36"/>
    <n v="87.36"/>
    <n v="74"/>
    <n v="3144.96"/>
    <n v="480.96"/>
    <x v="248"/>
    <x v="0"/>
    <n v="1"/>
    <n v="3"/>
    <n v="2005"/>
    <x v="4"/>
  </r>
  <r>
    <n v="10416"/>
    <s v="S700_4002"/>
    <x v="35"/>
    <x v="28"/>
    <x v="12"/>
    <x v="1"/>
    <s v="Small"/>
    <n v="12"/>
    <n v="43"/>
    <n v="62.19"/>
    <n v="74"/>
    <n v="2674.17"/>
    <n v="-507.83"/>
    <x v="163"/>
    <x v="0"/>
    <n v="2"/>
    <n v="5"/>
    <n v="2005"/>
    <x v="4"/>
  </r>
  <r>
    <n v="10262"/>
    <s v="S72_1253"/>
    <x v="26"/>
    <x v="21"/>
    <x v="8"/>
    <x v="1"/>
    <s v="Small"/>
    <n v="12"/>
    <n v="21"/>
    <n v="57.11"/>
    <n v="49"/>
    <n v="1199.31"/>
    <n v="170.31"/>
    <x v="155"/>
    <x v="3"/>
    <n v="2"/>
    <n v="6"/>
    <n v="2004"/>
    <x v="4"/>
  </r>
  <r>
    <n v="10316"/>
    <s v="S72_1253"/>
    <x v="84"/>
    <x v="66"/>
    <x v="15"/>
    <x v="1"/>
    <s v="Small"/>
    <n v="12"/>
    <n v="34"/>
    <n v="43.7"/>
    <n v="49"/>
    <n v="1485.8"/>
    <n v="-180.2"/>
    <x v="156"/>
    <x v="0"/>
    <n v="4"/>
    <n v="11"/>
    <n v="2004"/>
    <x v="4"/>
  </r>
  <r>
    <n v="10361"/>
    <s v="S72_1253"/>
    <x v="64"/>
    <x v="51"/>
    <x v="2"/>
    <x v="2"/>
    <s v="Small"/>
    <n v="12"/>
    <n v="23"/>
    <n v="95.2"/>
    <n v="49"/>
    <n v="2189.6"/>
    <n v="1062.5999999999999"/>
    <x v="201"/>
    <x v="0"/>
    <n v="4"/>
    <n v="12"/>
    <n v="2004"/>
    <x v="4"/>
  </r>
  <r>
    <n v="10197"/>
    <s v="S72_3212"/>
    <x v="88"/>
    <x v="69"/>
    <x v="8"/>
    <x v="1"/>
    <s v="Small"/>
    <n v="12"/>
    <n v="42"/>
    <n v="50.23"/>
    <n v="54"/>
    <n v="2109.66"/>
    <n v="-158.34"/>
    <x v="108"/>
    <x v="0"/>
    <n v="4"/>
    <n v="11"/>
    <n v="2003"/>
    <x v="5"/>
  </r>
  <r>
    <n v="10283"/>
    <s v="S72_3212"/>
    <x v="89"/>
    <x v="70"/>
    <x v="6"/>
    <x v="0"/>
    <s v="Small"/>
    <n v="12"/>
    <n v="33"/>
    <n v="51.32"/>
    <n v="54"/>
    <n v="1693.56"/>
    <n v="-88.44"/>
    <x v="109"/>
    <x v="0"/>
    <n v="3"/>
    <n v="8"/>
    <n v="2004"/>
    <x v="5"/>
  </r>
  <r>
    <n v="10361"/>
    <s v="S10_1678"/>
    <x v="64"/>
    <x v="51"/>
    <x v="2"/>
    <x v="2"/>
    <s v="Small"/>
    <n v="13"/>
    <n v="20"/>
    <n v="72.55"/>
    <n v="95"/>
    <n v="1451"/>
    <n v="-449"/>
    <x v="201"/>
    <x v="0"/>
    <n v="4"/>
    <n v="12"/>
    <n v="2004"/>
    <x v="0"/>
  </r>
  <r>
    <n v="10155"/>
    <s v="S10_4757"/>
    <x v="44"/>
    <x v="35"/>
    <x v="14"/>
    <x v="1"/>
    <s v="Medium"/>
    <n v="13"/>
    <n v="32"/>
    <n v="100"/>
    <n v="136"/>
    <n v="4526.08"/>
    <n v="174.08"/>
    <x v="75"/>
    <x v="0"/>
    <n v="4"/>
    <n v="10"/>
    <n v="2003"/>
    <x v="1"/>
  </r>
  <r>
    <n v="10305"/>
    <s v="S10_4962"/>
    <x v="87"/>
    <x v="36"/>
    <x v="0"/>
    <x v="0"/>
    <s v="Medium"/>
    <n v="13"/>
    <n v="38"/>
    <n v="100"/>
    <n v="147"/>
    <n v="6680.78"/>
    <n v="1094.78"/>
    <x v="196"/>
    <x v="0"/>
    <n v="4"/>
    <n v="10"/>
    <n v="2004"/>
    <x v="1"/>
  </r>
  <r>
    <n v="10253"/>
    <s v="S12_1099"/>
    <x v="50"/>
    <x v="41"/>
    <x v="15"/>
    <x v="1"/>
    <s v="Medium"/>
    <n v="13"/>
    <n v="24"/>
    <n v="100"/>
    <n v="194"/>
    <n v="3922.56"/>
    <n v="-733.44"/>
    <x v="65"/>
    <x v="3"/>
    <n v="2"/>
    <n v="6"/>
    <n v="2004"/>
    <x v="1"/>
  </r>
  <r>
    <n v="10419"/>
    <s v="S12_1099"/>
    <x v="32"/>
    <x v="26"/>
    <x v="11"/>
    <x v="1"/>
    <s v="Small"/>
    <n v="13"/>
    <n v="12"/>
    <n v="100"/>
    <n v="194"/>
    <n v="1961.28"/>
    <n v="-366.72"/>
    <x v="67"/>
    <x v="0"/>
    <n v="2"/>
    <n v="5"/>
    <n v="2005"/>
    <x v="1"/>
  </r>
  <r>
    <n v="10185"/>
    <s v="S12_1108"/>
    <x v="49"/>
    <x v="40"/>
    <x v="0"/>
    <x v="0"/>
    <s v="Medium"/>
    <n v="13"/>
    <n v="21"/>
    <n v="100"/>
    <n v="207"/>
    <n v="3883.74"/>
    <n v="-463.26"/>
    <x v="69"/>
    <x v="0"/>
    <n v="4"/>
    <n v="11"/>
    <n v="2003"/>
    <x v="1"/>
  </r>
  <r>
    <n v="10208"/>
    <s v="S12_1108"/>
    <x v="73"/>
    <x v="59"/>
    <x v="3"/>
    <x v="1"/>
    <s v="Large"/>
    <n v="13"/>
    <n v="46"/>
    <n v="100"/>
    <n v="207"/>
    <n v="8602.92"/>
    <n v="-919.08"/>
    <x v="237"/>
    <x v="0"/>
    <n v="1"/>
    <n v="1"/>
    <n v="2004"/>
    <x v="1"/>
  </r>
  <r>
    <n v="10306"/>
    <s v="S12_1108"/>
    <x v="62"/>
    <x v="50"/>
    <x v="15"/>
    <x v="1"/>
    <s v="Medium"/>
    <n v="13"/>
    <n v="31"/>
    <n v="100"/>
    <n v="207"/>
    <n v="6570.76"/>
    <n v="153.76"/>
    <x v="71"/>
    <x v="0"/>
    <n v="4"/>
    <n v="10"/>
    <n v="2004"/>
    <x v="1"/>
  </r>
  <r>
    <n v="10229"/>
    <s v="S12_1666"/>
    <x v="43"/>
    <x v="34"/>
    <x v="0"/>
    <x v="0"/>
    <s v="Medium"/>
    <n v="13"/>
    <n v="25"/>
    <n v="100"/>
    <n v="136"/>
    <n v="3451"/>
    <n v="51"/>
    <x v="48"/>
    <x v="0"/>
    <n v="1"/>
    <n v="3"/>
    <n v="2004"/>
    <x v="2"/>
  </r>
  <r>
    <n v="10281"/>
    <s v="S12_1666"/>
    <x v="4"/>
    <x v="4"/>
    <x v="0"/>
    <x v="0"/>
    <s v="Small"/>
    <n v="13"/>
    <n v="25"/>
    <n v="100"/>
    <n v="136"/>
    <n v="2938.5"/>
    <n v="-461.5"/>
    <x v="49"/>
    <x v="0"/>
    <n v="3"/>
    <n v="8"/>
    <n v="2004"/>
    <x v="2"/>
  </r>
  <r>
    <n v="10159"/>
    <s v="S12_2823"/>
    <x v="21"/>
    <x v="17"/>
    <x v="0"/>
    <x v="0"/>
    <s v="Medium"/>
    <n v="13"/>
    <n v="38"/>
    <n v="100"/>
    <n v="150"/>
    <n v="6238.84"/>
    <n v="538.84"/>
    <x v="160"/>
    <x v="0"/>
    <n v="4"/>
    <n v="10"/>
    <n v="2003"/>
    <x v="0"/>
  </r>
  <r>
    <n v="10169"/>
    <s v="S12_2823"/>
    <x v="47"/>
    <x v="38"/>
    <x v="2"/>
    <x v="2"/>
    <s v="Medium"/>
    <n v="13"/>
    <n v="35"/>
    <n v="100"/>
    <n v="150"/>
    <n v="4639.25"/>
    <n v="-610.75"/>
    <x v="185"/>
    <x v="0"/>
    <n v="4"/>
    <n v="11"/>
    <n v="2003"/>
    <x v="0"/>
  </r>
  <r>
    <n v="10211"/>
    <s v="S12_2823"/>
    <x v="11"/>
    <x v="9"/>
    <x v="3"/>
    <x v="1"/>
    <s v="Medium"/>
    <n v="13"/>
    <n v="36"/>
    <n v="100"/>
    <n v="150"/>
    <n v="4771.8"/>
    <n v="-628.20000000000005"/>
    <x v="186"/>
    <x v="0"/>
    <n v="1"/>
    <n v="1"/>
    <n v="2004"/>
    <x v="0"/>
  </r>
  <r>
    <n v="10375"/>
    <s v="S12_2823"/>
    <x v="3"/>
    <x v="3"/>
    <x v="3"/>
    <x v="1"/>
    <s v="Medium"/>
    <n v="13"/>
    <n v="49"/>
    <n v="78.92"/>
    <n v="150"/>
    <n v="3867.08"/>
    <n v="-3482.92"/>
    <x v="234"/>
    <x v="0"/>
    <n v="1"/>
    <n v="2"/>
    <n v="2005"/>
    <x v="0"/>
  </r>
  <r>
    <n v="10142"/>
    <s v="S12_3148"/>
    <x v="43"/>
    <x v="34"/>
    <x v="0"/>
    <x v="0"/>
    <s v="Medium"/>
    <n v="13"/>
    <n v="33"/>
    <n v="100"/>
    <n v="151"/>
    <n v="4985.6400000000003"/>
    <n v="2.64"/>
    <x v="182"/>
    <x v="0"/>
    <n v="3"/>
    <n v="8"/>
    <n v="2003"/>
    <x v="1"/>
  </r>
  <r>
    <n v="10329"/>
    <s v="S12_3380"/>
    <x v="5"/>
    <x v="5"/>
    <x v="0"/>
    <x v="0"/>
    <s v="Medium"/>
    <n v="13"/>
    <n v="46"/>
    <n v="83.63"/>
    <n v="117"/>
    <n v="3846.98"/>
    <n v="-1535.02"/>
    <x v="5"/>
    <x v="0"/>
    <n v="4"/>
    <n v="11"/>
    <n v="2004"/>
    <x v="1"/>
  </r>
  <r>
    <n v="10287"/>
    <s v="S12_3990"/>
    <x v="48"/>
    <x v="39"/>
    <x v="16"/>
    <x v="1"/>
    <s v="Small"/>
    <n v="13"/>
    <n v="41"/>
    <n v="69.430000000000007"/>
    <n v="79"/>
    <n v="2846.63"/>
    <n v="-392.37"/>
    <x v="99"/>
    <x v="0"/>
    <n v="3"/>
    <n v="8"/>
    <n v="2004"/>
    <x v="1"/>
  </r>
  <r>
    <n v="10382"/>
    <s v="S12_4473"/>
    <x v="43"/>
    <x v="34"/>
    <x v="0"/>
    <x v="0"/>
    <s v="Small"/>
    <n v="13"/>
    <n v="32"/>
    <n v="66.58"/>
    <n v="118"/>
    <n v="2130.56"/>
    <n v="-1645.44"/>
    <x v="23"/>
    <x v="0"/>
    <n v="1"/>
    <n v="2"/>
    <n v="2005"/>
    <x v="2"/>
  </r>
  <r>
    <n v="10148"/>
    <s v="S18_1129"/>
    <x v="47"/>
    <x v="38"/>
    <x v="2"/>
    <x v="2"/>
    <s v="Small"/>
    <n v="13"/>
    <n v="23"/>
    <n v="100"/>
    <n v="141"/>
    <n v="2702.04"/>
    <n v="-540.96"/>
    <x v="134"/>
    <x v="0"/>
    <n v="3"/>
    <n v="9"/>
    <n v="2003"/>
    <x v="1"/>
  </r>
  <r>
    <n v="10304"/>
    <s v="S18_1342"/>
    <x v="20"/>
    <x v="16"/>
    <x v="3"/>
    <x v="1"/>
    <s v="Medium"/>
    <n v="13"/>
    <n v="37"/>
    <n v="95.55"/>
    <n v="102"/>
    <n v="3535.35"/>
    <n v="-238.65"/>
    <x v="241"/>
    <x v="0"/>
    <n v="4"/>
    <n v="10"/>
    <n v="2004"/>
    <x v="3"/>
  </r>
  <r>
    <n v="10380"/>
    <s v="S18_1342"/>
    <x v="26"/>
    <x v="21"/>
    <x v="8"/>
    <x v="1"/>
    <s v="Small"/>
    <n v="13"/>
    <n v="27"/>
    <n v="93.16"/>
    <n v="102"/>
    <n v="2515.3200000000002"/>
    <n v="-238.68"/>
    <x v="136"/>
    <x v="0"/>
    <n v="1"/>
    <n v="2"/>
    <n v="2005"/>
    <x v="3"/>
  </r>
  <r>
    <n v="10204"/>
    <s v="S18_1589"/>
    <x v="34"/>
    <x v="5"/>
    <x v="0"/>
    <x v="0"/>
    <s v="Medium"/>
    <n v="13"/>
    <n v="40"/>
    <n v="100"/>
    <n v="124"/>
    <n v="4032"/>
    <n v="-928"/>
    <x v="86"/>
    <x v="0"/>
    <n v="4"/>
    <n v="12"/>
    <n v="2003"/>
    <x v="1"/>
  </r>
  <r>
    <n v="10173"/>
    <s v="S18_1749"/>
    <x v="67"/>
    <x v="54"/>
    <x v="12"/>
    <x v="1"/>
    <s v="Medium"/>
    <n v="13"/>
    <n v="24"/>
    <n v="100"/>
    <n v="170"/>
    <n v="3508.8"/>
    <n v="-571.20000000000005"/>
    <x v="80"/>
    <x v="0"/>
    <n v="4"/>
    <n v="11"/>
    <n v="2003"/>
    <x v="3"/>
  </r>
  <r>
    <n v="10282"/>
    <s v="S18_2238"/>
    <x v="43"/>
    <x v="34"/>
    <x v="0"/>
    <x v="0"/>
    <s v="Medium"/>
    <n v="13"/>
    <n v="23"/>
    <n v="100"/>
    <n v="163"/>
    <n v="3238.63"/>
    <n v="-510.37"/>
    <x v="109"/>
    <x v="0"/>
    <n v="3"/>
    <n v="8"/>
    <n v="2004"/>
    <x v="1"/>
  </r>
  <r>
    <n v="10314"/>
    <s v="S18_2238"/>
    <x v="69"/>
    <x v="56"/>
    <x v="10"/>
    <x v="1"/>
    <s v="Medium"/>
    <n v="13"/>
    <n v="42"/>
    <n v="100"/>
    <n v="163"/>
    <n v="5776.26"/>
    <n v="-1069.74"/>
    <x v="110"/>
    <x v="0"/>
    <n v="4"/>
    <n v="10"/>
    <n v="2004"/>
    <x v="1"/>
  </r>
  <r>
    <n v="10193"/>
    <s v="S18_2248"/>
    <x v="65"/>
    <x v="52"/>
    <x v="2"/>
    <x v="2"/>
    <s v="Small"/>
    <n v="13"/>
    <n v="42"/>
    <n v="59.33"/>
    <n v="60"/>
    <n v="2491.86"/>
    <n v="-28.14"/>
    <x v="101"/>
    <x v="0"/>
    <n v="4"/>
    <n v="11"/>
    <n v="2003"/>
    <x v="3"/>
  </r>
  <r>
    <n v="10280"/>
    <s v="S18_2325"/>
    <x v="46"/>
    <x v="37"/>
    <x v="12"/>
    <x v="1"/>
    <s v="Medium"/>
    <n v="13"/>
    <n v="37"/>
    <n v="100"/>
    <n v="127"/>
    <n v="4750.8"/>
    <n v="51.8"/>
    <x v="53"/>
    <x v="0"/>
    <n v="3"/>
    <n v="8"/>
    <n v="2004"/>
    <x v="3"/>
  </r>
  <r>
    <n v="10207"/>
    <s v="S18_2432"/>
    <x v="77"/>
    <x v="14"/>
    <x v="0"/>
    <x v="0"/>
    <s v="Small"/>
    <n v="13"/>
    <n v="37"/>
    <n v="69.89"/>
    <n v="60"/>
    <n v="2585.9299999999998"/>
    <n v="365.93"/>
    <x v="131"/>
    <x v="0"/>
    <n v="4"/>
    <n v="12"/>
    <n v="2003"/>
    <x v="2"/>
  </r>
  <r>
    <n v="10180"/>
    <s v="S18_2625"/>
    <x v="75"/>
    <x v="61"/>
    <x v="3"/>
    <x v="1"/>
    <s v="Small"/>
    <n v="13"/>
    <n v="25"/>
    <n v="64.2"/>
    <n v="60"/>
    <n v="1605"/>
    <n v="105"/>
    <x v="202"/>
    <x v="0"/>
    <n v="4"/>
    <n v="11"/>
    <n v="2003"/>
    <x v="0"/>
  </r>
  <r>
    <n v="10322"/>
    <s v="S18_2957"/>
    <x v="8"/>
    <x v="7"/>
    <x v="0"/>
    <x v="0"/>
    <s v="Small"/>
    <n v="13"/>
    <n v="41"/>
    <n v="29.87"/>
    <n v="62"/>
    <n v="1224.67"/>
    <n v="-1317.33"/>
    <x v="8"/>
    <x v="0"/>
    <n v="4"/>
    <n v="11"/>
    <n v="2004"/>
    <x v="3"/>
  </r>
  <r>
    <n v="10143"/>
    <s v="S18_3029"/>
    <x v="49"/>
    <x v="40"/>
    <x v="0"/>
    <x v="0"/>
    <s v="Medium"/>
    <n v="13"/>
    <n v="46"/>
    <n v="74.84"/>
    <n v="86"/>
    <n v="3442.64"/>
    <n v="-513.36"/>
    <x v="221"/>
    <x v="0"/>
    <n v="3"/>
    <n v="8"/>
    <n v="2003"/>
    <x v="5"/>
  </r>
  <r>
    <n v="10296"/>
    <s v="S18_3029"/>
    <x v="91"/>
    <x v="72"/>
    <x v="9"/>
    <x v="1"/>
    <s v="Small"/>
    <n v="13"/>
    <n v="21"/>
    <n v="96.34"/>
    <n v="86"/>
    <n v="2023.14"/>
    <n v="217.14"/>
    <x v="223"/>
    <x v="0"/>
    <n v="3"/>
    <n v="9"/>
    <n v="2004"/>
    <x v="5"/>
  </r>
  <r>
    <n v="10103"/>
    <s v="S18_3136"/>
    <x v="39"/>
    <x v="31"/>
    <x v="1"/>
    <x v="1"/>
    <s v="Small"/>
    <n v="13"/>
    <n v="25"/>
    <n v="100"/>
    <n v="104"/>
    <n v="2539.5"/>
    <n v="-60.5"/>
    <x v="166"/>
    <x v="0"/>
    <n v="1"/>
    <n v="1"/>
    <n v="2003"/>
    <x v="3"/>
  </r>
  <r>
    <n v="10126"/>
    <s v="S18_3136"/>
    <x v="63"/>
    <x v="21"/>
    <x v="8"/>
    <x v="1"/>
    <s v="Small"/>
    <n v="13"/>
    <n v="30"/>
    <n v="97.39"/>
    <n v="104"/>
    <n v="2921.7"/>
    <n v="-198.3"/>
    <x v="167"/>
    <x v="0"/>
    <n v="2"/>
    <n v="5"/>
    <n v="2003"/>
    <x v="3"/>
  </r>
  <r>
    <n v="10291"/>
    <s v="S18_3136"/>
    <x v="51"/>
    <x v="42"/>
    <x v="4"/>
    <x v="1"/>
    <s v="Small"/>
    <n v="13"/>
    <n v="23"/>
    <n v="100"/>
    <n v="104"/>
    <n v="2866.26"/>
    <n v="474.26"/>
    <x v="171"/>
    <x v="0"/>
    <n v="3"/>
    <n v="9"/>
    <n v="2004"/>
    <x v="3"/>
  </r>
  <r>
    <n v="10273"/>
    <s v="S18_3140"/>
    <x v="66"/>
    <x v="53"/>
    <x v="17"/>
    <x v="1"/>
    <s v="Medium"/>
    <n v="13"/>
    <n v="40"/>
    <n v="100"/>
    <n v="136"/>
    <n v="5026.3999999999996"/>
    <n v="-413.6"/>
    <x v="70"/>
    <x v="0"/>
    <n v="3"/>
    <n v="7"/>
    <n v="2004"/>
    <x v="3"/>
  </r>
  <r>
    <n v="10104"/>
    <s v="S18_3232"/>
    <x v="26"/>
    <x v="21"/>
    <x v="8"/>
    <x v="1"/>
    <s v="Medium"/>
    <n v="13"/>
    <n v="23"/>
    <n v="100"/>
    <n v="169"/>
    <n v="4556.99"/>
    <n v="669.99"/>
    <x v="31"/>
    <x v="0"/>
    <n v="1"/>
    <n v="1"/>
    <n v="2003"/>
    <x v="1"/>
  </r>
  <r>
    <n v="10105"/>
    <s v="S18_3259"/>
    <x v="30"/>
    <x v="24"/>
    <x v="10"/>
    <x v="1"/>
    <s v="Medium"/>
    <n v="13"/>
    <n v="38"/>
    <n v="100"/>
    <n v="100"/>
    <n v="4330.1000000000004"/>
    <n v="530.1"/>
    <x v="187"/>
    <x v="0"/>
    <n v="1"/>
    <n v="2"/>
    <n v="2003"/>
    <x v="6"/>
  </r>
  <r>
    <n v="10122"/>
    <s v="S18_3278"/>
    <x v="56"/>
    <x v="45"/>
    <x v="3"/>
    <x v="1"/>
    <s v="Small"/>
    <n v="13"/>
    <n v="21"/>
    <n v="73.17"/>
    <n v="80"/>
    <n v="1536.57"/>
    <n v="-143.43"/>
    <x v="78"/>
    <x v="0"/>
    <n v="2"/>
    <n v="5"/>
    <n v="2003"/>
    <x v="1"/>
  </r>
  <r>
    <n v="10310"/>
    <s v="S18_3278"/>
    <x v="29"/>
    <x v="23"/>
    <x v="9"/>
    <x v="1"/>
    <s v="Small"/>
    <n v="13"/>
    <n v="27"/>
    <n v="80.41"/>
    <n v="80"/>
    <n v="2171.0700000000002"/>
    <n v="11.07"/>
    <x v="81"/>
    <x v="0"/>
    <n v="4"/>
    <n v="10"/>
    <n v="2004"/>
    <x v="1"/>
  </r>
  <r>
    <n v="10135"/>
    <s v="S18_3782"/>
    <x v="43"/>
    <x v="34"/>
    <x v="0"/>
    <x v="0"/>
    <s v="Small"/>
    <n v="13"/>
    <n v="45"/>
    <n v="50.36"/>
    <n v="62"/>
    <n v="2266.1999999999998"/>
    <n v="-523.79999999999995"/>
    <x v="180"/>
    <x v="0"/>
    <n v="3"/>
    <n v="7"/>
    <n v="2003"/>
    <x v="0"/>
  </r>
  <r>
    <n v="10324"/>
    <s v="S18_4027"/>
    <x v="28"/>
    <x v="5"/>
    <x v="0"/>
    <x v="0"/>
    <s v="Medium"/>
    <n v="13"/>
    <n v="49"/>
    <n v="100"/>
    <n v="143"/>
    <n v="5379.71"/>
    <n v="-1627.29"/>
    <x v="33"/>
    <x v="0"/>
    <n v="4"/>
    <n v="11"/>
    <n v="2004"/>
    <x v="1"/>
  </r>
  <r>
    <n v="10358"/>
    <s v="S18_4027"/>
    <x v="26"/>
    <x v="21"/>
    <x v="8"/>
    <x v="1"/>
    <s v="Small"/>
    <n v="13"/>
    <n v="25"/>
    <n v="100"/>
    <n v="143"/>
    <n v="2528.25"/>
    <n v="-1046.75"/>
    <x v="54"/>
    <x v="0"/>
    <n v="4"/>
    <n v="12"/>
    <n v="2004"/>
    <x v="1"/>
  </r>
  <r>
    <n v="10259"/>
    <s v="S18_4600"/>
    <x v="81"/>
    <x v="15"/>
    <x v="7"/>
    <x v="2"/>
    <s v="Medium"/>
    <n v="13"/>
    <n v="41"/>
    <n v="100"/>
    <n v="121"/>
    <n v="4666.62"/>
    <n v="-294.38"/>
    <x v="147"/>
    <x v="0"/>
    <n v="2"/>
    <n v="6"/>
    <n v="2004"/>
    <x v="2"/>
  </r>
  <r>
    <n v="10425"/>
    <s v="S18_4600"/>
    <x v="3"/>
    <x v="3"/>
    <x v="3"/>
    <x v="1"/>
    <s v="Medium"/>
    <n v="13"/>
    <n v="38"/>
    <n v="100"/>
    <n v="121"/>
    <n v="4325.16"/>
    <n v="-272.83999999999997"/>
    <x v="148"/>
    <x v="2"/>
    <n v="2"/>
    <n v="5"/>
    <n v="2005"/>
    <x v="2"/>
  </r>
  <r>
    <n v="10363"/>
    <s v="S18_4721"/>
    <x v="38"/>
    <x v="30"/>
    <x v="14"/>
    <x v="1"/>
    <s v="Small"/>
    <n v="13"/>
    <n v="28"/>
    <n v="58.18"/>
    <n v="148"/>
    <n v="1629.04"/>
    <n v="-2514.96"/>
    <x v="190"/>
    <x v="0"/>
    <n v="1"/>
    <n v="1"/>
    <n v="2005"/>
    <x v="1"/>
  </r>
  <r>
    <n v="10110"/>
    <s v="S24_1046"/>
    <x v="62"/>
    <x v="50"/>
    <x v="15"/>
    <x v="1"/>
    <s v="Medium"/>
    <n v="13"/>
    <n v="36"/>
    <n v="85.25"/>
    <n v="73"/>
    <n v="3069"/>
    <n v="441"/>
    <x v="92"/>
    <x v="0"/>
    <n v="1"/>
    <n v="3"/>
    <n v="2003"/>
    <x v="1"/>
  </r>
  <r>
    <n v="10288"/>
    <s v="S24_1628"/>
    <x v="81"/>
    <x v="15"/>
    <x v="7"/>
    <x v="2"/>
    <s v="Small"/>
    <n v="13"/>
    <n v="50"/>
    <n v="52.32"/>
    <n v="50"/>
    <n v="2616"/>
    <n v="116"/>
    <x v="158"/>
    <x v="0"/>
    <n v="3"/>
    <n v="9"/>
    <n v="2004"/>
    <x v="1"/>
  </r>
  <r>
    <n v="10420"/>
    <s v="S24_1628"/>
    <x v="64"/>
    <x v="51"/>
    <x v="2"/>
    <x v="2"/>
    <s v="Small"/>
    <n v="13"/>
    <n v="37"/>
    <n v="60.37"/>
    <n v="50"/>
    <n v="2233.69"/>
    <n v="383.69"/>
    <x v="97"/>
    <x v="2"/>
    <n v="2"/>
    <n v="5"/>
    <n v="2005"/>
    <x v="1"/>
  </r>
  <r>
    <n v="10312"/>
    <s v="S24_1937"/>
    <x v="43"/>
    <x v="34"/>
    <x v="0"/>
    <x v="0"/>
    <s v="Small"/>
    <n v="13"/>
    <n v="39"/>
    <n v="29.54"/>
    <n v="33"/>
    <n v="1152.06"/>
    <n v="-134.94"/>
    <x v="140"/>
    <x v="0"/>
    <n v="4"/>
    <n v="10"/>
    <n v="2004"/>
    <x v="3"/>
  </r>
  <r>
    <n v="10367"/>
    <s v="S24_1937"/>
    <x v="22"/>
    <x v="18"/>
    <x v="0"/>
    <x v="0"/>
    <s v="Small"/>
    <n v="13"/>
    <n v="23"/>
    <n v="36.29"/>
    <n v="33"/>
    <n v="834.67"/>
    <n v="75.67"/>
    <x v="66"/>
    <x v="4"/>
    <n v="1"/>
    <n v="1"/>
    <n v="2005"/>
    <x v="3"/>
  </r>
  <r>
    <n v="10197"/>
    <s v="S24_2011"/>
    <x v="88"/>
    <x v="69"/>
    <x v="8"/>
    <x v="1"/>
    <s v="Medium"/>
    <n v="13"/>
    <n v="41"/>
    <n v="100"/>
    <n v="122"/>
    <n v="4534.6000000000004"/>
    <n v="-467.4"/>
    <x v="108"/>
    <x v="0"/>
    <n v="4"/>
    <n v="11"/>
    <n v="2003"/>
    <x v="5"/>
  </r>
  <r>
    <n v="10283"/>
    <s v="S24_2011"/>
    <x v="89"/>
    <x v="70"/>
    <x v="6"/>
    <x v="0"/>
    <s v="Medium"/>
    <n v="13"/>
    <n v="42"/>
    <n v="100"/>
    <n v="122"/>
    <n v="5316.36"/>
    <n v="192.36"/>
    <x v="109"/>
    <x v="0"/>
    <n v="3"/>
    <n v="8"/>
    <n v="2004"/>
    <x v="5"/>
  </r>
  <r>
    <n v="10165"/>
    <s v="S24_2840"/>
    <x v="17"/>
    <x v="15"/>
    <x v="7"/>
    <x v="2"/>
    <s v="Small"/>
    <n v="13"/>
    <n v="27"/>
    <n v="31.82"/>
    <n v="35"/>
    <n v="859.14"/>
    <n v="-85.86"/>
    <x v="116"/>
    <x v="0"/>
    <n v="4"/>
    <n v="10"/>
    <n v="2003"/>
    <x v="1"/>
  </r>
  <r>
    <n v="10106"/>
    <s v="S24_2841"/>
    <x v="67"/>
    <x v="54"/>
    <x v="12"/>
    <x v="1"/>
    <s v="Medium"/>
    <n v="13"/>
    <n v="49"/>
    <n v="74.680000000000007"/>
    <n v="68"/>
    <n v="3659.32"/>
    <n v="327.32"/>
    <x v="242"/>
    <x v="0"/>
    <n v="1"/>
    <n v="2"/>
    <n v="2003"/>
    <x v="4"/>
  </r>
  <r>
    <n v="10182"/>
    <s v="S24_2887"/>
    <x v="43"/>
    <x v="34"/>
    <x v="0"/>
    <x v="0"/>
    <s v="Small"/>
    <n v="13"/>
    <n v="20"/>
    <n v="100"/>
    <n v="117"/>
    <n v="2395.8000000000002"/>
    <n v="55.8"/>
    <x v="117"/>
    <x v="0"/>
    <n v="4"/>
    <n v="11"/>
    <n v="2003"/>
    <x v="1"/>
  </r>
  <r>
    <n v="10227"/>
    <s v="S24_2887"/>
    <x v="73"/>
    <x v="59"/>
    <x v="3"/>
    <x v="1"/>
    <s v="Medium"/>
    <n v="13"/>
    <n v="33"/>
    <n v="100"/>
    <n v="117"/>
    <n v="4340.49"/>
    <n v="479.49"/>
    <x v="118"/>
    <x v="0"/>
    <n v="1"/>
    <n v="3"/>
    <n v="2004"/>
    <x v="1"/>
  </r>
  <r>
    <n v="10192"/>
    <s v="S24_2972"/>
    <x v="8"/>
    <x v="7"/>
    <x v="0"/>
    <x v="0"/>
    <s v="Small"/>
    <n v="13"/>
    <n v="30"/>
    <n v="30.59"/>
    <n v="37"/>
    <n v="917.7"/>
    <n v="-192.3"/>
    <x v="34"/>
    <x v="0"/>
    <n v="4"/>
    <n v="11"/>
    <n v="2003"/>
    <x v="1"/>
  </r>
  <r>
    <n v="10331"/>
    <s v="S24_2972"/>
    <x v="9"/>
    <x v="8"/>
    <x v="0"/>
    <x v="0"/>
    <s v="Small"/>
    <n v="13"/>
    <n v="27"/>
    <n v="42.24"/>
    <n v="37"/>
    <n v="1140.48"/>
    <n v="141.47999999999999"/>
    <x v="95"/>
    <x v="0"/>
    <n v="4"/>
    <n v="11"/>
    <n v="2004"/>
    <x v="1"/>
  </r>
  <r>
    <n v="10119"/>
    <s v="S24_3151"/>
    <x v="32"/>
    <x v="26"/>
    <x v="11"/>
    <x v="1"/>
    <s v="Medium"/>
    <n v="13"/>
    <n v="35"/>
    <n v="87.62"/>
    <n v="88"/>
    <n v="3066.7"/>
    <n v="-13.3"/>
    <x v="247"/>
    <x v="0"/>
    <n v="2"/>
    <n v="4"/>
    <n v="2003"/>
    <x v="3"/>
  </r>
  <r>
    <n v="10339"/>
    <s v="S24_3151"/>
    <x v="41"/>
    <x v="32"/>
    <x v="5"/>
    <x v="2"/>
    <s v="Large"/>
    <n v="13"/>
    <n v="55"/>
    <n v="100"/>
    <n v="88"/>
    <n v="10758"/>
    <n v="5918"/>
    <x v="90"/>
    <x v="0"/>
    <n v="4"/>
    <n v="11"/>
    <n v="2004"/>
    <x v="3"/>
  </r>
  <r>
    <n v="10181"/>
    <s v="S24_3371"/>
    <x v="1"/>
    <x v="1"/>
    <x v="1"/>
    <x v="1"/>
    <s v="Small"/>
    <n v="13"/>
    <n v="23"/>
    <n v="65.52"/>
    <n v="61"/>
    <n v="1506.96"/>
    <n v="103.96"/>
    <x v="117"/>
    <x v="0"/>
    <n v="4"/>
    <n v="11"/>
    <n v="2003"/>
    <x v="1"/>
  </r>
  <r>
    <n v="10266"/>
    <s v="S24_3371"/>
    <x v="35"/>
    <x v="28"/>
    <x v="12"/>
    <x v="1"/>
    <s v="Small"/>
    <n v="13"/>
    <n v="47"/>
    <n v="62.45"/>
    <n v="61"/>
    <n v="2935.15"/>
    <n v="68.150000000000006"/>
    <x v="153"/>
    <x v="0"/>
    <n v="3"/>
    <n v="7"/>
    <n v="2004"/>
    <x v="1"/>
  </r>
  <r>
    <n v="10284"/>
    <s v="S24_3420"/>
    <x v="60"/>
    <x v="49"/>
    <x v="1"/>
    <x v="1"/>
    <s v="Small"/>
    <n v="13"/>
    <n v="39"/>
    <n v="71.67"/>
    <n v="65"/>
    <n v="2795.13"/>
    <n v="260.13"/>
    <x v="88"/>
    <x v="0"/>
    <n v="3"/>
    <n v="8"/>
    <n v="2004"/>
    <x v="3"/>
  </r>
  <r>
    <n v="10398"/>
    <s v="S24_3420"/>
    <x v="82"/>
    <x v="64"/>
    <x v="3"/>
    <x v="1"/>
    <s v="Small"/>
    <n v="13"/>
    <n v="34"/>
    <n v="71.67"/>
    <n v="65"/>
    <n v="2436.7800000000002"/>
    <n v="226.78"/>
    <x v="248"/>
    <x v="0"/>
    <n v="1"/>
    <n v="3"/>
    <n v="2005"/>
    <x v="3"/>
  </r>
  <r>
    <n v="10124"/>
    <s v="S24_3432"/>
    <x v="83"/>
    <x v="65"/>
    <x v="0"/>
    <x v="0"/>
    <s v="Medium"/>
    <n v="13"/>
    <n v="43"/>
    <n v="100"/>
    <n v="107"/>
    <n v="5203"/>
    <n v="602"/>
    <x v="58"/>
    <x v="0"/>
    <n v="2"/>
    <n v="5"/>
    <n v="2003"/>
    <x v="1"/>
  </r>
  <r>
    <n v="10332"/>
    <s v="S24_3432"/>
    <x v="62"/>
    <x v="50"/>
    <x v="15"/>
    <x v="1"/>
    <s v="Small"/>
    <n v="13"/>
    <n v="31"/>
    <n v="37.18"/>
    <n v="107"/>
    <n v="1152.58"/>
    <n v="-2164.42"/>
    <x v="95"/>
    <x v="0"/>
    <n v="4"/>
    <n v="11"/>
    <n v="2004"/>
    <x v="1"/>
  </r>
  <r>
    <n v="10212"/>
    <s v="S24_3856"/>
    <x v="26"/>
    <x v="21"/>
    <x v="8"/>
    <x v="1"/>
    <s v="Medium"/>
    <n v="13"/>
    <n v="49"/>
    <n v="100"/>
    <n v="140"/>
    <n v="6949.67"/>
    <n v="89.67"/>
    <x v="173"/>
    <x v="0"/>
    <n v="1"/>
    <n v="1"/>
    <n v="2004"/>
    <x v="1"/>
  </r>
  <r>
    <n v="10321"/>
    <s v="S24_3856"/>
    <x v="78"/>
    <x v="40"/>
    <x v="0"/>
    <x v="0"/>
    <s v="Medium"/>
    <n v="13"/>
    <n v="26"/>
    <n v="100"/>
    <n v="140"/>
    <n v="4052.88"/>
    <n v="412.88"/>
    <x v="8"/>
    <x v="0"/>
    <n v="4"/>
    <n v="11"/>
    <n v="2004"/>
    <x v="1"/>
  </r>
  <r>
    <n v="10250"/>
    <s v="S24_3949"/>
    <x v="55"/>
    <x v="44"/>
    <x v="0"/>
    <x v="0"/>
    <s v="Medium"/>
    <n v="13"/>
    <n v="40"/>
    <n v="75.06"/>
    <n v="68"/>
    <n v="3002.4"/>
    <n v="282.39999999999998"/>
    <x v="161"/>
    <x v="0"/>
    <n v="2"/>
    <n v="5"/>
    <n v="2004"/>
    <x v="4"/>
  </r>
  <r>
    <n v="10373"/>
    <s v="S24_3949"/>
    <x v="71"/>
    <x v="58"/>
    <x v="14"/>
    <x v="1"/>
    <s v="Small"/>
    <n v="13"/>
    <n v="39"/>
    <n v="73"/>
    <n v="68"/>
    <n v="2847"/>
    <n v="195"/>
    <x v="250"/>
    <x v="0"/>
    <n v="1"/>
    <n v="1"/>
    <n v="2005"/>
    <x v="4"/>
  </r>
  <r>
    <n v="10416"/>
    <s v="S24_3949"/>
    <x v="35"/>
    <x v="28"/>
    <x v="12"/>
    <x v="1"/>
    <s v="Small"/>
    <n v="13"/>
    <n v="18"/>
    <n v="75.06"/>
    <n v="68"/>
    <n v="1351.08"/>
    <n v="127.08"/>
    <x v="163"/>
    <x v="0"/>
    <n v="2"/>
    <n v="5"/>
    <n v="2005"/>
    <x v="4"/>
  </r>
  <r>
    <n v="10225"/>
    <s v="S24_4620"/>
    <x v="48"/>
    <x v="39"/>
    <x v="16"/>
    <x v="1"/>
    <s v="Medium"/>
    <n v="13"/>
    <n v="46"/>
    <n v="70.33"/>
    <n v="80"/>
    <n v="3235.18"/>
    <n v="-444.82"/>
    <x v="56"/>
    <x v="0"/>
    <n v="1"/>
    <n v="2"/>
    <n v="2004"/>
    <x v="1"/>
  </r>
  <r>
    <n v="10184"/>
    <s v="S32_1268"/>
    <x v="86"/>
    <x v="68"/>
    <x v="8"/>
    <x v="1"/>
    <s v="Medium"/>
    <n v="13"/>
    <n v="46"/>
    <n v="100"/>
    <n v="96"/>
    <n v="4607.3599999999997"/>
    <n v="191.36"/>
    <x v="69"/>
    <x v="0"/>
    <n v="4"/>
    <n v="11"/>
    <n v="2003"/>
    <x v="2"/>
  </r>
  <r>
    <n v="10108"/>
    <s v="S32_2206"/>
    <x v="85"/>
    <x v="67"/>
    <x v="18"/>
    <x v="2"/>
    <s v="Small"/>
    <n v="13"/>
    <n v="27"/>
    <n v="43.45"/>
    <n v="40"/>
    <n v="1173.1500000000001"/>
    <n v="93.15"/>
    <x v="189"/>
    <x v="0"/>
    <n v="1"/>
    <n v="3"/>
    <n v="2003"/>
    <x v="0"/>
  </r>
  <r>
    <n v="10127"/>
    <s v="S32_2509"/>
    <x v="34"/>
    <x v="5"/>
    <x v="0"/>
    <x v="0"/>
    <s v="Small"/>
    <n v="13"/>
    <n v="45"/>
    <n v="51.95"/>
    <n v="54"/>
    <n v="2337.75"/>
    <n v="-92.25"/>
    <x v="40"/>
    <x v="0"/>
    <n v="2"/>
    <n v="6"/>
    <n v="2003"/>
    <x v="2"/>
  </r>
  <r>
    <n v="10276"/>
    <s v="S32_4485"/>
    <x v="31"/>
    <x v="25"/>
    <x v="0"/>
    <x v="0"/>
    <s v="Medium"/>
    <n v="13"/>
    <n v="38"/>
    <n v="100"/>
    <n v="102"/>
    <n v="4304.6400000000003"/>
    <n v="428.64"/>
    <x v="36"/>
    <x v="0"/>
    <n v="3"/>
    <n v="8"/>
    <n v="2004"/>
    <x v="0"/>
  </r>
  <r>
    <n v="10168"/>
    <s v="S50_1341"/>
    <x v="0"/>
    <x v="0"/>
    <x v="0"/>
    <x v="0"/>
    <s v="Small"/>
    <n v="13"/>
    <n v="48"/>
    <n v="51.93"/>
    <n v="43"/>
    <n v="2492.64"/>
    <n v="428.64"/>
    <x v="0"/>
    <x v="0"/>
    <n v="4"/>
    <n v="10"/>
    <n v="2003"/>
    <x v="3"/>
  </r>
  <r>
    <n v="10223"/>
    <s v="S50_1341"/>
    <x v="2"/>
    <x v="2"/>
    <x v="2"/>
    <x v="2"/>
    <s v="Small"/>
    <n v="13"/>
    <n v="41"/>
    <n v="46.26"/>
    <n v="43"/>
    <n v="1896.66"/>
    <n v="133.66"/>
    <x v="2"/>
    <x v="0"/>
    <n v="1"/>
    <n v="2"/>
    <n v="2004"/>
    <x v="3"/>
  </r>
  <r>
    <n v="10275"/>
    <s v="S50_1341"/>
    <x v="3"/>
    <x v="3"/>
    <x v="3"/>
    <x v="1"/>
    <s v="Small"/>
    <n v="13"/>
    <n v="38"/>
    <n v="45.39"/>
    <n v="43"/>
    <n v="1724.82"/>
    <n v="90.82"/>
    <x v="3"/>
    <x v="0"/>
    <n v="3"/>
    <n v="7"/>
    <n v="2004"/>
    <x v="3"/>
  </r>
  <r>
    <n v="10383"/>
    <s v="S50_1392"/>
    <x v="26"/>
    <x v="21"/>
    <x v="8"/>
    <x v="1"/>
    <s v="Medium"/>
    <n v="13"/>
    <n v="29"/>
    <n v="100"/>
    <n v="115"/>
    <n v="3087.05"/>
    <n v="-247.95"/>
    <x v="132"/>
    <x v="0"/>
    <n v="1"/>
    <n v="2"/>
    <n v="2005"/>
    <x v="2"/>
  </r>
  <r>
    <n v="10153"/>
    <s v="S50_1514"/>
    <x v="26"/>
    <x v="21"/>
    <x v="8"/>
    <x v="1"/>
    <s v="Small"/>
    <n v="13"/>
    <n v="31"/>
    <n v="57.41"/>
    <n v="58"/>
    <n v="1779.71"/>
    <n v="-18.29"/>
    <x v="226"/>
    <x v="0"/>
    <n v="3"/>
    <n v="9"/>
    <n v="2003"/>
    <x v="6"/>
  </r>
  <r>
    <n v="10390"/>
    <s v="S50_4713"/>
    <x v="43"/>
    <x v="34"/>
    <x v="0"/>
    <x v="0"/>
    <s v="Medium"/>
    <n v="13"/>
    <n v="22"/>
    <n v="100"/>
    <n v="81"/>
    <n v="3491.18"/>
    <n v="1709.18"/>
    <x v="122"/>
    <x v="0"/>
    <n v="1"/>
    <n v="3"/>
    <n v="2005"/>
    <x v="0"/>
  </r>
  <r>
    <n v="10120"/>
    <s v="S700_1691"/>
    <x v="2"/>
    <x v="2"/>
    <x v="2"/>
    <x v="2"/>
    <s v="Medium"/>
    <n v="13"/>
    <n v="47"/>
    <n v="82.21"/>
    <n v="91"/>
    <n v="3863.87"/>
    <n v="-413.13"/>
    <x v="149"/>
    <x v="0"/>
    <n v="2"/>
    <n v="4"/>
    <n v="2003"/>
    <x v="4"/>
  </r>
  <r>
    <n v="10248"/>
    <s v="S700_1938"/>
    <x v="5"/>
    <x v="5"/>
    <x v="0"/>
    <x v="0"/>
    <s v="Medium"/>
    <n v="13"/>
    <n v="40"/>
    <n v="100"/>
    <n v="86"/>
    <n v="4157.2"/>
    <n v="717.2"/>
    <x v="105"/>
    <x v="3"/>
    <n v="2"/>
    <n v="5"/>
    <n v="2004"/>
    <x v="5"/>
  </r>
  <r>
    <n v="10414"/>
    <s v="S700_1938"/>
    <x v="16"/>
    <x v="14"/>
    <x v="0"/>
    <x v="0"/>
    <s v="Medium"/>
    <n v="13"/>
    <n v="34"/>
    <n v="100"/>
    <n v="86"/>
    <n v="3533.62"/>
    <n v="609.62"/>
    <x v="106"/>
    <x v="5"/>
    <n v="2"/>
    <n v="5"/>
    <n v="2005"/>
    <x v="5"/>
  </r>
  <r>
    <n v="10262"/>
    <s v="S700_2047"/>
    <x v="26"/>
    <x v="21"/>
    <x v="8"/>
    <x v="1"/>
    <s v="Medium"/>
    <n v="13"/>
    <n v="44"/>
    <n v="94.14"/>
    <n v="90"/>
    <n v="4142.16"/>
    <n v="182.16"/>
    <x v="155"/>
    <x v="3"/>
    <n v="2"/>
    <n v="6"/>
    <n v="2004"/>
    <x v="5"/>
  </r>
  <r>
    <n v="10316"/>
    <s v="S700_2047"/>
    <x v="84"/>
    <x v="66"/>
    <x v="15"/>
    <x v="1"/>
    <s v="Medium"/>
    <n v="13"/>
    <n v="45"/>
    <n v="93.24"/>
    <n v="90"/>
    <n v="4195.8"/>
    <n v="145.80000000000001"/>
    <x v="156"/>
    <x v="0"/>
    <n v="4"/>
    <n v="11"/>
    <n v="2004"/>
    <x v="5"/>
  </r>
  <r>
    <n v="10386"/>
    <s v="S700_2047"/>
    <x v="26"/>
    <x v="21"/>
    <x v="8"/>
    <x v="1"/>
    <s v="Small"/>
    <n v="13"/>
    <n v="29"/>
    <n v="85.76"/>
    <n v="90"/>
    <n v="2487.04"/>
    <n v="-122.96"/>
    <x v="178"/>
    <x v="4"/>
    <n v="1"/>
    <n v="3"/>
    <n v="2005"/>
    <x v="5"/>
  </r>
  <r>
    <n v="10222"/>
    <s v="S700_2610"/>
    <x v="80"/>
    <x v="63"/>
    <x v="0"/>
    <x v="0"/>
    <s v="Small"/>
    <n v="13"/>
    <n v="36"/>
    <n v="80.95"/>
    <n v="72"/>
    <n v="2914.2"/>
    <n v="322.2"/>
    <x v="233"/>
    <x v="0"/>
    <n v="1"/>
    <n v="2"/>
    <n v="2004"/>
    <x v="5"/>
  </r>
  <r>
    <n v="10145"/>
    <s v="S700_2834"/>
    <x v="22"/>
    <x v="18"/>
    <x v="0"/>
    <x v="0"/>
    <s v="Small"/>
    <n v="13"/>
    <n v="20"/>
    <n v="100"/>
    <n v="118"/>
    <n v="2752.6"/>
    <n v="392.6"/>
    <x v="213"/>
    <x v="0"/>
    <n v="3"/>
    <n v="8"/>
    <n v="2003"/>
    <x v="4"/>
  </r>
  <r>
    <n v="10285"/>
    <s v="S700_2834"/>
    <x v="87"/>
    <x v="36"/>
    <x v="0"/>
    <x v="0"/>
    <s v="Medium"/>
    <n v="13"/>
    <n v="45"/>
    <n v="100"/>
    <n v="118"/>
    <n v="5392.8"/>
    <n v="82.8"/>
    <x v="215"/>
    <x v="0"/>
    <n v="3"/>
    <n v="8"/>
    <n v="2004"/>
    <x v="4"/>
  </r>
  <r>
    <n v="10210"/>
    <s v="S700_3167"/>
    <x v="12"/>
    <x v="10"/>
    <x v="5"/>
    <x v="2"/>
    <s v="Small"/>
    <n v="13"/>
    <n v="31"/>
    <n v="86.4"/>
    <n v="80"/>
    <n v="2678.4"/>
    <n v="198.4"/>
    <x v="13"/>
    <x v="0"/>
    <n v="1"/>
    <n v="1"/>
    <n v="2004"/>
    <x v="4"/>
  </r>
  <r>
    <n v="10308"/>
    <s v="S700_3167"/>
    <x v="13"/>
    <x v="11"/>
    <x v="0"/>
    <x v="0"/>
    <s v="Small"/>
    <n v="13"/>
    <n v="21"/>
    <n v="87.2"/>
    <n v="80"/>
    <n v="1831.2"/>
    <n v="151.19999999999999"/>
    <x v="14"/>
    <x v="0"/>
    <n v="4"/>
    <n v="10"/>
    <n v="2004"/>
    <x v="4"/>
  </r>
  <r>
    <n v="10328"/>
    <s v="S700_3167"/>
    <x v="67"/>
    <x v="54"/>
    <x v="12"/>
    <x v="1"/>
    <s v="Small"/>
    <n v="13"/>
    <n v="33"/>
    <n v="64"/>
    <n v="80"/>
    <n v="2112"/>
    <n v="-528"/>
    <x v="177"/>
    <x v="0"/>
    <n v="4"/>
    <n v="11"/>
    <n v="2004"/>
    <x v="4"/>
  </r>
  <r>
    <n v="10167"/>
    <s v="S700_3505"/>
    <x v="51"/>
    <x v="42"/>
    <x v="4"/>
    <x v="1"/>
    <s v="Small"/>
    <n v="13"/>
    <n v="24"/>
    <n v="100"/>
    <n v="100"/>
    <n v="2812.8"/>
    <n v="412.8"/>
    <x v="68"/>
    <x v="3"/>
    <n v="4"/>
    <n v="10"/>
    <n v="2003"/>
    <x v="5"/>
  </r>
  <r>
    <n v="10350"/>
    <s v="S700_3505"/>
    <x v="26"/>
    <x v="21"/>
    <x v="8"/>
    <x v="1"/>
    <s v="Small"/>
    <n v="13"/>
    <n v="31"/>
    <n v="77.34"/>
    <n v="100"/>
    <n v="2397.54"/>
    <n v="-702.46"/>
    <x v="111"/>
    <x v="0"/>
    <n v="4"/>
    <n v="12"/>
    <n v="2004"/>
    <x v="5"/>
  </r>
  <r>
    <n v="10159"/>
    <s v="S10_1678"/>
    <x v="21"/>
    <x v="17"/>
    <x v="0"/>
    <x v="0"/>
    <s v="Medium"/>
    <n v="14"/>
    <n v="49"/>
    <n v="100"/>
    <n v="95"/>
    <n v="5205.2700000000004"/>
    <n v="550.27"/>
    <x v="160"/>
    <x v="0"/>
    <n v="4"/>
    <n v="10"/>
    <n v="2003"/>
    <x v="0"/>
  </r>
  <r>
    <n v="10211"/>
    <s v="S10_1678"/>
    <x v="11"/>
    <x v="9"/>
    <x v="3"/>
    <x v="1"/>
    <s v="Medium"/>
    <n v="14"/>
    <n v="41"/>
    <n v="100"/>
    <n v="95"/>
    <n v="4708.4399999999996"/>
    <n v="813.44"/>
    <x v="186"/>
    <x v="0"/>
    <n v="1"/>
    <n v="1"/>
    <n v="2004"/>
    <x v="0"/>
  </r>
  <r>
    <n v="10181"/>
    <s v="S12_1099"/>
    <x v="1"/>
    <x v="1"/>
    <x v="1"/>
    <x v="1"/>
    <s v="Medium"/>
    <n v="14"/>
    <n v="27"/>
    <n v="100"/>
    <n v="194"/>
    <n v="5411.07"/>
    <n v="173.07"/>
    <x v="117"/>
    <x v="0"/>
    <n v="4"/>
    <n v="11"/>
    <n v="2003"/>
    <x v="1"/>
  </r>
  <r>
    <n v="10266"/>
    <s v="S12_1099"/>
    <x v="35"/>
    <x v="28"/>
    <x v="12"/>
    <x v="1"/>
    <s v="Large"/>
    <n v="14"/>
    <n v="44"/>
    <n v="100"/>
    <n v="194"/>
    <n v="9160.36"/>
    <n v="624.36"/>
    <x v="153"/>
    <x v="0"/>
    <n v="3"/>
    <n v="7"/>
    <n v="2004"/>
    <x v="1"/>
  </r>
  <r>
    <n v="10276"/>
    <s v="S12_2823"/>
    <x v="31"/>
    <x v="25"/>
    <x v="0"/>
    <x v="0"/>
    <s v="Medium"/>
    <n v="14"/>
    <n v="43"/>
    <n v="100"/>
    <n v="150"/>
    <n v="5181.5"/>
    <n v="-1268.5"/>
    <x v="36"/>
    <x v="0"/>
    <n v="3"/>
    <n v="8"/>
    <n v="2004"/>
    <x v="0"/>
  </r>
  <r>
    <n v="10185"/>
    <s v="S12_3148"/>
    <x v="49"/>
    <x v="40"/>
    <x v="0"/>
    <x v="0"/>
    <s v="Medium"/>
    <n v="14"/>
    <n v="33"/>
    <n v="100"/>
    <n v="151"/>
    <n v="4038.21"/>
    <n v="-944.79"/>
    <x v="69"/>
    <x v="0"/>
    <n v="4"/>
    <n v="11"/>
    <n v="2003"/>
    <x v="1"/>
  </r>
  <r>
    <n v="10208"/>
    <s v="S12_3148"/>
    <x v="73"/>
    <x v="59"/>
    <x v="3"/>
    <x v="1"/>
    <s v="Medium"/>
    <n v="14"/>
    <n v="26"/>
    <n v="100"/>
    <n v="151"/>
    <n v="3142.36"/>
    <n v="-783.64"/>
    <x v="237"/>
    <x v="0"/>
    <n v="1"/>
    <n v="1"/>
    <n v="2004"/>
    <x v="1"/>
  </r>
  <r>
    <n v="10306"/>
    <s v="S12_3148"/>
    <x v="62"/>
    <x v="50"/>
    <x v="15"/>
    <x v="1"/>
    <s v="Medium"/>
    <n v="14"/>
    <n v="34"/>
    <n v="100"/>
    <n v="151"/>
    <n v="4982.7"/>
    <n v="-151.30000000000001"/>
    <x v="71"/>
    <x v="0"/>
    <n v="4"/>
    <n v="10"/>
    <n v="2004"/>
    <x v="1"/>
  </r>
  <r>
    <n v="10105"/>
    <s v="S12_3891"/>
    <x v="30"/>
    <x v="24"/>
    <x v="10"/>
    <x v="1"/>
    <s v="Medium"/>
    <n v="14"/>
    <n v="29"/>
    <n v="100"/>
    <n v="173"/>
    <n v="4566.05"/>
    <n v="-450.95"/>
    <x v="187"/>
    <x v="0"/>
    <n v="1"/>
    <n v="2"/>
    <n v="2003"/>
    <x v="1"/>
  </r>
  <r>
    <n v="10253"/>
    <s v="S12_3990"/>
    <x v="50"/>
    <x v="41"/>
    <x v="15"/>
    <x v="1"/>
    <s v="Small"/>
    <n v="14"/>
    <n v="25"/>
    <n v="90.17"/>
    <n v="79"/>
    <n v="2254.25"/>
    <n v="279.25"/>
    <x v="65"/>
    <x v="3"/>
    <n v="2"/>
    <n v="6"/>
    <n v="2004"/>
    <x v="1"/>
  </r>
  <r>
    <n v="10329"/>
    <s v="S12_3990"/>
    <x v="5"/>
    <x v="5"/>
    <x v="0"/>
    <x v="0"/>
    <s v="Medium"/>
    <n v="14"/>
    <n v="33"/>
    <n v="100"/>
    <n v="79"/>
    <n v="3607.56"/>
    <n v="1000.56"/>
    <x v="5"/>
    <x v="0"/>
    <n v="4"/>
    <n v="11"/>
    <n v="2004"/>
    <x v="1"/>
  </r>
  <r>
    <n v="10419"/>
    <s v="S12_3990"/>
    <x v="32"/>
    <x v="26"/>
    <x v="11"/>
    <x v="1"/>
    <s v="Medium"/>
    <n v="14"/>
    <n v="34"/>
    <n v="90.17"/>
    <n v="79"/>
    <n v="3065.78"/>
    <n v="379.78"/>
    <x v="67"/>
    <x v="0"/>
    <n v="2"/>
    <n v="5"/>
    <n v="2005"/>
    <x v="1"/>
  </r>
  <r>
    <n v="10314"/>
    <s v="S12_4473"/>
    <x v="69"/>
    <x v="56"/>
    <x v="10"/>
    <x v="1"/>
    <s v="Medium"/>
    <n v="14"/>
    <n v="45"/>
    <n v="100"/>
    <n v="118"/>
    <n v="6185.7"/>
    <n v="875.7"/>
    <x v="110"/>
    <x v="0"/>
    <n v="4"/>
    <n v="10"/>
    <n v="2004"/>
    <x v="2"/>
  </r>
  <r>
    <n v="10390"/>
    <s v="S18_1129"/>
    <x v="43"/>
    <x v="34"/>
    <x v="0"/>
    <x v="0"/>
    <s v="Medium"/>
    <n v="14"/>
    <n v="36"/>
    <n v="93.77"/>
    <n v="141"/>
    <n v="3375.72"/>
    <n v="-1700.28"/>
    <x v="122"/>
    <x v="0"/>
    <n v="1"/>
    <n v="3"/>
    <n v="2005"/>
    <x v="1"/>
  </r>
  <r>
    <n v="10322"/>
    <s v="S18_1342"/>
    <x v="8"/>
    <x v="7"/>
    <x v="0"/>
    <x v="0"/>
    <s v="Medium"/>
    <n v="14"/>
    <n v="43"/>
    <n v="86.3"/>
    <n v="102"/>
    <n v="3710.9"/>
    <n v="-675.1"/>
    <x v="8"/>
    <x v="0"/>
    <n v="4"/>
    <n v="11"/>
    <n v="2004"/>
    <x v="3"/>
  </r>
  <r>
    <n v="10288"/>
    <s v="S18_1589"/>
    <x v="81"/>
    <x v="15"/>
    <x v="7"/>
    <x v="2"/>
    <s v="Small"/>
    <n v="14"/>
    <n v="20"/>
    <n v="100"/>
    <n v="124"/>
    <n v="2936.8"/>
    <n v="456.8"/>
    <x v="158"/>
    <x v="0"/>
    <n v="3"/>
    <n v="9"/>
    <n v="2004"/>
    <x v="1"/>
  </r>
  <r>
    <n v="10331"/>
    <s v="S18_1589"/>
    <x v="9"/>
    <x v="8"/>
    <x v="0"/>
    <x v="0"/>
    <s v="Medium"/>
    <n v="14"/>
    <n v="44"/>
    <n v="100"/>
    <n v="124"/>
    <n v="4849.24"/>
    <n v="-606.76"/>
    <x v="95"/>
    <x v="0"/>
    <n v="4"/>
    <n v="11"/>
    <n v="2004"/>
    <x v="1"/>
  </r>
  <r>
    <n v="10250"/>
    <s v="S18_1662"/>
    <x v="55"/>
    <x v="44"/>
    <x v="0"/>
    <x v="0"/>
    <s v="Large"/>
    <n v="14"/>
    <n v="45"/>
    <n v="100"/>
    <n v="157"/>
    <n v="8160.3"/>
    <n v="1095.3"/>
    <x v="161"/>
    <x v="0"/>
    <n v="2"/>
    <n v="5"/>
    <n v="2004"/>
    <x v="4"/>
  </r>
  <r>
    <n v="10416"/>
    <s v="S18_1662"/>
    <x v="35"/>
    <x v="28"/>
    <x v="12"/>
    <x v="1"/>
    <s v="Medium"/>
    <n v="14"/>
    <n v="24"/>
    <n v="100"/>
    <n v="157"/>
    <n v="4352.16"/>
    <n v="584.16"/>
    <x v="163"/>
    <x v="0"/>
    <n v="2"/>
    <n v="5"/>
    <n v="2005"/>
    <x v="4"/>
  </r>
  <r>
    <n v="10193"/>
    <s v="S18_1749"/>
    <x v="65"/>
    <x v="52"/>
    <x v="2"/>
    <x v="2"/>
    <s v="Medium"/>
    <n v="14"/>
    <n v="21"/>
    <n v="100"/>
    <n v="170"/>
    <n v="3141.6"/>
    <n v="-428.4"/>
    <x v="101"/>
    <x v="0"/>
    <n v="4"/>
    <n v="11"/>
    <n v="2003"/>
    <x v="3"/>
  </r>
  <r>
    <n v="10212"/>
    <s v="S18_1889"/>
    <x v="26"/>
    <x v="21"/>
    <x v="8"/>
    <x v="1"/>
    <s v="Small"/>
    <n v="14"/>
    <n v="20"/>
    <n v="66.989999999999995"/>
    <n v="77"/>
    <n v="1339.8"/>
    <n v="-200.2"/>
    <x v="173"/>
    <x v="0"/>
    <n v="1"/>
    <n v="1"/>
    <n v="2004"/>
    <x v="1"/>
  </r>
  <r>
    <n v="10321"/>
    <s v="S18_1889"/>
    <x v="78"/>
    <x v="40"/>
    <x v="0"/>
    <x v="0"/>
    <s v="Small"/>
    <n v="14"/>
    <n v="37"/>
    <n v="78.540000000000006"/>
    <n v="77"/>
    <n v="2905.98"/>
    <n v="56.98"/>
    <x v="8"/>
    <x v="0"/>
    <n v="4"/>
    <n v="11"/>
    <n v="2004"/>
    <x v="1"/>
  </r>
  <r>
    <n v="10127"/>
    <s v="S18_2319"/>
    <x v="34"/>
    <x v="5"/>
    <x v="0"/>
    <x v="0"/>
    <s v="Medium"/>
    <n v="14"/>
    <n v="45"/>
    <n v="100"/>
    <n v="122"/>
    <n v="6295.95"/>
    <n v="805.95"/>
    <x v="40"/>
    <x v="0"/>
    <n v="2"/>
    <n v="6"/>
    <n v="2003"/>
    <x v="2"/>
  </r>
  <r>
    <n v="10312"/>
    <s v="S18_2325"/>
    <x v="43"/>
    <x v="34"/>
    <x v="0"/>
    <x v="0"/>
    <s v="Medium"/>
    <n v="14"/>
    <n v="31"/>
    <n v="100"/>
    <n v="127"/>
    <n v="4729.3599999999997"/>
    <n v="792.36"/>
    <x v="140"/>
    <x v="0"/>
    <n v="4"/>
    <n v="10"/>
    <n v="2004"/>
    <x v="3"/>
  </r>
  <r>
    <n v="10145"/>
    <s v="S18_2581"/>
    <x v="22"/>
    <x v="18"/>
    <x v="0"/>
    <x v="0"/>
    <s v="Small"/>
    <n v="14"/>
    <n v="30"/>
    <n v="85.32"/>
    <n v="84"/>
    <n v="2559.6"/>
    <n v="39.6"/>
    <x v="213"/>
    <x v="0"/>
    <n v="3"/>
    <n v="8"/>
    <n v="2003"/>
    <x v="4"/>
  </r>
  <r>
    <n v="10304"/>
    <s v="S18_2795"/>
    <x v="20"/>
    <x v="16"/>
    <x v="3"/>
    <x v="1"/>
    <s v="Medium"/>
    <n v="14"/>
    <n v="20"/>
    <n v="100"/>
    <n v="168"/>
    <n v="3577.6"/>
    <n v="217.6"/>
    <x v="241"/>
    <x v="0"/>
    <n v="4"/>
    <n v="10"/>
    <n v="2004"/>
    <x v="3"/>
  </r>
  <r>
    <n v="10204"/>
    <s v="S18_2870"/>
    <x v="34"/>
    <x v="5"/>
    <x v="0"/>
    <x v="0"/>
    <s v="Medium"/>
    <n v="14"/>
    <n v="27"/>
    <n v="100"/>
    <n v="132"/>
    <n v="4169.88"/>
    <n v="605.88"/>
    <x v="86"/>
    <x v="0"/>
    <n v="4"/>
    <n v="12"/>
    <n v="2003"/>
    <x v="1"/>
  </r>
  <r>
    <n v="10103"/>
    <s v="S18_2957"/>
    <x v="39"/>
    <x v="31"/>
    <x v="1"/>
    <x v="1"/>
    <s v="Small"/>
    <n v="14"/>
    <n v="35"/>
    <n v="57.46"/>
    <n v="62"/>
    <n v="2011.1"/>
    <n v="-158.9"/>
    <x v="166"/>
    <x v="0"/>
    <n v="1"/>
    <n v="1"/>
    <n v="2003"/>
    <x v="3"/>
  </r>
  <r>
    <n v="10126"/>
    <s v="S18_2957"/>
    <x v="63"/>
    <x v="21"/>
    <x v="8"/>
    <x v="1"/>
    <s v="Medium"/>
    <n v="14"/>
    <n v="46"/>
    <n v="73.7"/>
    <n v="62"/>
    <n v="3390.2"/>
    <n v="538.20000000000005"/>
    <x v="167"/>
    <x v="0"/>
    <n v="2"/>
    <n v="5"/>
    <n v="2003"/>
    <x v="3"/>
  </r>
  <r>
    <n v="10291"/>
    <s v="S18_2957"/>
    <x v="51"/>
    <x v="42"/>
    <x v="4"/>
    <x v="1"/>
    <s v="Small"/>
    <n v="14"/>
    <n v="37"/>
    <n v="50.59"/>
    <n v="62"/>
    <n v="1871.83"/>
    <n v="-422.17"/>
    <x v="171"/>
    <x v="0"/>
    <n v="3"/>
    <n v="9"/>
    <n v="2004"/>
    <x v="3"/>
  </r>
  <r>
    <n v="10148"/>
    <s v="S18_3232"/>
    <x v="47"/>
    <x v="38"/>
    <x v="2"/>
    <x v="2"/>
    <s v="Medium"/>
    <n v="14"/>
    <n v="32"/>
    <n v="100"/>
    <n v="169"/>
    <n v="5418.88"/>
    <n v="10.88"/>
    <x v="134"/>
    <x v="0"/>
    <n v="3"/>
    <n v="9"/>
    <n v="2003"/>
    <x v="1"/>
  </r>
  <r>
    <n v="10248"/>
    <s v="S18_3259"/>
    <x v="5"/>
    <x v="5"/>
    <x v="0"/>
    <x v="0"/>
    <s v="Medium"/>
    <n v="14"/>
    <n v="42"/>
    <n v="100"/>
    <n v="100"/>
    <n v="5082.42"/>
    <n v="882.42"/>
    <x v="105"/>
    <x v="3"/>
    <n v="2"/>
    <n v="5"/>
    <n v="2004"/>
    <x v="6"/>
  </r>
  <r>
    <n v="10414"/>
    <s v="S18_3259"/>
    <x v="16"/>
    <x v="14"/>
    <x v="0"/>
    <x v="0"/>
    <s v="Medium"/>
    <n v="14"/>
    <n v="48"/>
    <n v="100"/>
    <n v="100"/>
    <n v="5808.48"/>
    <n v="1008.48"/>
    <x v="106"/>
    <x v="5"/>
    <n v="2"/>
    <n v="5"/>
    <n v="2005"/>
    <x v="6"/>
  </r>
  <r>
    <n v="10287"/>
    <s v="S18_3482"/>
    <x v="48"/>
    <x v="39"/>
    <x v="16"/>
    <x v="1"/>
    <s v="Medium"/>
    <n v="14"/>
    <n v="40"/>
    <n v="100"/>
    <n v="146"/>
    <n v="6761.6"/>
    <n v="921.6"/>
    <x v="99"/>
    <x v="0"/>
    <n v="3"/>
    <n v="8"/>
    <n v="2004"/>
    <x v="1"/>
  </r>
  <r>
    <n v="10262"/>
    <s v="S18_3856"/>
    <x v="26"/>
    <x v="21"/>
    <x v="8"/>
    <x v="1"/>
    <s v="Medium"/>
    <n v="14"/>
    <n v="34"/>
    <n v="100"/>
    <n v="105"/>
    <n v="4103.46"/>
    <n v="533.46"/>
    <x v="155"/>
    <x v="3"/>
    <n v="2"/>
    <n v="6"/>
    <n v="2004"/>
    <x v="3"/>
  </r>
  <r>
    <n v="10316"/>
    <s v="S18_3856"/>
    <x v="84"/>
    <x v="66"/>
    <x v="15"/>
    <x v="1"/>
    <s v="Medium"/>
    <n v="14"/>
    <n v="47"/>
    <n v="86.81"/>
    <n v="105"/>
    <n v="4080.07"/>
    <n v="-854.93"/>
    <x v="156"/>
    <x v="0"/>
    <n v="4"/>
    <n v="11"/>
    <n v="2004"/>
    <x v="3"/>
  </r>
  <r>
    <n v="10173"/>
    <s v="S18_4409"/>
    <x v="67"/>
    <x v="54"/>
    <x v="12"/>
    <x v="1"/>
    <s v="Small"/>
    <n v="14"/>
    <n v="21"/>
    <n v="75.459999999999994"/>
    <n v="92"/>
    <n v="1584.66"/>
    <n v="-347.34"/>
    <x v="80"/>
    <x v="0"/>
    <n v="4"/>
    <n v="11"/>
    <n v="2003"/>
    <x v="3"/>
  </r>
  <r>
    <n v="10197"/>
    <s v="S18_4522"/>
    <x v="88"/>
    <x v="69"/>
    <x v="8"/>
    <x v="1"/>
    <s v="Medium"/>
    <n v="14"/>
    <n v="50"/>
    <n v="100"/>
    <n v="87"/>
    <n v="5090.5"/>
    <n v="740.5"/>
    <x v="108"/>
    <x v="0"/>
    <n v="4"/>
    <n v="11"/>
    <n v="2003"/>
    <x v="3"/>
  </r>
  <r>
    <n v="10283"/>
    <s v="S18_4522"/>
    <x v="89"/>
    <x v="70"/>
    <x v="6"/>
    <x v="0"/>
    <s v="Medium"/>
    <n v="14"/>
    <n v="34"/>
    <n v="100"/>
    <n v="87"/>
    <n v="3580.88"/>
    <n v="622.88"/>
    <x v="109"/>
    <x v="0"/>
    <n v="3"/>
    <n v="8"/>
    <n v="2004"/>
    <x v="3"/>
  </r>
  <r>
    <n v="10305"/>
    <s v="S18_4600"/>
    <x v="87"/>
    <x v="36"/>
    <x v="0"/>
    <x v="0"/>
    <s v="Small"/>
    <n v="14"/>
    <n v="22"/>
    <n v="99.29"/>
    <n v="121"/>
    <n v="2184.38"/>
    <n v="-477.62"/>
    <x v="196"/>
    <x v="0"/>
    <n v="4"/>
    <n v="10"/>
    <n v="2004"/>
    <x v="2"/>
  </r>
  <r>
    <n v="10229"/>
    <s v="S18_4668"/>
    <x v="43"/>
    <x v="34"/>
    <x v="0"/>
    <x v="0"/>
    <s v="Small"/>
    <n v="14"/>
    <n v="39"/>
    <n v="40.25"/>
    <n v="50"/>
    <n v="1569.75"/>
    <n v="-380.25"/>
    <x v="48"/>
    <x v="0"/>
    <n v="1"/>
    <n v="3"/>
    <n v="2004"/>
    <x v="3"/>
  </r>
  <r>
    <n v="10281"/>
    <s v="S18_4668"/>
    <x v="4"/>
    <x v="4"/>
    <x v="0"/>
    <x v="0"/>
    <s v="Small"/>
    <n v="14"/>
    <n v="44"/>
    <n v="59.87"/>
    <n v="50"/>
    <n v="2634.28"/>
    <n v="434.28"/>
    <x v="49"/>
    <x v="0"/>
    <n v="3"/>
    <n v="8"/>
    <n v="2004"/>
    <x v="3"/>
  </r>
  <r>
    <n v="10225"/>
    <s v="S18_4721"/>
    <x v="48"/>
    <x v="39"/>
    <x v="16"/>
    <x v="1"/>
    <s v="Medium"/>
    <n v="14"/>
    <n v="35"/>
    <n v="100"/>
    <n v="148"/>
    <n v="5260.15"/>
    <n v="80.150000000000006"/>
    <x v="56"/>
    <x v="0"/>
    <n v="1"/>
    <n v="2"/>
    <n v="2004"/>
    <x v="1"/>
  </r>
  <r>
    <n v="10324"/>
    <s v="S24_1444"/>
    <x v="28"/>
    <x v="5"/>
    <x v="0"/>
    <x v="0"/>
    <s v="Small"/>
    <n v="14"/>
    <n v="25"/>
    <n v="69.16"/>
    <n v="57"/>
    <n v="1729"/>
    <n v="304"/>
    <x v="33"/>
    <x v="0"/>
    <n v="4"/>
    <n v="11"/>
    <n v="2004"/>
    <x v="1"/>
  </r>
  <r>
    <n v="10358"/>
    <s v="S24_1444"/>
    <x v="26"/>
    <x v="21"/>
    <x v="8"/>
    <x v="1"/>
    <s v="Small"/>
    <n v="14"/>
    <n v="44"/>
    <n v="60.76"/>
    <n v="57"/>
    <n v="2673.44"/>
    <n v="165.44"/>
    <x v="54"/>
    <x v="0"/>
    <n v="4"/>
    <n v="12"/>
    <n v="2004"/>
    <x v="1"/>
  </r>
  <r>
    <n v="10328"/>
    <s v="S24_1785"/>
    <x v="67"/>
    <x v="54"/>
    <x v="12"/>
    <x v="1"/>
    <s v="Medium"/>
    <n v="14"/>
    <n v="47"/>
    <n v="87.54"/>
    <n v="109"/>
    <n v="4114.38"/>
    <n v="-1008.62"/>
    <x v="177"/>
    <x v="0"/>
    <n v="4"/>
    <n v="11"/>
    <n v="2004"/>
    <x v="4"/>
  </r>
  <r>
    <n v="10180"/>
    <s v="S24_2000"/>
    <x v="75"/>
    <x v="61"/>
    <x v="3"/>
    <x v="1"/>
    <s v="Small"/>
    <n v="14"/>
    <n v="28"/>
    <n v="68.55"/>
    <n v="76"/>
    <n v="1919.4"/>
    <n v="-208.6"/>
    <x v="202"/>
    <x v="0"/>
    <n v="4"/>
    <n v="11"/>
    <n v="2003"/>
    <x v="0"/>
  </r>
  <r>
    <n v="10363"/>
    <s v="S24_2360"/>
    <x v="38"/>
    <x v="30"/>
    <x v="14"/>
    <x v="1"/>
    <s v="Small"/>
    <n v="14"/>
    <n v="43"/>
    <n v="61.23"/>
    <n v="69"/>
    <n v="2632.89"/>
    <n v="-334.11"/>
    <x v="190"/>
    <x v="0"/>
    <n v="1"/>
    <n v="1"/>
    <n v="2005"/>
    <x v="0"/>
  </r>
  <r>
    <n v="10375"/>
    <s v="S24_2360"/>
    <x v="3"/>
    <x v="3"/>
    <x v="3"/>
    <x v="1"/>
    <s v="Small"/>
    <n v="14"/>
    <n v="20"/>
    <n v="100"/>
    <n v="69"/>
    <n v="2046"/>
    <n v="666"/>
    <x v="234"/>
    <x v="0"/>
    <n v="1"/>
    <n v="2"/>
    <n v="2005"/>
    <x v="0"/>
  </r>
  <r>
    <n v="10182"/>
    <s v="S24_2766"/>
    <x v="43"/>
    <x v="34"/>
    <x v="0"/>
    <x v="0"/>
    <s v="Small"/>
    <n v="14"/>
    <n v="36"/>
    <n v="73.599999999999994"/>
    <n v="90"/>
    <n v="2649.6"/>
    <n v="-590.4"/>
    <x v="117"/>
    <x v="0"/>
    <n v="4"/>
    <n v="11"/>
    <n v="2003"/>
    <x v="1"/>
  </r>
  <r>
    <n v="10227"/>
    <s v="S24_2766"/>
    <x v="73"/>
    <x v="59"/>
    <x v="3"/>
    <x v="1"/>
    <s v="Medium"/>
    <n v="14"/>
    <n v="47"/>
    <n v="88.14"/>
    <n v="90"/>
    <n v="4142.58"/>
    <n v="-87.42"/>
    <x v="118"/>
    <x v="0"/>
    <n v="1"/>
    <n v="3"/>
    <n v="2004"/>
    <x v="1"/>
  </r>
  <r>
    <n v="10222"/>
    <s v="S24_3151"/>
    <x v="80"/>
    <x v="63"/>
    <x v="0"/>
    <x v="0"/>
    <s v="Medium"/>
    <n v="14"/>
    <n v="47"/>
    <n v="70.81"/>
    <n v="88"/>
    <n v="3328.07"/>
    <n v="-807.93"/>
    <x v="233"/>
    <x v="0"/>
    <n v="1"/>
    <n v="2"/>
    <n v="2004"/>
    <x v="3"/>
  </r>
  <r>
    <n v="10106"/>
    <s v="S24_3420"/>
    <x v="67"/>
    <x v="54"/>
    <x v="12"/>
    <x v="1"/>
    <s v="Small"/>
    <n v="14"/>
    <n v="31"/>
    <n v="52.6"/>
    <n v="65"/>
    <n v="1630.6"/>
    <n v="-384.4"/>
    <x v="242"/>
    <x v="0"/>
    <n v="1"/>
    <n v="2"/>
    <n v="2003"/>
    <x v="3"/>
  </r>
  <r>
    <n v="10339"/>
    <s v="S24_3420"/>
    <x v="41"/>
    <x v="32"/>
    <x v="5"/>
    <x v="2"/>
    <s v="Small"/>
    <n v="14"/>
    <n v="29"/>
    <n v="99.69"/>
    <n v="65"/>
    <n v="2891.01"/>
    <n v="1006.01"/>
    <x v="90"/>
    <x v="0"/>
    <n v="4"/>
    <n v="11"/>
    <n v="2004"/>
    <x v="3"/>
  </r>
  <r>
    <n v="10110"/>
    <s v="S24_3432"/>
    <x v="62"/>
    <x v="50"/>
    <x v="15"/>
    <x v="1"/>
    <s v="Medium"/>
    <n v="14"/>
    <n v="37"/>
    <n v="100"/>
    <n v="107"/>
    <n v="3724.42"/>
    <n v="-234.58"/>
    <x v="92"/>
    <x v="0"/>
    <n v="1"/>
    <n v="3"/>
    <n v="2003"/>
    <x v="1"/>
  </r>
  <r>
    <n v="10143"/>
    <s v="S24_3816"/>
    <x v="49"/>
    <x v="40"/>
    <x v="0"/>
    <x v="0"/>
    <s v="Small"/>
    <n v="14"/>
    <n v="23"/>
    <n v="80.510000000000005"/>
    <n v="83"/>
    <n v="1851.73"/>
    <n v="-57.27"/>
    <x v="221"/>
    <x v="0"/>
    <n v="3"/>
    <n v="8"/>
    <n v="2003"/>
    <x v="3"/>
  </r>
  <r>
    <n v="10296"/>
    <s v="S24_3816"/>
    <x v="91"/>
    <x v="72"/>
    <x v="9"/>
    <x v="1"/>
    <s v="Small"/>
    <n v="14"/>
    <n v="22"/>
    <n v="77.150000000000006"/>
    <n v="83"/>
    <n v="1697.3"/>
    <n v="-128.69999999999999"/>
    <x v="223"/>
    <x v="0"/>
    <n v="3"/>
    <n v="9"/>
    <n v="2004"/>
    <x v="3"/>
  </r>
  <r>
    <n v="10192"/>
    <s v="S24_3856"/>
    <x v="8"/>
    <x v="7"/>
    <x v="0"/>
    <x v="0"/>
    <s v="Medium"/>
    <n v="14"/>
    <n v="45"/>
    <n v="100"/>
    <n v="140"/>
    <n v="6319.35"/>
    <n v="19.350000000000001"/>
    <x v="34"/>
    <x v="0"/>
    <n v="4"/>
    <n v="11"/>
    <n v="2003"/>
    <x v="1"/>
  </r>
  <r>
    <n v="10280"/>
    <s v="S24_3969"/>
    <x v="46"/>
    <x v="37"/>
    <x v="12"/>
    <x v="1"/>
    <s v="Small"/>
    <n v="14"/>
    <n v="33"/>
    <n v="41.85"/>
    <n v="41"/>
    <n v="1381.05"/>
    <n v="28.05"/>
    <x v="53"/>
    <x v="0"/>
    <n v="3"/>
    <n v="8"/>
    <n v="2004"/>
    <x v="3"/>
  </r>
  <r>
    <n v="10332"/>
    <s v="S24_3969"/>
    <x v="62"/>
    <x v="50"/>
    <x v="15"/>
    <x v="1"/>
    <s v="Medium"/>
    <n v="14"/>
    <n v="41"/>
    <n v="77.239999999999995"/>
    <n v="41"/>
    <n v="3166.84"/>
    <n v="1485.84"/>
    <x v="95"/>
    <x v="0"/>
    <n v="4"/>
    <n v="11"/>
    <n v="2004"/>
    <x v="3"/>
  </r>
  <r>
    <n v="10398"/>
    <s v="S24_4278"/>
    <x v="82"/>
    <x v="64"/>
    <x v="3"/>
    <x v="1"/>
    <s v="Medium"/>
    <n v="14"/>
    <n v="45"/>
    <n v="78.25"/>
    <n v="72"/>
    <n v="3521.25"/>
    <n v="281.25"/>
    <x v="248"/>
    <x v="0"/>
    <n v="1"/>
    <n v="3"/>
    <n v="2005"/>
    <x v="4"/>
  </r>
  <r>
    <n v="10122"/>
    <s v="S24_4620"/>
    <x v="56"/>
    <x v="45"/>
    <x v="3"/>
    <x v="1"/>
    <s v="Small"/>
    <n v="14"/>
    <n v="29"/>
    <n v="71.14"/>
    <n v="80"/>
    <n v="2063.06"/>
    <n v="-256.94"/>
    <x v="78"/>
    <x v="0"/>
    <n v="2"/>
    <n v="5"/>
    <n v="2003"/>
    <x v="1"/>
  </r>
  <r>
    <n v="10310"/>
    <s v="S24_4620"/>
    <x v="29"/>
    <x v="23"/>
    <x v="9"/>
    <x v="1"/>
    <s v="Medium"/>
    <n v="14"/>
    <n v="49"/>
    <n v="97.01"/>
    <n v="80"/>
    <n v="4753.49"/>
    <n v="833.49"/>
    <x v="81"/>
    <x v="0"/>
    <n v="4"/>
    <n v="10"/>
    <n v="2004"/>
    <x v="1"/>
  </r>
  <r>
    <n v="10207"/>
    <s v="S32_1268"/>
    <x v="77"/>
    <x v="14"/>
    <x v="0"/>
    <x v="0"/>
    <s v="Medium"/>
    <n v="14"/>
    <n v="49"/>
    <n v="80.900000000000006"/>
    <n v="96"/>
    <n v="3964.1"/>
    <n v="-739.9"/>
    <x v="131"/>
    <x v="0"/>
    <n v="4"/>
    <n v="12"/>
    <n v="2003"/>
    <x v="2"/>
  </r>
  <r>
    <n v="10135"/>
    <s v="S32_2206"/>
    <x v="43"/>
    <x v="34"/>
    <x v="0"/>
    <x v="0"/>
    <s v="Small"/>
    <n v="14"/>
    <n v="33"/>
    <n v="40.229999999999997"/>
    <n v="40"/>
    <n v="1327.59"/>
    <n v="7.59"/>
    <x v="180"/>
    <x v="0"/>
    <n v="3"/>
    <n v="7"/>
    <n v="2003"/>
    <x v="0"/>
  </r>
  <r>
    <n v="10165"/>
    <s v="S32_2509"/>
    <x v="17"/>
    <x v="15"/>
    <x v="7"/>
    <x v="2"/>
    <s v="Small"/>
    <n v="14"/>
    <n v="48"/>
    <n v="45.99"/>
    <n v="54"/>
    <n v="2207.52"/>
    <n v="-384.48"/>
    <x v="116"/>
    <x v="0"/>
    <n v="4"/>
    <n v="10"/>
    <n v="2003"/>
    <x v="2"/>
  </r>
  <r>
    <n v="10350"/>
    <s v="S32_3207"/>
    <x v="26"/>
    <x v="21"/>
    <x v="8"/>
    <x v="1"/>
    <s v="Medium"/>
    <n v="14"/>
    <n v="27"/>
    <n v="100"/>
    <n v="62"/>
    <n v="4406.3999999999996"/>
    <n v="2732.4"/>
    <x v="111"/>
    <x v="0"/>
    <n v="4"/>
    <n v="12"/>
    <n v="2004"/>
    <x v="6"/>
  </r>
  <r>
    <n v="10142"/>
    <s v="S50_1514"/>
    <x v="43"/>
    <x v="34"/>
    <x v="0"/>
    <x v="0"/>
    <s v="Small"/>
    <n v="14"/>
    <n v="42"/>
    <n v="49.79"/>
    <n v="58"/>
    <n v="2091.1799999999998"/>
    <n v="-344.82"/>
    <x v="182"/>
    <x v="0"/>
    <n v="3"/>
    <n v="8"/>
    <n v="2003"/>
    <x v="6"/>
  </r>
  <r>
    <n v="10108"/>
    <s v="S50_4713"/>
    <x v="85"/>
    <x v="67"/>
    <x v="18"/>
    <x v="2"/>
    <s v="Small"/>
    <n v="14"/>
    <n v="34"/>
    <n v="82.99"/>
    <n v="81"/>
    <n v="2821.66"/>
    <n v="67.66"/>
    <x v="189"/>
    <x v="0"/>
    <n v="1"/>
    <n v="3"/>
    <n v="2003"/>
    <x v="0"/>
  </r>
  <r>
    <n v="10119"/>
    <s v="S700_1138"/>
    <x v="32"/>
    <x v="26"/>
    <x v="11"/>
    <x v="1"/>
    <s v="Small"/>
    <n v="14"/>
    <n v="25"/>
    <n v="76.67"/>
    <n v="66"/>
    <n v="1916.75"/>
    <n v="266.75"/>
    <x v="247"/>
    <x v="0"/>
    <n v="2"/>
    <n v="4"/>
    <n v="2003"/>
    <x v="5"/>
  </r>
  <r>
    <n v="10373"/>
    <s v="S700_1138"/>
    <x v="71"/>
    <x v="58"/>
    <x v="14"/>
    <x v="1"/>
    <s v="Medium"/>
    <n v="14"/>
    <n v="44"/>
    <n v="100"/>
    <n v="66"/>
    <n v="4627.92"/>
    <n v="1723.92"/>
    <x v="250"/>
    <x v="0"/>
    <n v="1"/>
    <n v="1"/>
    <n v="2005"/>
    <x v="5"/>
  </r>
  <r>
    <n v="10168"/>
    <s v="S700_1691"/>
    <x v="0"/>
    <x v="0"/>
    <x v="0"/>
    <x v="0"/>
    <s v="Small"/>
    <n v="14"/>
    <n v="28"/>
    <n v="98.65"/>
    <n v="91"/>
    <n v="2762.2"/>
    <n v="214.2"/>
    <x v="0"/>
    <x v="0"/>
    <n v="4"/>
    <n v="10"/>
    <n v="2003"/>
    <x v="4"/>
  </r>
  <r>
    <n v="10223"/>
    <s v="S700_1691"/>
    <x v="2"/>
    <x v="2"/>
    <x v="2"/>
    <x v="2"/>
    <s v="Small"/>
    <n v="14"/>
    <n v="25"/>
    <n v="100"/>
    <n v="91"/>
    <n v="2534.75"/>
    <n v="259.75"/>
    <x v="2"/>
    <x v="0"/>
    <n v="1"/>
    <n v="2"/>
    <n v="2004"/>
    <x v="4"/>
  </r>
  <r>
    <n v="10275"/>
    <s v="S700_1691"/>
    <x v="3"/>
    <x v="3"/>
    <x v="3"/>
    <x v="1"/>
    <s v="Small"/>
    <n v="14"/>
    <n v="32"/>
    <n v="89.51"/>
    <n v="91"/>
    <n v="2864.32"/>
    <n v="-47.68"/>
    <x v="3"/>
    <x v="0"/>
    <n v="3"/>
    <n v="7"/>
    <n v="2004"/>
    <x v="4"/>
  </r>
  <r>
    <n v="10273"/>
    <s v="S700_1938"/>
    <x v="66"/>
    <x v="53"/>
    <x v="17"/>
    <x v="1"/>
    <s v="Small"/>
    <n v="14"/>
    <n v="21"/>
    <n v="100"/>
    <n v="86"/>
    <n v="2146.1999999999998"/>
    <n v="340.2"/>
    <x v="70"/>
    <x v="0"/>
    <n v="3"/>
    <n v="7"/>
    <n v="2004"/>
    <x v="5"/>
  </r>
  <r>
    <n v="10361"/>
    <s v="S700_2047"/>
    <x v="64"/>
    <x v="51"/>
    <x v="2"/>
    <x v="2"/>
    <s v="Small"/>
    <n v="14"/>
    <n v="24"/>
    <n v="45.39"/>
    <n v="90"/>
    <n v="1089.3599999999999"/>
    <n v="-1070.6400000000001"/>
    <x v="201"/>
    <x v="0"/>
    <n v="4"/>
    <n v="12"/>
    <n v="2004"/>
    <x v="5"/>
  </r>
  <r>
    <n v="10210"/>
    <s v="S700_2466"/>
    <x v="12"/>
    <x v="10"/>
    <x v="5"/>
    <x v="2"/>
    <s v="Small"/>
    <n v="14"/>
    <n v="26"/>
    <n v="99.72"/>
    <n v="99"/>
    <n v="2592.7199999999998"/>
    <n v="18.72"/>
    <x v="13"/>
    <x v="0"/>
    <n v="1"/>
    <n v="1"/>
    <n v="2004"/>
    <x v="4"/>
  </r>
  <r>
    <n v="10308"/>
    <s v="S700_2466"/>
    <x v="13"/>
    <x v="11"/>
    <x v="0"/>
    <x v="0"/>
    <s v="Medium"/>
    <n v="14"/>
    <n v="35"/>
    <n v="88.75"/>
    <n v="99"/>
    <n v="3106.25"/>
    <n v="-358.75"/>
    <x v="14"/>
    <x v="0"/>
    <n v="4"/>
    <n v="10"/>
    <n v="2004"/>
    <x v="4"/>
  </r>
  <r>
    <n v="10386"/>
    <s v="S700_2466"/>
    <x v="26"/>
    <x v="21"/>
    <x v="8"/>
    <x v="1"/>
    <s v="Medium"/>
    <n v="14"/>
    <n v="37"/>
    <n v="83.84"/>
    <n v="99"/>
    <n v="3102.08"/>
    <n v="-560.91999999999996"/>
    <x v="178"/>
    <x v="4"/>
    <n v="1"/>
    <n v="3"/>
    <n v="2005"/>
    <x v="4"/>
  </r>
  <r>
    <n v="10120"/>
    <s v="S700_3167"/>
    <x v="2"/>
    <x v="2"/>
    <x v="2"/>
    <x v="2"/>
    <s v="Medium"/>
    <n v="14"/>
    <n v="43"/>
    <n v="76"/>
    <n v="80"/>
    <n v="3268"/>
    <n v="-172"/>
    <x v="149"/>
    <x v="0"/>
    <n v="2"/>
    <n v="4"/>
    <n v="2003"/>
    <x v="4"/>
  </r>
  <r>
    <n v="10167"/>
    <s v="S700_3962"/>
    <x v="51"/>
    <x v="42"/>
    <x v="4"/>
    <x v="1"/>
    <s v="Medium"/>
    <n v="14"/>
    <n v="28"/>
    <n v="100"/>
    <n v="99"/>
    <n v="3003"/>
    <n v="231"/>
    <x v="68"/>
    <x v="3"/>
    <n v="4"/>
    <n v="10"/>
    <n v="2003"/>
    <x v="5"/>
  </r>
  <r>
    <n v="10143"/>
    <s v="S10_4757"/>
    <x v="49"/>
    <x v="40"/>
    <x v="0"/>
    <x v="0"/>
    <s v="Medium"/>
    <n v="15"/>
    <n v="49"/>
    <n v="100"/>
    <n v="136"/>
    <n v="5597.76"/>
    <n v="-1066.24"/>
    <x v="221"/>
    <x v="0"/>
    <n v="3"/>
    <n v="8"/>
    <n v="2003"/>
    <x v="1"/>
  </r>
  <r>
    <n v="10207"/>
    <s v="S10_4962"/>
    <x v="77"/>
    <x v="14"/>
    <x v="0"/>
    <x v="0"/>
    <s v="Medium"/>
    <n v="15"/>
    <n v="31"/>
    <n v="100"/>
    <n v="147"/>
    <n v="4076.19"/>
    <n v="-480.81"/>
    <x v="131"/>
    <x v="0"/>
    <n v="4"/>
    <n v="12"/>
    <n v="2003"/>
    <x v="1"/>
  </r>
  <r>
    <n v="10105"/>
    <s v="S12_1108"/>
    <x v="30"/>
    <x v="24"/>
    <x v="10"/>
    <x v="1"/>
    <s v="Large"/>
    <n v="15"/>
    <n v="41"/>
    <n v="100"/>
    <n v="207"/>
    <n v="8690.36"/>
    <n v="203.36"/>
    <x v="187"/>
    <x v="0"/>
    <n v="1"/>
    <n v="2"/>
    <n v="2003"/>
    <x v="1"/>
  </r>
  <r>
    <n v="10181"/>
    <s v="S12_3990"/>
    <x v="1"/>
    <x v="1"/>
    <x v="1"/>
    <x v="1"/>
    <s v="Small"/>
    <n v="15"/>
    <n v="20"/>
    <n v="81.400000000000006"/>
    <n v="79"/>
    <n v="1628"/>
    <n v="48"/>
    <x v="117"/>
    <x v="0"/>
    <n v="4"/>
    <n v="11"/>
    <n v="2003"/>
    <x v="1"/>
  </r>
  <r>
    <n v="10266"/>
    <s v="S12_3990"/>
    <x v="35"/>
    <x v="28"/>
    <x v="12"/>
    <x v="1"/>
    <s v="Small"/>
    <n v="15"/>
    <n v="35"/>
    <n v="76.61"/>
    <n v="79"/>
    <n v="2681.35"/>
    <n v="-83.65"/>
    <x v="153"/>
    <x v="0"/>
    <n v="3"/>
    <n v="7"/>
    <n v="2004"/>
    <x v="1"/>
  </r>
  <r>
    <n v="10212"/>
    <s v="S12_4675"/>
    <x v="26"/>
    <x v="21"/>
    <x v="8"/>
    <x v="1"/>
    <s v="Medium"/>
    <n v="15"/>
    <n v="33"/>
    <n v="100"/>
    <n v="115"/>
    <n v="4180.4399999999996"/>
    <n v="385.44"/>
    <x v="173"/>
    <x v="0"/>
    <n v="1"/>
    <n v="1"/>
    <n v="2004"/>
    <x v="1"/>
  </r>
  <r>
    <n v="10321"/>
    <s v="S12_4675"/>
    <x v="78"/>
    <x v="40"/>
    <x v="0"/>
    <x v="0"/>
    <s v="Small"/>
    <n v="15"/>
    <n v="24"/>
    <n v="100"/>
    <n v="115"/>
    <n v="2984.88"/>
    <n v="224.88"/>
    <x v="8"/>
    <x v="0"/>
    <n v="4"/>
    <n v="11"/>
    <n v="2004"/>
    <x v="1"/>
  </r>
  <r>
    <n v="10329"/>
    <s v="S12_4675"/>
    <x v="5"/>
    <x v="5"/>
    <x v="0"/>
    <x v="0"/>
    <s v="Small"/>
    <n v="15"/>
    <n v="39"/>
    <n v="64.739999999999995"/>
    <n v="115"/>
    <n v="2524.86"/>
    <n v="-1960.14"/>
    <x v="5"/>
    <x v="0"/>
    <n v="4"/>
    <n v="11"/>
    <n v="2004"/>
    <x v="1"/>
  </r>
  <r>
    <n v="10332"/>
    <s v="S18_1342"/>
    <x v="62"/>
    <x v="50"/>
    <x v="15"/>
    <x v="1"/>
    <s v="Medium"/>
    <n v="15"/>
    <n v="46"/>
    <n v="95.13"/>
    <n v="102"/>
    <n v="4375.9799999999996"/>
    <n v="-316.02"/>
    <x v="95"/>
    <x v="0"/>
    <n v="4"/>
    <n v="11"/>
    <n v="2004"/>
    <x v="3"/>
  </r>
  <r>
    <n v="10192"/>
    <s v="S18_1889"/>
    <x v="8"/>
    <x v="7"/>
    <x v="0"/>
    <x v="0"/>
    <s v="Medium"/>
    <n v="15"/>
    <n v="45"/>
    <n v="90.86"/>
    <n v="77"/>
    <n v="4088.7"/>
    <n v="623.70000000000005"/>
    <x v="34"/>
    <x v="0"/>
    <n v="4"/>
    <n v="11"/>
    <n v="2003"/>
    <x v="1"/>
  </r>
  <r>
    <n v="10390"/>
    <s v="S18_1984"/>
    <x v="43"/>
    <x v="34"/>
    <x v="0"/>
    <x v="0"/>
    <s v="Small"/>
    <n v="15"/>
    <n v="34"/>
    <n v="43.05"/>
    <n v="142"/>
    <n v="1463.7"/>
    <n v="-3364.3"/>
    <x v="122"/>
    <x v="0"/>
    <n v="1"/>
    <n v="3"/>
    <n v="2005"/>
    <x v="1"/>
  </r>
  <r>
    <n v="10280"/>
    <s v="S18_2248"/>
    <x v="46"/>
    <x v="37"/>
    <x v="12"/>
    <x v="1"/>
    <s v="Small"/>
    <n v="15"/>
    <n v="25"/>
    <n v="62.96"/>
    <n v="60"/>
    <n v="1574"/>
    <n v="74"/>
    <x v="53"/>
    <x v="0"/>
    <n v="3"/>
    <n v="8"/>
    <n v="2004"/>
    <x v="3"/>
  </r>
  <r>
    <n v="10165"/>
    <s v="S18_2319"/>
    <x v="17"/>
    <x v="15"/>
    <x v="7"/>
    <x v="2"/>
    <s v="Medium"/>
    <n v="15"/>
    <n v="46"/>
    <n v="100"/>
    <n v="122"/>
    <n v="5984.14"/>
    <n v="372.14"/>
    <x v="116"/>
    <x v="0"/>
    <n v="4"/>
    <n v="10"/>
    <n v="2003"/>
    <x v="2"/>
  </r>
  <r>
    <n v="10398"/>
    <s v="S18_2581"/>
    <x v="82"/>
    <x v="64"/>
    <x v="3"/>
    <x v="1"/>
    <s v="Small"/>
    <n v="15"/>
    <n v="34"/>
    <n v="76.88"/>
    <n v="84"/>
    <n v="2613.92"/>
    <n v="-242.08"/>
    <x v="248"/>
    <x v="0"/>
    <n v="1"/>
    <n v="3"/>
    <n v="2005"/>
    <x v="4"/>
  </r>
  <r>
    <n v="10262"/>
    <s v="S18_3029"/>
    <x v="26"/>
    <x v="21"/>
    <x v="8"/>
    <x v="1"/>
    <s v="Small"/>
    <n v="15"/>
    <n v="32"/>
    <n v="84.3"/>
    <n v="86"/>
    <n v="2697.6"/>
    <n v="-54.4"/>
    <x v="155"/>
    <x v="3"/>
    <n v="2"/>
    <n v="6"/>
    <n v="2004"/>
    <x v="5"/>
  </r>
  <r>
    <n v="10316"/>
    <s v="S18_3029"/>
    <x v="84"/>
    <x v="66"/>
    <x v="15"/>
    <x v="1"/>
    <s v="Small"/>
    <n v="15"/>
    <n v="21"/>
    <n v="94.62"/>
    <n v="86"/>
    <n v="1987.02"/>
    <n v="181.02"/>
    <x v="156"/>
    <x v="0"/>
    <n v="4"/>
    <n v="11"/>
    <n v="2004"/>
    <x v="5"/>
  </r>
  <r>
    <n v="10127"/>
    <s v="S18_3232"/>
    <x v="34"/>
    <x v="5"/>
    <x v="0"/>
    <x v="0"/>
    <s v="Medium"/>
    <n v="15"/>
    <n v="22"/>
    <n v="100"/>
    <n v="169"/>
    <n v="3837.24"/>
    <n v="119.24"/>
    <x v="40"/>
    <x v="0"/>
    <n v="2"/>
    <n v="6"/>
    <n v="2003"/>
    <x v="1"/>
  </r>
  <r>
    <n v="10273"/>
    <s v="S18_3259"/>
    <x v="66"/>
    <x v="53"/>
    <x v="17"/>
    <x v="1"/>
    <s v="Medium"/>
    <n v="15"/>
    <n v="47"/>
    <n v="100"/>
    <n v="100"/>
    <n v="5450.59"/>
    <n v="750.59"/>
    <x v="70"/>
    <x v="0"/>
    <n v="3"/>
    <n v="7"/>
    <n v="2004"/>
    <x v="6"/>
  </r>
  <r>
    <n v="10287"/>
    <s v="S18_3278"/>
    <x v="48"/>
    <x v="39"/>
    <x v="16"/>
    <x v="1"/>
    <s v="Medium"/>
    <n v="15"/>
    <n v="43"/>
    <n v="70.760000000000005"/>
    <n v="80"/>
    <n v="3042.68"/>
    <n v="-397.32"/>
    <x v="99"/>
    <x v="0"/>
    <n v="3"/>
    <n v="8"/>
    <n v="2004"/>
    <x v="1"/>
  </r>
  <r>
    <n v="10204"/>
    <s v="S18_3685"/>
    <x v="34"/>
    <x v="5"/>
    <x v="0"/>
    <x v="0"/>
    <s v="Medium"/>
    <n v="15"/>
    <n v="35"/>
    <n v="100"/>
    <n v="141"/>
    <n v="5735.8"/>
    <n v="800.8"/>
    <x v="86"/>
    <x v="0"/>
    <n v="4"/>
    <n v="12"/>
    <n v="2003"/>
    <x v="1"/>
  </r>
  <r>
    <n v="10142"/>
    <s v="S18_4027"/>
    <x v="43"/>
    <x v="34"/>
    <x v="0"/>
    <x v="0"/>
    <s v="Medium"/>
    <n v="15"/>
    <n v="24"/>
    <n v="100"/>
    <n v="143"/>
    <n v="3791.52"/>
    <n v="359.52"/>
    <x v="182"/>
    <x v="0"/>
    <n v="3"/>
    <n v="8"/>
    <n v="2003"/>
    <x v="1"/>
  </r>
  <r>
    <n v="10193"/>
    <s v="S18_4409"/>
    <x v="65"/>
    <x v="52"/>
    <x v="2"/>
    <x v="2"/>
    <s v="Small"/>
    <n v="15"/>
    <n v="24"/>
    <n v="97.55"/>
    <n v="92"/>
    <n v="2341.1999999999998"/>
    <n v="133.19999999999999"/>
    <x v="101"/>
    <x v="0"/>
    <n v="4"/>
    <n v="11"/>
    <n v="2003"/>
    <x v="3"/>
  </r>
  <r>
    <n v="10122"/>
    <s v="S18_4721"/>
    <x v="56"/>
    <x v="45"/>
    <x v="3"/>
    <x v="1"/>
    <s v="Medium"/>
    <n v="15"/>
    <n v="28"/>
    <n v="100"/>
    <n v="148"/>
    <n v="3583.16"/>
    <n v="-560.84"/>
    <x v="78"/>
    <x v="0"/>
    <n v="2"/>
    <n v="5"/>
    <n v="2003"/>
    <x v="1"/>
  </r>
  <r>
    <n v="10310"/>
    <s v="S18_4721"/>
    <x v="29"/>
    <x v="23"/>
    <x v="9"/>
    <x v="1"/>
    <s v="Medium"/>
    <n v="15"/>
    <n v="40"/>
    <n v="100"/>
    <n v="148"/>
    <n v="5356.8"/>
    <n v="-563.20000000000005"/>
    <x v="81"/>
    <x v="0"/>
    <n v="4"/>
    <n v="10"/>
    <n v="2004"/>
    <x v="1"/>
  </r>
  <r>
    <n v="10173"/>
    <s v="S18_4933"/>
    <x v="67"/>
    <x v="54"/>
    <x v="12"/>
    <x v="1"/>
    <s v="Small"/>
    <n v="15"/>
    <n v="39"/>
    <n v="71.98"/>
    <n v="71"/>
    <n v="2807.22"/>
    <n v="38.22"/>
    <x v="80"/>
    <x v="0"/>
    <n v="4"/>
    <n v="11"/>
    <n v="2003"/>
    <x v="1"/>
  </r>
  <r>
    <n v="10159"/>
    <s v="S24_1578"/>
    <x v="21"/>
    <x v="17"/>
    <x v="0"/>
    <x v="0"/>
    <s v="Medium"/>
    <n v="15"/>
    <n v="44"/>
    <n v="100"/>
    <n v="112"/>
    <n v="5355.68"/>
    <n v="427.68"/>
    <x v="160"/>
    <x v="0"/>
    <n v="4"/>
    <n v="10"/>
    <n v="2003"/>
    <x v="0"/>
  </r>
  <r>
    <n v="10211"/>
    <s v="S24_1578"/>
    <x v="11"/>
    <x v="9"/>
    <x v="3"/>
    <x v="1"/>
    <s v="Small"/>
    <n v="15"/>
    <n v="25"/>
    <n v="90.16"/>
    <n v="112"/>
    <n v="2254"/>
    <n v="-546"/>
    <x v="186"/>
    <x v="0"/>
    <n v="1"/>
    <n v="1"/>
    <n v="2004"/>
    <x v="0"/>
  </r>
  <r>
    <n v="10110"/>
    <s v="S24_1628"/>
    <x v="62"/>
    <x v="50"/>
    <x v="15"/>
    <x v="1"/>
    <s v="Small"/>
    <n v="15"/>
    <n v="29"/>
    <n v="59.37"/>
    <n v="50"/>
    <n v="1721.73"/>
    <n v="271.73"/>
    <x v="92"/>
    <x v="0"/>
    <n v="1"/>
    <n v="3"/>
    <n v="2003"/>
    <x v="1"/>
  </r>
  <r>
    <n v="10304"/>
    <s v="S24_2022"/>
    <x v="20"/>
    <x v="16"/>
    <x v="3"/>
    <x v="1"/>
    <s v="Small"/>
    <n v="15"/>
    <n v="44"/>
    <n v="39.42"/>
    <n v="44"/>
    <n v="1734.48"/>
    <n v="-201.52"/>
    <x v="241"/>
    <x v="0"/>
    <n v="4"/>
    <n v="10"/>
    <n v="2004"/>
    <x v="3"/>
  </r>
  <r>
    <n v="10108"/>
    <s v="S24_2360"/>
    <x v="85"/>
    <x v="67"/>
    <x v="18"/>
    <x v="2"/>
    <s v="Small"/>
    <n v="15"/>
    <n v="35"/>
    <n v="58.87"/>
    <n v="69"/>
    <n v="2060.4499999999998"/>
    <n v="-354.55"/>
    <x v="189"/>
    <x v="0"/>
    <n v="1"/>
    <n v="3"/>
    <n v="2003"/>
    <x v="0"/>
  </r>
  <r>
    <n v="10314"/>
    <s v="S24_2840"/>
    <x v="69"/>
    <x v="56"/>
    <x v="10"/>
    <x v="1"/>
    <s v="Small"/>
    <n v="15"/>
    <n v="39"/>
    <n v="37.130000000000003"/>
    <n v="35"/>
    <n v="1448.07"/>
    <n v="83.07"/>
    <x v="110"/>
    <x v="0"/>
    <n v="4"/>
    <n v="10"/>
    <n v="2004"/>
    <x v="1"/>
  </r>
  <r>
    <n v="10182"/>
    <s v="S24_3191"/>
    <x v="43"/>
    <x v="34"/>
    <x v="0"/>
    <x v="0"/>
    <s v="Medium"/>
    <n v="15"/>
    <n v="33"/>
    <n v="94.17"/>
    <n v="85"/>
    <n v="3107.61"/>
    <n v="302.61"/>
    <x v="117"/>
    <x v="0"/>
    <n v="4"/>
    <n v="11"/>
    <n v="2003"/>
    <x v="1"/>
  </r>
  <r>
    <n v="10227"/>
    <s v="S24_3191"/>
    <x v="73"/>
    <x v="59"/>
    <x v="3"/>
    <x v="1"/>
    <s v="Medium"/>
    <n v="15"/>
    <n v="40"/>
    <n v="79.62"/>
    <n v="85"/>
    <n v="3184.8"/>
    <n v="-215.2"/>
    <x v="118"/>
    <x v="0"/>
    <n v="1"/>
    <n v="3"/>
    <n v="2004"/>
    <x v="1"/>
  </r>
  <r>
    <n v="10363"/>
    <s v="S24_3371"/>
    <x v="38"/>
    <x v="30"/>
    <x v="14"/>
    <x v="1"/>
    <s v="Small"/>
    <n v="15"/>
    <n v="21"/>
    <n v="100"/>
    <n v="61"/>
    <n v="2447.7600000000002"/>
    <n v="1166.76"/>
    <x v="190"/>
    <x v="0"/>
    <n v="1"/>
    <n v="1"/>
    <n v="2005"/>
    <x v="1"/>
  </r>
  <r>
    <n v="10312"/>
    <s v="S24_3969"/>
    <x v="43"/>
    <x v="34"/>
    <x v="0"/>
    <x v="0"/>
    <s v="Small"/>
    <n v="15"/>
    <n v="31"/>
    <n v="35.29"/>
    <n v="41"/>
    <n v="1093.99"/>
    <n v="-177.01"/>
    <x v="140"/>
    <x v="0"/>
    <n v="4"/>
    <n v="10"/>
    <n v="2004"/>
    <x v="3"/>
  </r>
  <r>
    <n v="10103"/>
    <s v="S24_4258"/>
    <x v="39"/>
    <x v="31"/>
    <x v="1"/>
    <x v="1"/>
    <s v="Small"/>
    <n v="15"/>
    <n v="25"/>
    <n v="100"/>
    <n v="97"/>
    <n v="2873"/>
    <n v="448"/>
    <x v="166"/>
    <x v="0"/>
    <n v="1"/>
    <n v="1"/>
    <n v="2003"/>
    <x v="3"/>
  </r>
  <r>
    <n v="10126"/>
    <s v="S24_4258"/>
    <x v="63"/>
    <x v="21"/>
    <x v="8"/>
    <x v="1"/>
    <s v="Medium"/>
    <n v="15"/>
    <n v="34"/>
    <n v="100"/>
    <n v="97"/>
    <n v="3576.12"/>
    <n v="278.12"/>
    <x v="167"/>
    <x v="0"/>
    <n v="2"/>
    <n v="5"/>
    <n v="2003"/>
    <x v="3"/>
  </r>
  <r>
    <n v="10145"/>
    <s v="S24_4278"/>
    <x v="22"/>
    <x v="18"/>
    <x v="0"/>
    <x v="0"/>
    <s v="Small"/>
    <n v="15"/>
    <n v="33"/>
    <n v="84.77"/>
    <n v="72"/>
    <n v="2797.41"/>
    <n v="421.41"/>
    <x v="213"/>
    <x v="0"/>
    <n v="3"/>
    <n v="8"/>
    <n v="2003"/>
    <x v="4"/>
  </r>
  <r>
    <n v="10375"/>
    <s v="S32_4485"/>
    <x v="3"/>
    <x v="3"/>
    <x v="3"/>
    <x v="1"/>
    <s v="Medium"/>
    <n v="15"/>
    <n v="41"/>
    <n v="100"/>
    <n v="102"/>
    <n v="4701.88"/>
    <n v="519.88"/>
    <x v="234"/>
    <x v="0"/>
    <n v="1"/>
    <n v="2"/>
    <n v="2005"/>
    <x v="0"/>
  </r>
  <r>
    <n v="10185"/>
    <s v="S50_1514"/>
    <x v="49"/>
    <x v="40"/>
    <x v="0"/>
    <x v="0"/>
    <s v="Small"/>
    <n v="15"/>
    <n v="20"/>
    <n v="48.62"/>
    <n v="58"/>
    <n v="972.4"/>
    <n v="-187.6"/>
    <x v="69"/>
    <x v="0"/>
    <n v="4"/>
    <n v="11"/>
    <n v="2003"/>
    <x v="6"/>
  </r>
  <r>
    <n v="10208"/>
    <s v="S50_1514"/>
    <x v="73"/>
    <x v="59"/>
    <x v="3"/>
    <x v="1"/>
    <s v="Small"/>
    <n v="15"/>
    <n v="30"/>
    <n v="65.61"/>
    <n v="58"/>
    <n v="1968.3"/>
    <n v="228.3"/>
    <x v="237"/>
    <x v="0"/>
    <n v="1"/>
    <n v="1"/>
    <n v="2004"/>
    <x v="6"/>
  </r>
  <r>
    <n v="10306"/>
    <s v="S50_1514"/>
    <x v="62"/>
    <x v="50"/>
    <x v="15"/>
    <x v="1"/>
    <s v="Small"/>
    <n v="15"/>
    <n v="34"/>
    <n v="60.34"/>
    <n v="58"/>
    <n v="2051.56"/>
    <n v="79.56"/>
    <x v="71"/>
    <x v="0"/>
    <n v="4"/>
    <n v="10"/>
    <n v="2004"/>
    <x v="6"/>
  </r>
  <r>
    <n v="10135"/>
    <s v="S50_4713"/>
    <x v="43"/>
    <x v="34"/>
    <x v="0"/>
    <x v="0"/>
    <s v="Medium"/>
    <n v="15"/>
    <n v="44"/>
    <n v="96"/>
    <n v="81"/>
    <n v="4224"/>
    <n v="660"/>
    <x v="180"/>
    <x v="0"/>
    <n v="3"/>
    <n v="7"/>
    <n v="2003"/>
    <x v="0"/>
  </r>
  <r>
    <n v="10222"/>
    <s v="S700_1138"/>
    <x v="80"/>
    <x v="63"/>
    <x v="0"/>
    <x v="0"/>
    <s v="Small"/>
    <n v="15"/>
    <n v="31"/>
    <n v="62.67"/>
    <n v="66"/>
    <n v="1942.77"/>
    <n v="-103.23"/>
    <x v="233"/>
    <x v="0"/>
    <n v="1"/>
    <n v="2"/>
    <n v="2004"/>
    <x v="5"/>
  </r>
  <r>
    <n v="10339"/>
    <s v="S700_2047"/>
    <x v="41"/>
    <x v="32"/>
    <x v="5"/>
    <x v="2"/>
    <s v="Medium"/>
    <n v="15"/>
    <n v="55"/>
    <n v="71.25"/>
    <n v="90"/>
    <n v="3918.75"/>
    <n v="-1031.25"/>
    <x v="90"/>
    <x v="0"/>
    <n v="4"/>
    <n v="11"/>
    <n v="2004"/>
    <x v="5"/>
  </r>
  <r>
    <n v="10373"/>
    <s v="S700_2047"/>
    <x v="71"/>
    <x v="58"/>
    <x v="14"/>
    <x v="1"/>
    <s v="Small"/>
    <n v="15"/>
    <n v="32"/>
    <n v="84.41"/>
    <n v="90"/>
    <n v="2701.12"/>
    <n v="-178.88"/>
    <x v="250"/>
    <x v="0"/>
    <n v="1"/>
    <n v="1"/>
    <n v="2005"/>
    <x v="5"/>
  </r>
  <r>
    <n v="10120"/>
    <s v="S700_2466"/>
    <x v="2"/>
    <x v="2"/>
    <x v="2"/>
    <x v="2"/>
    <s v="Small"/>
    <n v="15"/>
    <n v="24"/>
    <n v="100"/>
    <n v="99"/>
    <n v="2584.8000000000002"/>
    <n v="208.8"/>
    <x v="149"/>
    <x v="0"/>
    <n v="2"/>
    <n v="4"/>
    <n v="2003"/>
    <x v="4"/>
  </r>
  <r>
    <n v="10168"/>
    <s v="S700_3167"/>
    <x v="0"/>
    <x v="0"/>
    <x v="0"/>
    <x v="0"/>
    <s v="Medium"/>
    <n v="15"/>
    <n v="48"/>
    <n v="96"/>
    <n v="80"/>
    <n v="4608"/>
    <n v="768"/>
    <x v="0"/>
    <x v="0"/>
    <n v="4"/>
    <n v="10"/>
    <n v="2003"/>
    <x v="4"/>
  </r>
  <r>
    <n v="10223"/>
    <s v="S700_3167"/>
    <x v="2"/>
    <x v="2"/>
    <x v="2"/>
    <x v="2"/>
    <s v="Small"/>
    <n v="15"/>
    <n v="26"/>
    <n v="67.2"/>
    <n v="80"/>
    <n v="1747.2"/>
    <n v="-332.8"/>
    <x v="2"/>
    <x v="0"/>
    <n v="1"/>
    <n v="2"/>
    <n v="2004"/>
    <x v="4"/>
  </r>
  <r>
    <n v="10275"/>
    <s v="S700_3167"/>
    <x v="3"/>
    <x v="3"/>
    <x v="3"/>
    <x v="1"/>
    <s v="Medium"/>
    <n v="15"/>
    <n v="43"/>
    <n v="73.599999999999994"/>
    <n v="80"/>
    <n v="3164.8"/>
    <n v="-275.2"/>
    <x v="3"/>
    <x v="0"/>
    <n v="3"/>
    <n v="7"/>
    <n v="2004"/>
    <x v="4"/>
  </r>
  <r>
    <n v="10210"/>
    <s v="S700_4002"/>
    <x v="12"/>
    <x v="10"/>
    <x v="5"/>
    <x v="2"/>
    <s v="Small"/>
    <n v="15"/>
    <n v="42"/>
    <n v="70.33"/>
    <n v="74"/>
    <n v="2953.86"/>
    <n v="-154.13999999999999"/>
    <x v="13"/>
    <x v="0"/>
    <n v="1"/>
    <n v="1"/>
    <n v="2004"/>
    <x v="4"/>
  </r>
  <r>
    <n v="10308"/>
    <s v="S700_4002"/>
    <x v="13"/>
    <x v="11"/>
    <x v="0"/>
    <x v="0"/>
    <s v="Small"/>
    <n v="15"/>
    <n v="39"/>
    <n v="68.11"/>
    <n v="74"/>
    <n v="2656.29"/>
    <n v="-229.71"/>
    <x v="14"/>
    <x v="0"/>
    <n v="4"/>
    <n v="10"/>
    <n v="2004"/>
    <x v="4"/>
  </r>
  <r>
    <n v="10386"/>
    <s v="S700_4002"/>
    <x v="26"/>
    <x v="21"/>
    <x v="8"/>
    <x v="1"/>
    <s v="Medium"/>
    <n v="15"/>
    <n v="44"/>
    <n v="86.4"/>
    <n v="74"/>
    <n v="3801.6"/>
    <n v="545.6"/>
    <x v="178"/>
    <x v="4"/>
    <n v="1"/>
    <n v="3"/>
    <n v="2005"/>
    <x v="4"/>
  </r>
  <r>
    <n v="10106"/>
    <s v="S72_1253"/>
    <x v="67"/>
    <x v="54"/>
    <x v="12"/>
    <x v="1"/>
    <s v="Small"/>
    <n v="15"/>
    <n v="48"/>
    <n v="52.64"/>
    <n v="49"/>
    <n v="2526.7199999999998"/>
    <n v="174.72"/>
    <x v="242"/>
    <x v="0"/>
    <n v="1"/>
    <n v="2"/>
    <n v="2003"/>
    <x v="4"/>
  </r>
  <r>
    <n v="10167"/>
    <s v="S72_3212"/>
    <x v="51"/>
    <x v="42"/>
    <x v="4"/>
    <x v="1"/>
    <s v="Small"/>
    <n v="15"/>
    <n v="38"/>
    <n v="48.59"/>
    <n v="54"/>
    <n v="1846.42"/>
    <n v="-205.58"/>
    <x v="68"/>
    <x v="3"/>
    <n v="4"/>
    <n v="10"/>
    <n v="2003"/>
    <x v="5"/>
  </r>
  <r>
    <n v="10350"/>
    <s v="S72_3212"/>
    <x v="26"/>
    <x v="21"/>
    <x v="8"/>
    <x v="1"/>
    <s v="Small"/>
    <n v="15"/>
    <n v="20"/>
    <n v="100"/>
    <n v="54"/>
    <n v="2244.4"/>
    <n v="1164.4000000000001"/>
    <x v="111"/>
    <x v="0"/>
    <n v="4"/>
    <n v="12"/>
    <n v="2004"/>
    <x v="5"/>
  </r>
  <r>
    <n v="10159"/>
    <s v="S10_4698"/>
    <x v="21"/>
    <x v="17"/>
    <x v="0"/>
    <x v="0"/>
    <s v="Medium"/>
    <n v="16"/>
    <n v="22"/>
    <n v="100"/>
    <n v="193"/>
    <n v="4132.7"/>
    <n v="-113.3"/>
    <x v="160"/>
    <x v="0"/>
    <n v="4"/>
    <n v="10"/>
    <n v="2003"/>
    <x v="0"/>
  </r>
  <r>
    <n v="10212"/>
    <s v="S12_3380"/>
    <x v="26"/>
    <x v="21"/>
    <x v="8"/>
    <x v="1"/>
    <s v="Medium"/>
    <n v="16"/>
    <n v="39"/>
    <n v="100"/>
    <n v="117"/>
    <n v="4946.76"/>
    <n v="383.76"/>
    <x v="173"/>
    <x v="0"/>
    <n v="1"/>
    <n v="1"/>
    <n v="2004"/>
    <x v="1"/>
  </r>
  <r>
    <n v="10192"/>
    <s v="S12_4675"/>
    <x v="8"/>
    <x v="7"/>
    <x v="0"/>
    <x v="0"/>
    <s v="Medium"/>
    <n v="16"/>
    <n v="27"/>
    <n v="100"/>
    <n v="115"/>
    <n v="3544.56"/>
    <n v="439.56"/>
    <x v="34"/>
    <x v="0"/>
    <n v="4"/>
    <n v="11"/>
    <n v="2003"/>
    <x v="1"/>
  </r>
  <r>
    <n v="10332"/>
    <s v="S18_1367"/>
    <x v="62"/>
    <x v="50"/>
    <x v="15"/>
    <x v="1"/>
    <s v="Small"/>
    <n v="16"/>
    <n v="27"/>
    <n v="89.89"/>
    <n v="53"/>
    <n v="2427.0300000000002"/>
    <n v="996.03"/>
    <x v="95"/>
    <x v="0"/>
    <n v="4"/>
    <n v="11"/>
    <n v="2004"/>
    <x v="3"/>
  </r>
  <r>
    <n v="10110"/>
    <s v="S18_1589"/>
    <x v="62"/>
    <x v="50"/>
    <x v="15"/>
    <x v="1"/>
    <s v="Medium"/>
    <n v="16"/>
    <n v="37"/>
    <n v="100"/>
    <n v="124"/>
    <n v="5433.08"/>
    <n v="845.08"/>
    <x v="92"/>
    <x v="0"/>
    <n v="1"/>
    <n v="3"/>
    <n v="2003"/>
    <x v="1"/>
  </r>
  <r>
    <n v="10280"/>
    <s v="S18_1749"/>
    <x v="46"/>
    <x v="37"/>
    <x v="12"/>
    <x v="1"/>
    <s v="Medium"/>
    <n v="16"/>
    <n v="26"/>
    <n v="100"/>
    <n v="170"/>
    <n v="3668.6"/>
    <n v="-751.4"/>
    <x v="53"/>
    <x v="0"/>
    <n v="3"/>
    <n v="8"/>
    <n v="2004"/>
    <x v="3"/>
  </r>
  <r>
    <n v="10204"/>
    <s v="S18_1984"/>
    <x v="34"/>
    <x v="5"/>
    <x v="0"/>
    <x v="0"/>
    <s v="Medium"/>
    <n v="16"/>
    <n v="38"/>
    <n v="100"/>
    <n v="142"/>
    <n v="6432.64"/>
    <n v="1036.6400000000001"/>
    <x v="86"/>
    <x v="0"/>
    <n v="4"/>
    <n v="12"/>
    <n v="2003"/>
    <x v="1"/>
  </r>
  <r>
    <n v="10312"/>
    <s v="S18_2248"/>
    <x v="43"/>
    <x v="34"/>
    <x v="0"/>
    <x v="0"/>
    <s v="Small"/>
    <n v="16"/>
    <n v="30"/>
    <n v="61.15"/>
    <n v="60"/>
    <n v="1834.5"/>
    <n v="34.5"/>
    <x v="140"/>
    <x v="0"/>
    <n v="4"/>
    <n v="10"/>
    <n v="2004"/>
    <x v="3"/>
  </r>
  <r>
    <n v="10390"/>
    <s v="S18_2325"/>
    <x v="43"/>
    <x v="34"/>
    <x v="0"/>
    <x v="0"/>
    <s v="Medium"/>
    <n v="16"/>
    <n v="31"/>
    <n v="98.99"/>
    <n v="127"/>
    <n v="3068.69"/>
    <n v="-868.31"/>
    <x v="122"/>
    <x v="0"/>
    <n v="1"/>
    <n v="3"/>
    <n v="2005"/>
    <x v="3"/>
  </r>
  <r>
    <n v="10165"/>
    <s v="S18_3232"/>
    <x v="17"/>
    <x v="15"/>
    <x v="7"/>
    <x v="2"/>
    <s v="Large"/>
    <n v="16"/>
    <n v="47"/>
    <n v="100"/>
    <n v="169"/>
    <n v="8754.69"/>
    <n v="811.69"/>
    <x v="116"/>
    <x v="0"/>
    <n v="4"/>
    <n v="10"/>
    <n v="2003"/>
    <x v="1"/>
  </r>
  <r>
    <n v="10103"/>
    <s v="S18_3320"/>
    <x v="39"/>
    <x v="31"/>
    <x v="1"/>
    <x v="1"/>
    <s v="Medium"/>
    <n v="16"/>
    <n v="46"/>
    <n v="100"/>
    <n v="99"/>
    <n v="4791.82"/>
    <n v="237.82"/>
    <x v="166"/>
    <x v="0"/>
    <n v="1"/>
    <n v="1"/>
    <n v="2003"/>
    <x v="3"/>
  </r>
  <r>
    <n v="10126"/>
    <s v="S18_3320"/>
    <x v="63"/>
    <x v="21"/>
    <x v="8"/>
    <x v="1"/>
    <s v="Medium"/>
    <n v="16"/>
    <n v="38"/>
    <n v="82.34"/>
    <n v="99"/>
    <n v="3128.92"/>
    <n v="-633.08000000000004"/>
    <x v="167"/>
    <x v="0"/>
    <n v="2"/>
    <n v="5"/>
    <n v="2003"/>
    <x v="3"/>
  </r>
  <r>
    <n v="10181"/>
    <s v="S18_3482"/>
    <x v="1"/>
    <x v="1"/>
    <x v="1"/>
    <x v="1"/>
    <s v="Medium"/>
    <n v="16"/>
    <n v="22"/>
    <n v="100"/>
    <n v="146"/>
    <n v="3395.48"/>
    <n v="183.48"/>
    <x v="117"/>
    <x v="0"/>
    <n v="4"/>
    <n v="11"/>
    <n v="2003"/>
    <x v="1"/>
  </r>
  <r>
    <n v="10122"/>
    <s v="S18_3782"/>
    <x v="56"/>
    <x v="45"/>
    <x v="3"/>
    <x v="1"/>
    <s v="Small"/>
    <n v="16"/>
    <n v="35"/>
    <n v="49.74"/>
    <n v="62"/>
    <n v="1740.9"/>
    <n v="-429.1"/>
    <x v="78"/>
    <x v="0"/>
    <n v="2"/>
    <n v="5"/>
    <n v="2003"/>
    <x v="0"/>
  </r>
  <r>
    <n v="10310"/>
    <s v="S18_3782"/>
    <x v="29"/>
    <x v="23"/>
    <x v="9"/>
    <x v="1"/>
    <s v="Small"/>
    <n v="16"/>
    <n v="42"/>
    <n v="67.14"/>
    <n v="62"/>
    <n v="2819.88"/>
    <n v="215.88"/>
    <x v="81"/>
    <x v="0"/>
    <n v="4"/>
    <n v="10"/>
    <n v="2004"/>
    <x v="0"/>
  </r>
  <r>
    <n v="10185"/>
    <s v="S18_4027"/>
    <x v="49"/>
    <x v="40"/>
    <x v="0"/>
    <x v="0"/>
    <s v="Medium"/>
    <n v="16"/>
    <n v="39"/>
    <n v="100"/>
    <n v="143"/>
    <n v="5096.91"/>
    <n v="-480.09"/>
    <x v="69"/>
    <x v="0"/>
    <n v="4"/>
    <n v="11"/>
    <n v="2003"/>
    <x v="1"/>
  </r>
  <r>
    <n v="10306"/>
    <s v="S18_4027"/>
    <x v="62"/>
    <x v="50"/>
    <x v="15"/>
    <x v="1"/>
    <s v="Medium"/>
    <n v="16"/>
    <n v="23"/>
    <n v="100"/>
    <n v="143"/>
    <n v="3600.65"/>
    <n v="311.64999999999998"/>
    <x v="71"/>
    <x v="0"/>
    <n v="4"/>
    <n v="10"/>
    <n v="2004"/>
    <x v="1"/>
  </r>
  <r>
    <n v="10207"/>
    <s v="S18_4600"/>
    <x v="77"/>
    <x v="14"/>
    <x v="0"/>
    <x v="0"/>
    <s v="Medium"/>
    <n v="16"/>
    <n v="47"/>
    <n v="100"/>
    <n v="121"/>
    <n v="6658.02"/>
    <n v="971.02"/>
    <x v="131"/>
    <x v="0"/>
    <n v="4"/>
    <n v="12"/>
    <n v="2003"/>
    <x v="2"/>
  </r>
  <r>
    <n v="10193"/>
    <s v="S18_4933"/>
    <x v="65"/>
    <x v="52"/>
    <x v="2"/>
    <x v="2"/>
    <s v="Small"/>
    <n v="16"/>
    <n v="25"/>
    <n v="76.260000000000005"/>
    <n v="71"/>
    <n v="1906.5"/>
    <n v="131.5"/>
    <x v="101"/>
    <x v="0"/>
    <n v="4"/>
    <n v="11"/>
    <n v="2003"/>
    <x v="1"/>
  </r>
  <r>
    <n v="10182"/>
    <s v="S24_1046"/>
    <x v="43"/>
    <x v="34"/>
    <x v="0"/>
    <x v="0"/>
    <s v="Medium"/>
    <n v="16"/>
    <n v="47"/>
    <n v="74.22"/>
    <n v="73"/>
    <n v="3488.34"/>
    <n v="57.34"/>
    <x v="117"/>
    <x v="0"/>
    <n v="4"/>
    <n v="11"/>
    <n v="2003"/>
    <x v="1"/>
  </r>
  <r>
    <n v="10145"/>
    <s v="S24_1785"/>
    <x v="22"/>
    <x v="18"/>
    <x v="0"/>
    <x v="0"/>
    <s v="Medium"/>
    <n v="16"/>
    <n v="40"/>
    <n v="87.54"/>
    <n v="109"/>
    <n v="3501.6"/>
    <n v="-858.4"/>
    <x v="213"/>
    <x v="0"/>
    <n v="3"/>
    <n v="8"/>
    <n v="2003"/>
    <x v="4"/>
  </r>
  <r>
    <n v="10398"/>
    <s v="S24_1785"/>
    <x v="82"/>
    <x v="64"/>
    <x v="3"/>
    <x v="1"/>
    <s v="Medium"/>
    <n v="16"/>
    <n v="43"/>
    <n v="100"/>
    <n v="109"/>
    <n v="5552.16"/>
    <n v="865.16"/>
    <x v="248"/>
    <x v="0"/>
    <n v="1"/>
    <n v="3"/>
    <n v="2005"/>
    <x v="4"/>
  </r>
  <r>
    <n v="10304"/>
    <s v="S24_1937"/>
    <x v="20"/>
    <x v="16"/>
    <x v="3"/>
    <x v="1"/>
    <s v="Small"/>
    <n v="16"/>
    <n v="23"/>
    <n v="30.2"/>
    <n v="33"/>
    <n v="694.6"/>
    <n v="-64.400000000000006"/>
    <x v="241"/>
    <x v="0"/>
    <n v="4"/>
    <n v="10"/>
    <n v="2004"/>
    <x v="3"/>
  </r>
  <r>
    <n v="10167"/>
    <s v="S24_2011"/>
    <x v="51"/>
    <x v="42"/>
    <x v="4"/>
    <x v="1"/>
    <s v="Medium"/>
    <n v="16"/>
    <n v="33"/>
    <n v="100"/>
    <n v="122"/>
    <n v="3812.16"/>
    <n v="-213.84"/>
    <x v="68"/>
    <x v="3"/>
    <n v="4"/>
    <n v="10"/>
    <n v="2003"/>
    <x v="5"/>
  </r>
  <r>
    <n v="10135"/>
    <s v="S24_2360"/>
    <x v="43"/>
    <x v="34"/>
    <x v="0"/>
    <x v="0"/>
    <s v="Small"/>
    <n v="16"/>
    <n v="29"/>
    <n v="61.64"/>
    <n v="69"/>
    <n v="1787.56"/>
    <n v="-213.44"/>
    <x v="180"/>
    <x v="0"/>
    <n v="3"/>
    <n v="7"/>
    <n v="2003"/>
    <x v="0"/>
  </r>
  <r>
    <n v="10173"/>
    <s v="S24_2887"/>
    <x v="67"/>
    <x v="54"/>
    <x v="12"/>
    <x v="1"/>
    <s v="Small"/>
    <n v="16"/>
    <n v="23"/>
    <n v="100"/>
    <n v="117"/>
    <n v="2728.03"/>
    <n v="37.03"/>
    <x v="80"/>
    <x v="0"/>
    <n v="4"/>
    <n v="11"/>
    <n v="2003"/>
    <x v="1"/>
  </r>
  <r>
    <n v="10262"/>
    <s v="S24_3816"/>
    <x v="26"/>
    <x v="21"/>
    <x v="8"/>
    <x v="1"/>
    <s v="Medium"/>
    <n v="16"/>
    <n v="49"/>
    <n v="87.21"/>
    <n v="83"/>
    <n v="4273.29"/>
    <n v="206.29"/>
    <x v="155"/>
    <x v="3"/>
    <n v="2"/>
    <n v="6"/>
    <n v="2004"/>
    <x v="3"/>
  </r>
  <r>
    <n v="10316"/>
    <s v="S24_3816"/>
    <x v="84"/>
    <x v="66"/>
    <x v="15"/>
    <x v="1"/>
    <s v="Small"/>
    <n v="16"/>
    <n v="25"/>
    <n v="92.25"/>
    <n v="83"/>
    <n v="2306.25"/>
    <n v="231.25"/>
    <x v="156"/>
    <x v="0"/>
    <n v="4"/>
    <n v="11"/>
    <n v="2004"/>
    <x v="3"/>
  </r>
  <r>
    <n v="10339"/>
    <s v="S24_3816"/>
    <x v="41"/>
    <x v="32"/>
    <x v="5"/>
    <x v="2"/>
    <s v="Small"/>
    <n v="16"/>
    <n v="42"/>
    <n v="59.36"/>
    <n v="83"/>
    <n v="2493.12"/>
    <n v="-992.88"/>
    <x v="90"/>
    <x v="0"/>
    <n v="4"/>
    <n v="11"/>
    <n v="2004"/>
    <x v="3"/>
  </r>
  <r>
    <n v="10210"/>
    <s v="S24_3949"/>
    <x v="12"/>
    <x v="10"/>
    <x v="5"/>
    <x v="2"/>
    <s v="Small"/>
    <n v="16"/>
    <n v="29"/>
    <n v="69.599999999999994"/>
    <n v="68"/>
    <n v="2018.4"/>
    <n v="46.4"/>
    <x v="13"/>
    <x v="0"/>
    <n v="1"/>
    <n v="1"/>
    <n v="2004"/>
    <x v="4"/>
  </r>
  <r>
    <n v="10308"/>
    <s v="S24_3949"/>
    <x v="13"/>
    <x v="11"/>
    <x v="0"/>
    <x v="0"/>
    <s v="Medium"/>
    <n v="16"/>
    <n v="43"/>
    <n v="76.430000000000007"/>
    <n v="68"/>
    <n v="3286.49"/>
    <n v="362.49"/>
    <x v="14"/>
    <x v="0"/>
    <n v="4"/>
    <n v="10"/>
    <n v="2004"/>
    <x v="4"/>
  </r>
  <r>
    <n v="10287"/>
    <s v="S24_4620"/>
    <x v="48"/>
    <x v="39"/>
    <x v="16"/>
    <x v="1"/>
    <s v="Medium"/>
    <n v="16"/>
    <n v="40"/>
    <n v="88.12"/>
    <n v="80"/>
    <n v="3524.8"/>
    <n v="324.8"/>
    <x v="99"/>
    <x v="0"/>
    <n v="3"/>
    <n v="8"/>
    <n v="2004"/>
    <x v="1"/>
  </r>
  <r>
    <n v="10142"/>
    <s v="S32_3207"/>
    <x v="43"/>
    <x v="34"/>
    <x v="0"/>
    <x v="0"/>
    <s v="Medium"/>
    <n v="16"/>
    <n v="42"/>
    <n v="74.569999999999993"/>
    <n v="62"/>
    <n v="3131.94"/>
    <n v="527.94000000000005"/>
    <x v="182"/>
    <x v="0"/>
    <n v="3"/>
    <n v="8"/>
    <n v="2003"/>
    <x v="6"/>
  </r>
  <r>
    <n v="10108"/>
    <s v="S32_4485"/>
    <x v="85"/>
    <x v="67"/>
    <x v="18"/>
    <x v="2"/>
    <s v="Medium"/>
    <n v="16"/>
    <n v="31"/>
    <n v="100"/>
    <n v="102"/>
    <n v="3669.78"/>
    <n v="507.78"/>
    <x v="189"/>
    <x v="0"/>
    <n v="1"/>
    <n v="3"/>
    <n v="2003"/>
    <x v="0"/>
  </r>
  <r>
    <n v="10106"/>
    <s v="S700_2047"/>
    <x v="67"/>
    <x v="54"/>
    <x v="12"/>
    <x v="1"/>
    <s v="Medium"/>
    <n v="16"/>
    <n v="30"/>
    <n v="100"/>
    <n v="90"/>
    <n v="3177.3"/>
    <n v="477.3"/>
    <x v="242"/>
    <x v="0"/>
    <n v="1"/>
    <n v="2"/>
    <n v="2003"/>
    <x v="5"/>
  </r>
  <r>
    <n v="10168"/>
    <s v="S700_2466"/>
    <x v="0"/>
    <x v="0"/>
    <x v="0"/>
    <x v="0"/>
    <s v="Medium"/>
    <n v="16"/>
    <n v="31"/>
    <n v="100"/>
    <n v="99"/>
    <n v="3431.39"/>
    <n v="362.39"/>
    <x v="0"/>
    <x v="0"/>
    <n v="4"/>
    <n v="10"/>
    <n v="2003"/>
    <x v="4"/>
  </r>
  <r>
    <n v="10275"/>
    <s v="S700_2466"/>
    <x v="3"/>
    <x v="3"/>
    <x v="3"/>
    <x v="1"/>
    <s v="Medium"/>
    <n v="16"/>
    <n v="39"/>
    <n v="100"/>
    <n v="99"/>
    <n v="4472.5200000000004"/>
    <n v="611.52"/>
    <x v="3"/>
    <x v="0"/>
    <n v="3"/>
    <n v="7"/>
    <n v="2004"/>
    <x v="4"/>
  </r>
  <r>
    <n v="10143"/>
    <s v="S700_2610"/>
    <x v="49"/>
    <x v="40"/>
    <x v="0"/>
    <x v="0"/>
    <s v="Small"/>
    <n v="16"/>
    <n v="31"/>
    <n v="85.29"/>
    <n v="72"/>
    <n v="2643.99"/>
    <n v="411.99"/>
    <x v="221"/>
    <x v="0"/>
    <n v="3"/>
    <n v="8"/>
    <n v="2003"/>
    <x v="5"/>
  </r>
  <r>
    <n v="10373"/>
    <s v="S700_2610"/>
    <x v="71"/>
    <x v="58"/>
    <x v="14"/>
    <x v="1"/>
    <s v="Small"/>
    <n v="16"/>
    <n v="41"/>
    <n v="70.33"/>
    <n v="72"/>
    <n v="2883.53"/>
    <n v="-68.47"/>
    <x v="250"/>
    <x v="0"/>
    <n v="1"/>
    <n v="1"/>
    <n v="2005"/>
    <x v="5"/>
  </r>
  <r>
    <n v="10222"/>
    <s v="S700_3505"/>
    <x v="80"/>
    <x v="63"/>
    <x v="0"/>
    <x v="0"/>
    <s v="Medium"/>
    <n v="16"/>
    <n v="38"/>
    <n v="100"/>
    <n v="100"/>
    <n v="4187.22"/>
    <n v="387.22"/>
    <x v="233"/>
    <x v="0"/>
    <n v="1"/>
    <n v="2"/>
    <n v="2004"/>
    <x v="5"/>
  </r>
  <r>
    <n v="10350"/>
    <s v="S700_3962"/>
    <x v="26"/>
    <x v="21"/>
    <x v="8"/>
    <x v="1"/>
    <s v="Small"/>
    <n v="16"/>
    <n v="25"/>
    <n v="100"/>
    <n v="99"/>
    <n v="2854.75"/>
    <n v="379.75"/>
    <x v="111"/>
    <x v="0"/>
    <n v="4"/>
    <n v="12"/>
    <n v="2004"/>
    <x v="5"/>
  </r>
  <r>
    <n v="10386"/>
    <s v="S72_1253"/>
    <x v="26"/>
    <x v="21"/>
    <x v="8"/>
    <x v="1"/>
    <s v="Medium"/>
    <n v="16"/>
    <n v="50"/>
    <n v="87.15"/>
    <n v="49"/>
    <n v="4357.5"/>
    <n v="1907.5"/>
    <x v="178"/>
    <x v="4"/>
    <n v="1"/>
    <n v="3"/>
    <n v="2005"/>
    <x v="4"/>
  </r>
  <r>
    <n v="10159"/>
    <s v="S10_2016"/>
    <x v="21"/>
    <x v="17"/>
    <x v="0"/>
    <x v="0"/>
    <s v="Medium"/>
    <n v="17"/>
    <n v="37"/>
    <n v="100"/>
    <n v="118"/>
    <n v="5016.83"/>
    <n v="650.83000000000004"/>
    <x v="160"/>
    <x v="0"/>
    <n v="4"/>
    <n v="10"/>
    <n v="2003"/>
    <x v="0"/>
  </r>
  <r>
    <n v="10316"/>
    <s v="S10_4757"/>
    <x v="84"/>
    <x v="66"/>
    <x v="15"/>
    <x v="1"/>
    <s v="Medium"/>
    <n v="17"/>
    <n v="33"/>
    <n v="100"/>
    <n v="136"/>
    <n v="4128.96"/>
    <n v="-359.04"/>
    <x v="156"/>
    <x v="0"/>
    <n v="4"/>
    <n v="11"/>
    <n v="2004"/>
    <x v="1"/>
  </r>
  <r>
    <n v="10204"/>
    <s v="S18_1129"/>
    <x v="34"/>
    <x v="5"/>
    <x v="0"/>
    <x v="0"/>
    <s v="Medium"/>
    <n v="17"/>
    <n v="42"/>
    <n v="100"/>
    <n v="141"/>
    <n v="6182.4"/>
    <n v="260.39999999999998"/>
    <x v="86"/>
    <x v="0"/>
    <n v="4"/>
    <n v="12"/>
    <n v="2003"/>
    <x v="1"/>
  </r>
  <r>
    <n v="10126"/>
    <s v="S18_1367"/>
    <x v="63"/>
    <x v="21"/>
    <x v="8"/>
    <x v="1"/>
    <s v="Small"/>
    <n v="17"/>
    <n v="42"/>
    <n v="54.99"/>
    <n v="53"/>
    <n v="2309.58"/>
    <n v="83.58"/>
    <x v="167"/>
    <x v="0"/>
    <n v="2"/>
    <n v="5"/>
    <n v="2003"/>
    <x v="3"/>
  </r>
  <r>
    <n v="10210"/>
    <s v="S18_1662"/>
    <x v="12"/>
    <x v="10"/>
    <x v="5"/>
    <x v="2"/>
    <s v="Medium"/>
    <n v="17"/>
    <n v="31"/>
    <n v="100"/>
    <n v="157"/>
    <n v="5719.5"/>
    <n v="852.5"/>
    <x v="13"/>
    <x v="0"/>
    <n v="1"/>
    <n v="1"/>
    <n v="2004"/>
    <x v="4"/>
  </r>
  <r>
    <n v="10312"/>
    <s v="S18_1749"/>
    <x v="43"/>
    <x v="34"/>
    <x v="0"/>
    <x v="0"/>
    <s v="Large"/>
    <n v="17"/>
    <n v="48"/>
    <n v="100"/>
    <n v="170"/>
    <n v="8078.4"/>
    <n v="-81.599999999999994"/>
    <x v="140"/>
    <x v="0"/>
    <n v="4"/>
    <n v="10"/>
    <n v="2004"/>
    <x v="3"/>
  </r>
  <r>
    <n v="10304"/>
    <s v="S18_2325"/>
    <x v="20"/>
    <x v="16"/>
    <x v="3"/>
    <x v="1"/>
    <s v="Small"/>
    <n v="17"/>
    <n v="24"/>
    <n v="100"/>
    <n v="127"/>
    <n v="2440.8000000000002"/>
    <n v="-607.20000000000005"/>
    <x v="241"/>
    <x v="0"/>
    <n v="4"/>
    <n v="10"/>
    <n v="2004"/>
    <x v="3"/>
  </r>
  <r>
    <n v="10332"/>
    <s v="S18_2957"/>
    <x v="62"/>
    <x v="50"/>
    <x v="15"/>
    <x v="1"/>
    <s v="Small"/>
    <n v="17"/>
    <n v="26"/>
    <n v="100"/>
    <n v="62"/>
    <n v="2979.08"/>
    <n v="1367.08"/>
    <x v="95"/>
    <x v="0"/>
    <n v="4"/>
    <n v="11"/>
    <n v="2004"/>
    <x v="3"/>
  </r>
  <r>
    <n v="10181"/>
    <s v="S18_3278"/>
    <x v="1"/>
    <x v="1"/>
    <x v="1"/>
    <x v="1"/>
    <s v="Small"/>
    <n v="17"/>
    <n v="30"/>
    <n v="82.82"/>
    <n v="80"/>
    <n v="2484.6"/>
    <n v="84.6"/>
    <x v="117"/>
    <x v="0"/>
    <n v="4"/>
    <n v="11"/>
    <n v="2003"/>
    <x v="1"/>
  </r>
  <r>
    <n v="10106"/>
    <s v="S18_3856"/>
    <x v="67"/>
    <x v="54"/>
    <x v="12"/>
    <x v="1"/>
    <s v="Medium"/>
    <n v="17"/>
    <n v="41"/>
    <n v="100"/>
    <n v="105"/>
    <n v="4774.8599999999997"/>
    <n v="469.86"/>
    <x v="242"/>
    <x v="0"/>
    <n v="1"/>
    <n v="2"/>
    <n v="2003"/>
    <x v="3"/>
  </r>
  <r>
    <n v="10398"/>
    <s v="S18_3856"/>
    <x v="82"/>
    <x v="64"/>
    <x v="3"/>
    <x v="1"/>
    <s v="Medium"/>
    <n v="17"/>
    <n v="45"/>
    <n v="100"/>
    <n v="105"/>
    <n v="4811.8500000000004"/>
    <n v="86.85"/>
    <x v="248"/>
    <x v="0"/>
    <n v="1"/>
    <n v="3"/>
    <n v="2005"/>
    <x v="3"/>
  </r>
  <r>
    <n v="10280"/>
    <s v="S18_4409"/>
    <x v="46"/>
    <x v="37"/>
    <x v="12"/>
    <x v="1"/>
    <s v="Medium"/>
    <n v="17"/>
    <n v="35"/>
    <n v="100"/>
    <n v="92"/>
    <n v="3704.05"/>
    <n v="484.05"/>
    <x v="53"/>
    <x v="0"/>
    <n v="3"/>
    <n v="8"/>
    <n v="2004"/>
    <x v="3"/>
  </r>
  <r>
    <n v="10287"/>
    <s v="S18_4721"/>
    <x v="48"/>
    <x v="39"/>
    <x v="16"/>
    <x v="1"/>
    <s v="Medium"/>
    <n v="17"/>
    <n v="34"/>
    <n v="100"/>
    <n v="148"/>
    <n v="4300.32"/>
    <n v="-731.68"/>
    <x v="99"/>
    <x v="0"/>
    <n v="3"/>
    <n v="8"/>
    <n v="2004"/>
    <x v="1"/>
  </r>
  <r>
    <n v="10165"/>
    <s v="S24_2300"/>
    <x v="17"/>
    <x v="15"/>
    <x v="7"/>
    <x v="2"/>
    <s v="Medium"/>
    <n v="17"/>
    <n v="32"/>
    <n v="100"/>
    <n v="127"/>
    <n v="4661.76"/>
    <n v="597.76"/>
    <x v="116"/>
    <x v="0"/>
    <n v="4"/>
    <n v="10"/>
    <n v="2003"/>
    <x v="2"/>
  </r>
  <r>
    <n v="10182"/>
    <s v="S24_3432"/>
    <x v="43"/>
    <x v="34"/>
    <x v="0"/>
    <x v="0"/>
    <s v="Medium"/>
    <n v="17"/>
    <n v="49"/>
    <n v="100"/>
    <n v="107"/>
    <n v="6244.07"/>
    <n v="1001.07"/>
    <x v="117"/>
    <x v="0"/>
    <n v="4"/>
    <n v="11"/>
    <n v="2003"/>
    <x v="1"/>
  </r>
  <r>
    <n v="10122"/>
    <s v="S32_2206"/>
    <x v="56"/>
    <x v="45"/>
    <x v="3"/>
    <x v="1"/>
    <s v="Small"/>
    <n v="17"/>
    <n v="31"/>
    <n v="44.66"/>
    <n v="40"/>
    <n v="1384.46"/>
    <n v="144.46"/>
    <x v="78"/>
    <x v="0"/>
    <n v="2"/>
    <n v="5"/>
    <n v="2003"/>
    <x v="0"/>
  </r>
  <r>
    <n v="10310"/>
    <s v="S32_2206"/>
    <x v="29"/>
    <x v="23"/>
    <x v="9"/>
    <x v="1"/>
    <s v="Small"/>
    <n v="17"/>
    <n v="36"/>
    <n v="43.05"/>
    <n v="40"/>
    <n v="1549.8"/>
    <n v="109.8"/>
    <x v="81"/>
    <x v="0"/>
    <n v="4"/>
    <n v="10"/>
    <n v="2004"/>
    <x v="0"/>
  </r>
  <r>
    <n v="10306"/>
    <s v="S32_3207"/>
    <x v="62"/>
    <x v="50"/>
    <x v="15"/>
    <x v="1"/>
    <s v="Small"/>
    <n v="17"/>
    <n v="46"/>
    <n v="50.33"/>
    <n v="62"/>
    <n v="2315.1799999999998"/>
    <n v="-536.82000000000005"/>
    <x v="71"/>
    <x v="0"/>
    <n v="4"/>
    <n v="10"/>
    <n v="2004"/>
    <x v="6"/>
  </r>
  <r>
    <n v="10135"/>
    <s v="S32_4485"/>
    <x v="43"/>
    <x v="34"/>
    <x v="0"/>
    <x v="0"/>
    <s v="Small"/>
    <n v="17"/>
    <n v="30"/>
    <n v="89.8"/>
    <n v="102"/>
    <n v="2694"/>
    <n v="-366"/>
    <x v="180"/>
    <x v="0"/>
    <n v="3"/>
    <n v="7"/>
    <n v="2003"/>
    <x v="0"/>
  </r>
  <r>
    <n v="10350"/>
    <s v="S50_1514"/>
    <x v="26"/>
    <x v="21"/>
    <x v="8"/>
    <x v="1"/>
    <s v="Medium"/>
    <n v="17"/>
    <n v="44"/>
    <n v="100"/>
    <n v="58"/>
    <n v="6490.88"/>
    <n v="3938.88"/>
    <x v="111"/>
    <x v="0"/>
    <n v="4"/>
    <n v="12"/>
    <n v="2004"/>
    <x v="6"/>
  </r>
  <r>
    <n v="10386"/>
    <s v="S700_3167"/>
    <x v="26"/>
    <x v="21"/>
    <x v="8"/>
    <x v="1"/>
    <s v="Medium"/>
    <n v="17"/>
    <n v="32"/>
    <n v="94.34"/>
    <n v="80"/>
    <n v="3018.88"/>
    <n v="458.88"/>
    <x v="178"/>
    <x v="4"/>
    <n v="1"/>
    <n v="3"/>
    <n v="2005"/>
    <x v="4"/>
  </r>
  <r>
    <n v="10222"/>
    <s v="S700_3962"/>
    <x v="80"/>
    <x v="63"/>
    <x v="0"/>
    <x v="0"/>
    <s v="Small"/>
    <n v="17"/>
    <n v="31"/>
    <n v="95.34"/>
    <n v="99"/>
    <n v="2955.54"/>
    <n v="-113.46"/>
    <x v="233"/>
    <x v="0"/>
    <n v="1"/>
    <n v="2"/>
    <n v="2004"/>
    <x v="5"/>
  </r>
  <r>
    <n v="10168"/>
    <s v="S700_4002"/>
    <x v="0"/>
    <x v="0"/>
    <x v="0"/>
    <x v="0"/>
    <s v="Medium"/>
    <n v="17"/>
    <n v="39"/>
    <n v="82.91"/>
    <n v="74"/>
    <n v="3233.49"/>
    <n v="347.49"/>
    <x v="0"/>
    <x v="0"/>
    <n v="4"/>
    <n v="10"/>
    <n v="2003"/>
    <x v="4"/>
  </r>
  <r>
    <n v="10275"/>
    <s v="S700_4002"/>
    <x v="3"/>
    <x v="3"/>
    <x v="3"/>
    <x v="1"/>
    <s v="Small"/>
    <n v="17"/>
    <n v="31"/>
    <n v="72.55"/>
    <n v="74"/>
    <n v="2249.0500000000002"/>
    <n v="-44.95"/>
    <x v="3"/>
    <x v="0"/>
    <n v="3"/>
    <n v="7"/>
    <n v="2004"/>
    <x v="4"/>
  </r>
  <r>
    <n v="10373"/>
    <s v="S700_4002"/>
    <x v="71"/>
    <x v="58"/>
    <x v="14"/>
    <x v="1"/>
    <s v="Small"/>
    <n v="17"/>
    <n v="45"/>
    <n v="55.62"/>
    <n v="74"/>
    <n v="2502.9"/>
    <n v="-827.1"/>
    <x v="250"/>
    <x v="0"/>
    <n v="1"/>
    <n v="1"/>
    <n v="2005"/>
    <x v="4"/>
  </r>
  <r>
    <n v="10165"/>
    <s v="S18_2432"/>
    <x v="17"/>
    <x v="15"/>
    <x v="7"/>
    <x v="2"/>
    <s v="Small"/>
    <n v="18"/>
    <n v="31"/>
    <n v="71.099999999999994"/>
    <n v="60"/>
    <n v="2204.1"/>
    <n v="344.1"/>
    <x v="116"/>
    <x v="0"/>
    <n v="4"/>
    <n v="10"/>
    <n v="2003"/>
    <x v="2"/>
  </r>
  <r>
    <n v="10386"/>
    <s v="S18_2581"/>
    <x v="26"/>
    <x v="21"/>
    <x v="8"/>
    <x v="1"/>
    <s v="Small"/>
    <n v="18"/>
    <n v="21"/>
    <n v="74.77"/>
    <n v="84"/>
    <n v="1570.17"/>
    <n v="-193.83"/>
    <x v="178"/>
    <x v="4"/>
    <n v="1"/>
    <n v="3"/>
    <n v="2005"/>
    <x v="4"/>
  </r>
  <r>
    <n v="10159"/>
    <s v="S18_2625"/>
    <x v="21"/>
    <x v="17"/>
    <x v="0"/>
    <x v="0"/>
    <s v="Small"/>
    <n v="18"/>
    <n v="42"/>
    <n v="51.48"/>
    <n v="60"/>
    <n v="2162.16"/>
    <n v="-357.84"/>
    <x v="160"/>
    <x v="0"/>
    <n v="4"/>
    <n v="10"/>
    <n v="2003"/>
    <x v="0"/>
  </r>
  <r>
    <n v="10106"/>
    <s v="S18_3029"/>
    <x v="67"/>
    <x v="54"/>
    <x v="12"/>
    <x v="1"/>
    <s v="Medium"/>
    <n v="18"/>
    <n v="41"/>
    <n v="83.44"/>
    <n v="86"/>
    <n v="3421.04"/>
    <n v="-104.96"/>
    <x v="242"/>
    <x v="0"/>
    <n v="1"/>
    <n v="2"/>
    <n v="2003"/>
    <x v="5"/>
  </r>
  <r>
    <n v="10398"/>
    <s v="S18_3029"/>
    <x v="82"/>
    <x v="64"/>
    <x v="3"/>
    <x v="1"/>
    <s v="Small"/>
    <n v="18"/>
    <n v="28"/>
    <n v="72.260000000000005"/>
    <n v="86"/>
    <n v="2023.28"/>
    <n v="-384.72"/>
    <x v="248"/>
    <x v="0"/>
    <n v="1"/>
    <n v="3"/>
    <n v="2005"/>
    <x v="5"/>
  </r>
  <r>
    <n v="10332"/>
    <s v="S18_3136"/>
    <x v="62"/>
    <x v="50"/>
    <x v="15"/>
    <x v="1"/>
    <s v="Small"/>
    <n v="18"/>
    <n v="40"/>
    <n v="39.799999999999997"/>
    <n v="104"/>
    <n v="1592"/>
    <n v="-2568"/>
    <x v="95"/>
    <x v="0"/>
    <n v="4"/>
    <n v="11"/>
    <n v="2004"/>
    <x v="3"/>
  </r>
  <r>
    <n v="10168"/>
    <s v="S24_3949"/>
    <x v="0"/>
    <x v="0"/>
    <x v="0"/>
    <x v="0"/>
    <s v="Small"/>
    <n v="18"/>
    <n v="27"/>
    <n v="73.02"/>
    <n v="68"/>
    <n v="1971.54"/>
    <n v="135.54"/>
    <x v="0"/>
    <x v="0"/>
    <n v="4"/>
    <n v="10"/>
    <n v="2003"/>
    <x v="4"/>
  </r>
  <r>
    <n v="10275"/>
    <s v="S24_3949"/>
    <x v="3"/>
    <x v="3"/>
    <x v="3"/>
    <x v="1"/>
    <s v="Medium"/>
    <n v="18"/>
    <n v="41"/>
    <n v="81.89"/>
    <n v="68"/>
    <n v="3357.49"/>
    <n v="569.49"/>
    <x v="3"/>
    <x v="0"/>
    <n v="3"/>
    <n v="7"/>
    <n v="2004"/>
    <x v="4"/>
  </r>
  <r>
    <n v="10316"/>
    <s v="S700_2610"/>
    <x v="84"/>
    <x v="66"/>
    <x v="15"/>
    <x v="1"/>
    <s v="Medium"/>
    <n v="18"/>
    <n v="48"/>
    <n v="74.45"/>
    <n v="72"/>
    <n v="3573.6"/>
    <n v="117.6"/>
    <x v="156"/>
    <x v="0"/>
    <n v="4"/>
    <n v="11"/>
    <n v="2004"/>
    <x v="5"/>
  </r>
  <r>
    <n v="10222"/>
    <s v="S72_3212"/>
    <x v="80"/>
    <x v="63"/>
    <x v="0"/>
    <x v="0"/>
    <s v="Small"/>
    <n v="18"/>
    <n v="36"/>
    <n v="63.34"/>
    <n v="54"/>
    <n v="2280.2399999999998"/>
    <n v="336.24"/>
    <x v="233"/>
    <x v="0"/>
    <n v="1"/>
    <n v="2"/>
    <n v="2004"/>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A0DFF3-C5E6-434D-9E02-63B7D4022C91}"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E11:F31" firstHeaderRow="1" firstDataRow="1" firstDataCol="1"/>
  <pivotFields count="22">
    <pivotField showAll="0"/>
    <pivotField showAll="0"/>
    <pivotField showAll="0"/>
    <pivotField showAll="0"/>
    <pivotField axis="axisRow" showAll="0">
      <items count="20">
        <item sd="0" x="2"/>
        <item sd="0" x="11"/>
        <item sd="0" x="17"/>
        <item sd="0" x="6"/>
        <item sd="0" x="10"/>
        <item sd="0" x="14"/>
        <item sd="0" x="3"/>
        <item sd="0" x="9"/>
        <item sd="0" x="13"/>
        <item sd="0" x="12"/>
        <item sd="0" x="5"/>
        <item sd="0" x="1"/>
        <item sd="0" x="18"/>
        <item sd="0" x="7"/>
        <item sd="0" x="8"/>
        <item sd="0" x="4"/>
        <item sd="0" x="16"/>
        <item sd="0" x="15"/>
        <item sd="0" x="0"/>
        <item t="default" sd="0"/>
      </items>
    </pivotField>
    <pivotField showAll="0"/>
    <pivotField showAll="0"/>
    <pivotField showAll="0"/>
    <pivotField showAll="0"/>
    <pivotField showAll="0"/>
    <pivotField showAll="0"/>
    <pivotField dataField="1" showAll="0"/>
    <pivotField showAll="0"/>
    <pivotField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showAll="0"/>
    <pivotField showAll="0"/>
    <pivotField showAll="0"/>
    <pivotField showAll="0"/>
    <pivotField showAll="0">
      <items count="8">
        <item x="1"/>
        <item x="0"/>
        <item x="4"/>
        <item x="5"/>
        <item x="6"/>
        <item x="2"/>
        <item x="3"/>
        <item t="default"/>
      </items>
    </pivotField>
    <pivotField showAll="0" defaultSubtotal="0"/>
    <pivotField showAll="0" defaultSubtotal="0"/>
    <pivotField showAll="0" defaultSubtotal="0">
      <items count="5">
        <item x="0"/>
        <item x="1"/>
        <item x="2"/>
        <item x="3"/>
        <item x="4"/>
      </items>
    </pivotField>
  </pivotFields>
  <rowFields count="1">
    <field x="4"/>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Sum of SAL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D614B2-1E91-4E8B-9098-7C88660A93D5}"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29:B33" firstHeaderRow="1" firstDataRow="1" firstDataCol="1"/>
  <pivotFields count="22">
    <pivotField showAll="0"/>
    <pivotField showAll="0"/>
    <pivotField showAll="0"/>
    <pivotField showAll="0"/>
    <pivotField showAll="0">
      <items count="20">
        <item x="2"/>
        <item x="11"/>
        <item x="17"/>
        <item x="6"/>
        <item x="10"/>
        <item x="14"/>
        <item x="3"/>
        <item x="9"/>
        <item x="13"/>
        <item x="12"/>
        <item x="5"/>
        <item x="1"/>
        <item x="18"/>
        <item x="7"/>
        <item x="8"/>
        <item x="4"/>
        <item x="16"/>
        <item x="15"/>
        <item x="0"/>
        <item t="default"/>
      </items>
    </pivotField>
    <pivotField axis="axisRow" showAll="0">
      <items count="4">
        <item x="2"/>
        <item x="1"/>
        <item x="0"/>
        <item t="default"/>
      </items>
    </pivotField>
    <pivotField showAll="0"/>
    <pivotField showAll="0"/>
    <pivotField showAll="0"/>
    <pivotField showAll="0"/>
    <pivotField showAll="0"/>
    <pivotField showAll="0"/>
    <pivotField dataField="1" showAll="0"/>
    <pivotField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showAll="0"/>
    <pivotField showAll="0"/>
    <pivotField showAll="0"/>
    <pivotField showAll="0"/>
    <pivotField showAll="0">
      <items count="8">
        <item x="1"/>
        <item x="0"/>
        <item x="4"/>
        <item x="5"/>
        <item x="6"/>
        <item x="2"/>
        <item x="3"/>
        <item t="default"/>
      </items>
    </pivotField>
    <pivotField showAll="0" defaultSubtotal="0"/>
    <pivotField showAll="0" defaultSubtotal="0"/>
    <pivotField showAll="0" defaultSubtotal="0">
      <items count="5">
        <item x="0"/>
        <item x="1"/>
        <item x="2"/>
        <item x="3"/>
        <item x="4"/>
      </items>
    </pivotField>
  </pivotFields>
  <rowFields count="1">
    <field x="5"/>
  </rowFields>
  <rowItems count="4">
    <i>
      <x/>
    </i>
    <i>
      <x v="1"/>
    </i>
    <i>
      <x v="2"/>
    </i>
    <i t="grand">
      <x/>
    </i>
  </rowItems>
  <colItems count="1">
    <i/>
  </colItems>
  <dataFields count="1">
    <dataField name="Sum of PROFIT_LOSS" fld="12" baseField="0" baseItem="0"/>
  </dataFields>
  <chartFormats count="16">
    <chartFormat chart="1"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5" count="1" selected="0">
            <x v="0"/>
          </reference>
        </references>
      </pivotArea>
    </chartFormat>
    <chartFormat chart="4" format="7">
      <pivotArea type="data" outline="0" fieldPosition="0">
        <references count="2">
          <reference field="4294967294" count="1" selected="0">
            <x v="0"/>
          </reference>
          <reference field="5" count="1" selected="0">
            <x v="1"/>
          </reference>
        </references>
      </pivotArea>
    </chartFormat>
    <chartFormat chart="4" format="8">
      <pivotArea type="data" outline="0" fieldPosition="0">
        <references count="2">
          <reference field="4294967294" count="1" selected="0">
            <x v="0"/>
          </reference>
          <reference field="5" count="1" selected="0">
            <x v="2"/>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1" format="3">
      <pivotArea type="data" outline="0" fieldPosition="0">
        <references count="2">
          <reference field="4294967294" count="1" selected="0">
            <x v="0"/>
          </reference>
          <reference field="5" count="1" selected="0">
            <x v="2"/>
          </reference>
        </references>
      </pivotArea>
    </chartFormat>
    <chartFormat chart="18" format="9" series="1">
      <pivotArea type="data" outline="0" fieldPosition="0">
        <references count="1">
          <reference field="4294967294" count="1" selected="0">
            <x v="0"/>
          </reference>
        </references>
      </pivotArea>
    </chartFormat>
    <chartFormat chart="18" format="10">
      <pivotArea type="data" outline="0" fieldPosition="0">
        <references count="2">
          <reference field="4294967294" count="1" selected="0">
            <x v="0"/>
          </reference>
          <reference field="5" count="1" selected="0">
            <x v="0"/>
          </reference>
        </references>
      </pivotArea>
    </chartFormat>
    <chartFormat chart="18" format="11">
      <pivotArea type="data" outline="0" fieldPosition="0">
        <references count="2">
          <reference field="4294967294" count="1" selected="0">
            <x v="0"/>
          </reference>
          <reference field="5" count="1" selected="0">
            <x v="1"/>
          </reference>
        </references>
      </pivotArea>
    </chartFormat>
    <chartFormat chart="18" format="12">
      <pivotArea type="data" outline="0" fieldPosition="0">
        <references count="2">
          <reference field="4294967294" count="1" selected="0">
            <x v="0"/>
          </reference>
          <reference field="5" count="1" selected="0">
            <x v="2"/>
          </reference>
        </references>
      </pivotArea>
    </chartFormat>
    <chartFormat chart="19" format="13" series="1">
      <pivotArea type="data" outline="0" fieldPosition="0">
        <references count="1">
          <reference field="4294967294" count="1" selected="0">
            <x v="0"/>
          </reference>
        </references>
      </pivotArea>
    </chartFormat>
    <chartFormat chart="19" format="14">
      <pivotArea type="data" outline="0" fieldPosition="0">
        <references count="2">
          <reference field="4294967294" count="1" selected="0">
            <x v="0"/>
          </reference>
          <reference field="5" count="1" selected="0">
            <x v="0"/>
          </reference>
        </references>
      </pivotArea>
    </chartFormat>
    <chartFormat chart="19" format="15">
      <pivotArea type="data" outline="0" fieldPosition="0">
        <references count="2">
          <reference field="4294967294" count="1" selected="0">
            <x v="0"/>
          </reference>
          <reference field="5" count="1" selected="0">
            <x v="1"/>
          </reference>
        </references>
      </pivotArea>
    </chartFormat>
    <chartFormat chart="19" format="16">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A14C5E-49F2-4FEF-8456-AB3542D0A66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A2" firstHeaderRow="1" firstDataRow="1" firstDataCol="0"/>
  <pivotFields count="22">
    <pivotField showAll="0"/>
    <pivotField showAll="0"/>
    <pivotField showAll="0"/>
    <pivotField showAll="0"/>
    <pivotField showAll="0">
      <items count="20">
        <item x="2"/>
        <item x="11"/>
        <item x="17"/>
        <item x="6"/>
        <item x="10"/>
        <item x="14"/>
        <item x="3"/>
        <item x="9"/>
        <item x="13"/>
        <item x="12"/>
        <item x="5"/>
        <item x="1"/>
        <item x="18"/>
        <item x="7"/>
        <item x="8"/>
        <item x="4"/>
        <item x="16"/>
        <item x="15"/>
        <item x="0"/>
        <item t="default"/>
      </items>
    </pivotField>
    <pivotField showAll="0"/>
    <pivotField showAll="0"/>
    <pivotField showAll="0"/>
    <pivotField showAll="0"/>
    <pivotField showAll="0"/>
    <pivotField showAll="0"/>
    <pivotField showAll="0"/>
    <pivotField dataField="1" showAll="0"/>
    <pivotField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showAll="0"/>
    <pivotField showAll="0"/>
    <pivotField showAll="0"/>
    <pivotField showAll="0"/>
    <pivotField showAll="0">
      <items count="8">
        <item x="1"/>
        <item x="0"/>
        <item x="4"/>
        <item x="5"/>
        <item x="6"/>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PROFIT_LOSS"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D1C8A56-35A7-450D-88D3-4861E5D4CC1E}"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27:D120" firstHeaderRow="1" firstDataRow="1" firstDataCol="1"/>
  <pivotFields count="22">
    <pivotField showAll="0"/>
    <pivotField showAll="0"/>
    <pivotField axis="axisRow" showAll="0">
      <items count="93">
        <item x="57"/>
        <item x="46"/>
        <item x="47"/>
        <item x="10"/>
        <item x="65"/>
        <item x="2"/>
        <item x="14"/>
        <item x="20"/>
        <item x="11"/>
        <item x="76"/>
        <item x="62"/>
        <item x="39"/>
        <item x="91"/>
        <item x="27"/>
        <item x="33"/>
        <item x="37"/>
        <item x="45"/>
        <item x="90"/>
        <item x="18"/>
        <item x="7"/>
        <item x="36"/>
        <item x="80"/>
        <item x="53"/>
        <item x="21"/>
        <item x="63"/>
        <item x="85"/>
        <item x="75"/>
        <item x="30"/>
        <item x="4"/>
        <item x="77"/>
        <item x="52"/>
        <item x="17"/>
        <item x="88"/>
        <item x="26"/>
        <item x="78"/>
        <item x="25"/>
        <item x="61"/>
        <item x="16"/>
        <item x="84"/>
        <item x="81"/>
        <item x="69"/>
        <item x="1"/>
        <item x="86"/>
        <item x="40"/>
        <item x="3"/>
        <item x="5"/>
        <item x="35"/>
        <item x="19"/>
        <item x="56"/>
        <item x="87"/>
        <item x="70"/>
        <item x="72"/>
        <item x="74"/>
        <item x="59"/>
        <item x="13"/>
        <item x="49"/>
        <item x="43"/>
        <item x="23"/>
        <item x="9"/>
        <item x="34"/>
        <item x="60"/>
        <item x="8"/>
        <item x="31"/>
        <item x="12"/>
        <item x="71"/>
        <item x="66"/>
        <item x="15"/>
        <item x="82"/>
        <item x="67"/>
        <item x="89"/>
        <item x="54"/>
        <item x="32"/>
        <item x="73"/>
        <item x="51"/>
        <item x="58"/>
        <item x="83"/>
        <item x="64"/>
        <item x="42"/>
        <item x="38"/>
        <item x="68"/>
        <item x="0"/>
        <item x="24"/>
        <item x="55"/>
        <item x="41"/>
        <item x="29"/>
        <item x="44"/>
        <item x="22"/>
        <item x="50"/>
        <item x="48"/>
        <item x="28"/>
        <item x="6"/>
        <item x="79"/>
        <item t="default"/>
      </items>
    </pivotField>
    <pivotField showAll="0"/>
    <pivotField showAll="0">
      <items count="20">
        <item x="2"/>
        <item x="11"/>
        <item x="17"/>
        <item x="6"/>
        <item x="10"/>
        <item x="14"/>
        <item x="3"/>
        <item x="9"/>
        <item x="13"/>
        <item x="12"/>
        <item x="5"/>
        <item x="1"/>
        <item x="18"/>
        <item x="7"/>
        <item x="8"/>
        <item x="4"/>
        <item x="16"/>
        <item x="15"/>
        <item x="0"/>
        <item t="default"/>
      </items>
    </pivotField>
    <pivotField showAll="0"/>
    <pivotField showAll="0"/>
    <pivotField showAll="0"/>
    <pivotField showAll="0"/>
    <pivotField showAll="0"/>
    <pivotField showAll="0"/>
    <pivotField showAll="0"/>
    <pivotField dataField="1" showAll="0"/>
    <pivotField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showAll="0"/>
    <pivotField showAll="0"/>
    <pivotField showAll="0"/>
    <pivotField showAll="0"/>
    <pivotField showAll="0">
      <items count="8">
        <item x="1"/>
        <item x="0"/>
        <item x="4"/>
        <item x="5"/>
        <item x="6"/>
        <item x="2"/>
        <item x="3"/>
        <item t="default"/>
      </items>
    </pivotField>
    <pivotField showAll="0" defaultSubtotal="0"/>
    <pivotField showAll="0" defaultSubtotal="0"/>
    <pivotField showAll="0" defaultSubtotal="0">
      <items count="5">
        <item x="0"/>
        <item x="1"/>
        <item x="2"/>
        <item x="3"/>
        <item x="4"/>
      </items>
    </pivotField>
  </pivotFields>
  <rowFields count="1">
    <field x="2"/>
  </rowFields>
  <rowItems count="9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t="grand">
      <x/>
    </i>
  </rowItems>
  <colItems count="1">
    <i/>
  </colItems>
  <dataFields count="1">
    <dataField name="Sum of PROFIT_LOSS"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638534E-9BE7-4F47-9436-EDB7E858A459}"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50:B124" firstHeaderRow="1" firstDataRow="1" firstDataCol="1"/>
  <pivotFields count="22">
    <pivotField showAll="0"/>
    <pivotField showAll="0"/>
    <pivotField showAll="0"/>
    <pivotField axis="axisRow" showAll="0" sortType="ascending">
      <items count="74">
        <item x="56"/>
        <item x="4"/>
        <item x="69"/>
        <item x="54"/>
        <item x="1"/>
        <item x="42"/>
        <item x="14"/>
        <item x="25"/>
        <item x="20"/>
        <item x="47"/>
        <item x="53"/>
        <item x="62"/>
        <item x="0"/>
        <item x="36"/>
        <item x="43"/>
        <item x="51"/>
        <item x="66"/>
        <item x="29"/>
        <item x="30"/>
        <item x="22"/>
        <item x="39"/>
        <item x="52"/>
        <item x="27"/>
        <item x="60"/>
        <item x="35"/>
        <item x="24"/>
        <item x="23"/>
        <item x="65"/>
        <item x="61"/>
        <item x="41"/>
        <item x="33"/>
        <item x="57"/>
        <item x="6"/>
        <item x="59"/>
        <item x="21"/>
        <item x="67"/>
        <item x="50"/>
        <item x="45"/>
        <item x="2"/>
        <item x="32"/>
        <item x="13"/>
        <item x="72"/>
        <item x="3"/>
        <item x="7"/>
        <item x="40"/>
        <item x="55"/>
        <item x="19"/>
        <item x="38"/>
        <item x="5"/>
        <item x="10"/>
        <item x="49"/>
        <item x="58"/>
        <item x="9"/>
        <item x="18"/>
        <item x="8"/>
        <item x="28"/>
        <item x="64"/>
        <item x="26"/>
        <item x="63"/>
        <item x="17"/>
        <item x="44"/>
        <item x="34"/>
        <item x="68"/>
        <item x="15"/>
        <item x="12"/>
        <item x="31"/>
        <item x="48"/>
        <item x="37"/>
        <item x="46"/>
        <item x="70"/>
        <item x="71"/>
        <item x="16"/>
        <item x="11"/>
        <item t="default"/>
      </items>
      <autoSortScope>
        <pivotArea dataOnly="0" outline="0" fieldPosition="0">
          <references count="1">
            <reference field="4294967294" count="1" selected="0">
              <x v="0"/>
            </reference>
          </references>
        </pivotArea>
      </autoSortScope>
    </pivotField>
    <pivotField showAll="0">
      <items count="20">
        <item x="2"/>
        <item x="11"/>
        <item x="17"/>
        <item x="6"/>
        <item x="10"/>
        <item x="14"/>
        <item x="3"/>
        <item x="9"/>
        <item x="13"/>
        <item x="12"/>
        <item x="5"/>
        <item x="1"/>
        <item x="18"/>
        <item x="7"/>
        <item x="8"/>
        <item x="4"/>
        <item x="16"/>
        <item x="15"/>
        <item x="0"/>
        <item t="default"/>
      </items>
    </pivotField>
    <pivotField showAll="0"/>
    <pivotField showAll="0"/>
    <pivotField showAll="0"/>
    <pivotField showAll="0"/>
    <pivotField showAll="0"/>
    <pivotField showAll="0"/>
    <pivotField showAll="0"/>
    <pivotField dataField="1" showAll="0"/>
    <pivotField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showAll="0"/>
    <pivotField showAll="0"/>
    <pivotField showAll="0"/>
    <pivotField showAll="0"/>
    <pivotField showAll="0">
      <items count="8">
        <item x="1"/>
        <item x="0"/>
        <item x="4"/>
        <item x="5"/>
        <item x="6"/>
        <item x="2"/>
        <item x="3"/>
        <item t="default"/>
      </items>
    </pivotField>
    <pivotField showAll="0" defaultSubtotal="0"/>
    <pivotField showAll="0" defaultSubtotal="0"/>
    <pivotField showAll="0" defaultSubtotal="0">
      <items count="5">
        <item x="0"/>
        <item x="1"/>
        <item x="2"/>
        <item x="3"/>
        <item x="4"/>
      </items>
    </pivotField>
  </pivotFields>
  <rowFields count="1">
    <field x="3"/>
  </rowFields>
  <rowItems count="74">
    <i>
      <x v="56"/>
    </i>
    <i>
      <x v="27"/>
    </i>
    <i>
      <x v="37"/>
    </i>
    <i>
      <x v="36"/>
    </i>
    <i>
      <x v="20"/>
    </i>
    <i>
      <x v="57"/>
    </i>
    <i>
      <x v="7"/>
    </i>
    <i>
      <x v="23"/>
    </i>
    <i>
      <x v="63"/>
    </i>
    <i>
      <x v="58"/>
    </i>
    <i>
      <x v="40"/>
    </i>
    <i>
      <x v="10"/>
    </i>
    <i>
      <x v="29"/>
    </i>
    <i>
      <x v="51"/>
    </i>
    <i>
      <x v="11"/>
    </i>
    <i>
      <x v="35"/>
    </i>
    <i>
      <x v="49"/>
    </i>
    <i>
      <x v="16"/>
    </i>
    <i>
      <x v="66"/>
    </i>
    <i>
      <x v="33"/>
    </i>
    <i>
      <x v="8"/>
    </i>
    <i>
      <x v="5"/>
    </i>
    <i>
      <x v="18"/>
    </i>
    <i>
      <x v="70"/>
    </i>
    <i>
      <x v="44"/>
    </i>
    <i>
      <x v="72"/>
    </i>
    <i>
      <x v="64"/>
    </i>
    <i>
      <x v="71"/>
    </i>
    <i>
      <x v="3"/>
    </i>
    <i>
      <x v="62"/>
    </i>
    <i>
      <x v="14"/>
    </i>
    <i>
      <x v="53"/>
    </i>
    <i>
      <x v="54"/>
    </i>
    <i>
      <x v="46"/>
    </i>
    <i>
      <x v="22"/>
    </i>
    <i>
      <x v="28"/>
    </i>
    <i>
      <x v="6"/>
    </i>
    <i>
      <x/>
    </i>
    <i>
      <x v="69"/>
    </i>
    <i>
      <x v="65"/>
    </i>
    <i>
      <x v="47"/>
    </i>
    <i>
      <x v="41"/>
    </i>
    <i>
      <x v="60"/>
    </i>
    <i>
      <x v="38"/>
    </i>
    <i>
      <x v="50"/>
    </i>
    <i>
      <x v="43"/>
    </i>
    <i>
      <x v="2"/>
    </i>
    <i>
      <x v="19"/>
    </i>
    <i>
      <x v="25"/>
    </i>
    <i>
      <x v="30"/>
    </i>
    <i>
      <x v="34"/>
    </i>
    <i>
      <x v="26"/>
    </i>
    <i>
      <x v="21"/>
    </i>
    <i>
      <x v="31"/>
    </i>
    <i>
      <x v="32"/>
    </i>
    <i>
      <x v="9"/>
    </i>
    <i>
      <x v="42"/>
    </i>
    <i>
      <x v="67"/>
    </i>
    <i>
      <x v="15"/>
    </i>
    <i>
      <x v="45"/>
    </i>
    <i>
      <x v="61"/>
    </i>
    <i>
      <x v="12"/>
    </i>
    <i>
      <x v="68"/>
    </i>
    <i>
      <x v="17"/>
    </i>
    <i>
      <x v="4"/>
    </i>
    <i>
      <x v="55"/>
    </i>
    <i>
      <x v="1"/>
    </i>
    <i>
      <x v="39"/>
    </i>
    <i>
      <x v="59"/>
    </i>
    <i>
      <x v="24"/>
    </i>
    <i>
      <x v="13"/>
    </i>
    <i>
      <x v="52"/>
    </i>
    <i>
      <x v="48"/>
    </i>
    <i t="grand">
      <x/>
    </i>
  </rowItems>
  <colItems count="1">
    <i/>
  </colItems>
  <dataFields count="1">
    <dataField name="Sum of PROFIT_LOSS" fld="12" baseField="0" baseItem="0"/>
  </dataFields>
  <chartFormats count="4">
    <chartFormat chart="5"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9" format="3"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0EC313-3136-4C8D-AA54-1048402A790D}"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35:B48" firstHeaderRow="1" firstDataRow="1" firstDataCol="1"/>
  <pivotFields count="22">
    <pivotField showAll="0"/>
    <pivotField showAll="0"/>
    <pivotField showAll="0"/>
    <pivotField showAll="0"/>
    <pivotField showAll="0">
      <items count="20">
        <item x="2"/>
        <item x="11"/>
        <item x="17"/>
        <item x="6"/>
        <item x="10"/>
        <item x="14"/>
        <item x="3"/>
        <item x="9"/>
        <item x="13"/>
        <item x="12"/>
        <item x="5"/>
        <item x="1"/>
        <item x="18"/>
        <item x="7"/>
        <item x="8"/>
        <item x="4"/>
        <item x="16"/>
        <item x="15"/>
        <item x="0"/>
        <item t="default"/>
      </items>
    </pivotField>
    <pivotField showAll="0"/>
    <pivotField showAll="0"/>
    <pivotField showAll="0"/>
    <pivotField showAll="0"/>
    <pivotField showAll="0"/>
    <pivotField showAll="0"/>
    <pivotField showAll="0"/>
    <pivotField dataField="1" showAll="0"/>
    <pivotField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showAll="0"/>
    <pivotField showAll="0"/>
    <pivotField showAll="0"/>
    <pivotField showAll="0"/>
    <pivotField showAll="0">
      <items count="8">
        <item x="1"/>
        <item x="0"/>
        <item x="4"/>
        <item x="5"/>
        <item x="6"/>
        <item x="2"/>
        <item x="3"/>
        <item t="default"/>
      </items>
    </pivotField>
    <pivotField axis="axisRow" showAll="0" defaultSubtotal="0">
      <items count="14">
        <item sd="0" x="0"/>
        <item sd="0" x="1"/>
        <item sd="0" x="2"/>
        <item sd="0" x="3"/>
        <item sd="0" x="4"/>
        <item sd="0" x="5"/>
        <item sd="0" x="6"/>
        <item sd="0" x="7"/>
        <item sd="0" x="8"/>
        <item sd="0" x="9"/>
        <item sd="0" x="10"/>
        <item sd="0" x="11"/>
        <item sd="0" x="12"/>
        <item h="1" sd="0" x="13"/>
      </items>
    </pivotField>
    <pivotField showAll="0" defaultSubtotal="0">
      <items count="6">
        <item sd="0" x="0"/>
        <item sd="0" x="1"/>
        <item sd="0" x="2"/>
        <item sd="0" x="3"/>
        <item sd="0" x="4"/>
        <item sd="0" x="5"/>
      </items>
    </pivotField>
    <pivotField showAll="0" defaultSubtotal="0">
      <items count="5">
        <item sd="0" x="0"/>
        <item sd="0" x="1"/>
        <item sd="0" x="2"/>
        <item sd="0" x="3"/>
        <item sd="0" x="4"/>
      </items>
    </pivotField>
  </pivotFields>
  <rowFields count="1">
    <field x="19"/>
  </rowFields>
  <rowItems count="13">
    <i>
      <x v="1"/>
    </i>
    <i>
      <x v="2"/>
    </i>
    <i>
      <x v="3"/>
    </i>
    <i>
      <x v="4"/>
    </i>
    <i>
      <x v="5"/>
    </i>
    <i>
      <x v="6"/>
    </i>
    <i>
      <x v="7"/>
    </i>
    <i>
      <x v="8"/>
    </i>
    <i>
      <x v="9"/>
    </i>
    <i>
      <x v="10"/>
    </i>
    <i>
      <x v="11"/>
    </i>
    <i>
      <x v="12"/>
    </i>
    <i t="grand">
      <x/>
    </i>
  </rowItems>
  <colItems count="1">
    <i/>
  </colItems>
  <dataFields count="1">
    <dataField name="Sum of PROFIT_LOSS" fld="12" baseField="0" baseItem="0"/>
  </dataFields>
  <chartFormats count="8">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 chart="6" format="4">
      <pivotArea type="data" outline="0" fieldPosition="0">
        <references count="2">
          <reference field="4294967294" count="1" selected="0">
            <x v="0"/>
          </reference>
          <reference field="19" count="1" selected="0">
            <x v="12"/>
          </reference>
        </references>
      </pivotArea>
    </chartFormat>
    <chartFormat chart="19" format="5" series="1">
      <pivotArea type="data" outline="0" fieldPosition="0">
        <references count="1">
          <reference field="4294967294" count="1" selected="0">
            <x v="0"/>
          </reference>
        </references>
      </pivotArea>
    </chartFormat>
    <chartFormat chart="19" format="6">
      <pivotArea type="data" outline="0" fieldPosition="0">
        <references count="2">
          <reference field="4294967294" count="1" selected="0">
            <x v="0"/>
          </reference>
          <reference field="19" count="1" selected="0">
            <x v="12"/>
          </reference>
        </references>
      </pivotArea>
    </chartFormat>
    <chartFormat chart="20" format="7" series="1">
      <pivotArea type="data" outline="0" fieldPosition="0">
        <references count="1">
          <reference field="4294967294" count="1" selected="0">
            <x v="0"/>
          </reference>
        </references>
      </pivotArea>
    </chartFormat>
    <chartFormat chart="20" format="8">
      <pivotArea type="data" outline="0" fieldPosition="0">
        <references count="2">
          <reference field="4294967294" count="1" selected="0">
            <x v="0"/>
          </reference>
          <reference field="19"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3BB49A7-C0C4-4F8D-9227-7A902AD97CF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A8:B28" firstHeaderRow="1" firstDataRow="1" firstDataCol="1"/>
  <pivotFields count="22">
    <pivotField showAll="0"/>
    <pivotField showAll="0"/>
    <pivotField showAll="0"/>
    <pivotField showAll="0"/>
    <pivotField axis="axisRow" showAll="0" sortType="ascending">
      <items count="20">
        <item x="2"/>
        <item x="11"/>
        <item x="17"/>
        <item x="6"/>
        <item x="10"/>
        <item x="14"/>
        <item x="3"/>
        <item x="9"/>
        <item x="13"/>
        <item x="12"/>
        <item x="5"/>
        <item x="1"/>
        <item x="18"/>
        <item x="7"/>
        <item x="8"/>
        <item x="4"/>
        <item x="16"/>
        <item x="1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showAll="0"/>
    <pivotField showAll="0"/>
    <pivotField showAll="0"/>
    <pivotField showAll="0"/>
    <pivotField showAll="0">
      <items count="8">
        <item x="1"/>
        <item x="0"/>
        <item x="4"/>
        <item x="5"/>
        <item x="6"/>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4"/>
  </rowFields>
  <rowItems count="20">
    <i>
      <x v="17"/>
    </i>
    <i>
      <x v="1"/>
    </i>
    <i>
      <x v="6"/>
    </i>
    <i>
      <x v="16"/>
    </i>
    <i>
      <x v="13"/>
    </i>
    <i>
      <x v="2"/>
    </i>
    <i>
      <x v="3"/>
    </i>
    <i>
      <x v="12"/>
    </i>
    <i>
      <x v="15"/>
    </i>
    <i>
      <x v="5"/>
    </i>
    <i>
      <x v="10"/>
    </i>
    <i>
      <x v="4"/>
    </i>
    <i>
      <x v="14"/>
    </i>
    <i>
      <x v="8"/>
    </i>
    <i>
      <x v="7"/>
    </i>
    <i>
      <x v="11"/>
    </i>
    <i>
      <x v="9"/>
    </i>
    <i>
      <x/>
    </i>
    <i>
      <x v="18"/>
    </i>
    <i t="grand">
      <x/>
    </i>
  </rowItems>
  <colItems count="1">
    <i/>
  </colItems>
  <dataFields count="1">
    <dataField name="Sum of PROFIT_LOSS" fld="12" baseField="0" baseItem="0"/>
  </dataFields>
  <chartFormats count="25">
    <chartFormat chart="4" format="1"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 chart="20" format="3"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0"/>
          </reference>
        </references>
      </pivotArea>
    </chartFormat>
    <chartFormat chart="21" format="4">
      <pivotArea type="data" outline="0" fieldPosition="0">
        <references count="2">
          <reference field="4294967294" count="1" selected="0">
            <x v="0"/>
          </reference>
          <reference field="4" count="1" selected="0">
            <x v="11"/>
          </reference>
        </references>
      </pivotArea>
    </chartFormat>
    <chartFormat chart="21" format="5">
      <pivotArea type="data" outline="0" fieldPosition="0">
        <references count="2">
          <reference field="4294967294" count="1" selected="0">
            <x v="0"/>
          </reference>
          <reference field="4" count="1" selected="0">
            <x v="17"/>
          </reference>
        </references>
      </pivotArea>
    </chartFormat>
    <chartFormat chart="21" format="6">
      <pivotArea type="data" outline="0" fieldPosition="0">
        <references count="2">
          <reference field="4294967294" count="1" selected="0">
            <x v="0"/>
          </reference>
          <reference field="4" count="1" selected="0">
            <x v="16"/>
          </reference>
        </references>
      </pivotArea>
    </chartFormat>
    <chartFormat chart="21" format="7">
      <pivotArea type="data" outline="0" fieldPosition="0">
        <references count="2">
          <reference field="4294967294" count="1" selected="0">
            <x v="0"/>
          </reference>
          <reference field="4" count="1" selected="0">
            <x v="18"/>
          </reference>
        </references>
      </pivotArea>
    </chartFormat>
    <chartFormat chart="21" format="8">
      <pivotArea type="data" outline="0" fieldPosition="0">
        <references count="2">
          <reference field="4294967294" count="1" selected="0">
            <x v="0"/>
          </reference>
          <reference field="4" count="1" selected="0">
            <x v="12"/>
          </reference>
        </references>
      </pivotArea>
    </chartFormat>
    <chartFormat chart="21" format="9">
      <pivotArea type="data" outline="0" fieldPosition="0">
        <references count="2">
          <reference field="4294967294" count="1" selected="0">
            <x v="0"/>
          </reference>
          <reference field="4" count="1" selected="0">
            <x v="13"/>
          </reference>
        </references>
      </pivotArea>
    </chartFormat>
    <chartFormat chart="21" format="10">
      <pivotArea type="data" outline="0" fieldPosition="0">
        <references count="2">
          <reference field="4294967294" count="1" selected="0">
            <x v="0"/>
          </reference>
          <reference field="4" count="1" selected="0">
            <x v="6"/>
          </reference>
        </references>
      </pivotArea>
    </chartFormat>
    <chartFormat chart="21" format="11">
      <pivotArea type="data" outline="0" fieldPosition="0">
        <references count="2">
          <reference field="4294967294" count="1" selected="0">
            <x v="0"/>
          </reference>
          <reference field="4" count="1" selected="0">
            <x v="2"/>
          </reference>
        </references>
      </pivotArea>
    </chartFormat>
    <chartFormat chart="21" format="12">
      <pivotArea type="data" outline="0" fieldPosition="0">
        <references count="2">
          <reference field="4294967294" count="1" selected="0">
            <x v="0"/>
          </reference>
          <reference field="4" count="1" selected="0">
            <x v="3"/>
          </reference>
        </references>
      </pivotArea>
    </chartFormat>
    <chartFormat chart="21" format="13">
      <pivotArea type="data" outline="0" fieldPosition="0">
        <references count="2">
          <reference field="4294967294" count="1" selected="0">
            <x v="0"/>
          </reference>
          <reference field="4" count="1" selected="0">
            <x v="1"/>
          </reference>
        </references>
      </pivotArea>
    </chartFormat>
    <chartFormat chart="21" format="14">
      <pivotArea type="data" outline="0" fieldPosition="0">
        <references count="2">
          <reference field="4294967294" count="1" selected="0">
            <x v="0"/>
          </reference>
          <reference field="4" count="1" selected="0">
            <x v="4"/>
          </reference>
        </references>
      </pivotArea>
    </chartFormat>
    <chartFormat chart="21" format="15">
      <pivotArea type="data" outline="0" fieldPosition="0">
        <references count="2">
          <reference field="4294967294" count="1" selected="0">
            <x v="0"/>
          </reference>
          <reference field="4" count="1" selected="0">
            <x v="5"/>
          </reference>
        </references>
      </pivotArea>
    </chartFormat>
    <chartFormat chart="21" format="16">
      <pivotArea type="data" outline="0" fieldPosition="0">
        <references count="2">
          <reference field="4294967294" count="1" selected="0">
            <x v="0"/>
          </reference>
          <reference field="4" count="1" selected="0">
            <x v="15"/>
          </reference>
        </references>
      </pivotArea>
    </chartFormat>
    <chartFormat chart="21" format="17">
      <pivotArea type="data" outline="0" fieldPosition="0">
        <references count="2">
          <reference field="4294967294" count="1" selected="0">
            <x v="0"/>
          </reference>
          <reference field="4" count="1" selected="0">
            <x v="14"/>
          </reference>
        </references>
      </pivotArea>
    </chartFormat>
    <chartFormat chart="21" format="18">
      <pivotArea type="data" outline="0" fieldPosition="0">
        <references count="2">
          <reference field="4294967294" count="1" selected="0">
            <x v="0"/>
          </reference>
          <reference field="4" count="1" selected="0">
            <x v="10"/>
          </reference>
        </references>
      </pivotArea>
    </chartFormat>
    <chartFormat chart="21" format="19">
      <pivotArea type="data" outline="0" fieldPosition="0">
        <references count="2">
          <reference field="4294967294" count="1" selected="0">
            <x v="0"/>
          </reference>
          <reference field="4" count="1" selected="0">
            <x v="7"/>
          </reference>
        </references>
      </pivotArea>
    </chartFormat>
    <chartFormat chart="21" format="20">
      <pivotArea type="data" outline="0" fieldPosition="0">
        <references count="2">
          <reference field="4294967294" count="1" selected="0">
            <x v="0"/>
          </reference>
          <reference field="4" count="1" selected="0">
            <x v="8"/>
          </reference>
        </references>
      </pivotArea>
    </chartFormat>
    <chartFormat chart="37" format="21" series="1">
      <pivotArea type="data" outline="0" fieldPosition="0">
        <references count="1">
          <reference field="4294967294" count="1" selected="0">
            <x v="0"/>
          </reference>
        </references>
      </pivotArea>
    </chartFormat>
    <chartFormat chart="37" format="22">
      <pivotArea type="data" outline="0" fieldPosition="0">
        <references count="2">
          <reference field="4294967294" count="1" selected="0">
            <x v="0"/>
          </reference>
          <reference field="4" count="1" selected="0">
            <x v="18"/>
          </reference>
        </references>
      </pivotArea>
    </chartFormat>
    <chartFormat chart="38" format="23" series="1">
      <pivotArea type="data" outline="0" fieldPosition="0">
        <references count="1">
          <reference field="4294967294" count="1" selected="0">
            <x v="0"/>
          </reference>
        </references>
      </pivotArea>
    </chartFormat>
    <chartFormat chart="38" format="24">
      <pivotArea type="data" outline="0" fieldPosition="0">
        <references count="2">
          <reference field="4294967294" count="1" selected="0">
            <x v="0"/>
          </reference>
          <reference field="4"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45EADCC-2808-46C5-A626-07872E98488E}"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C3:D10" firstHeaderRow="1" firstDataRow="1" firstDataCol="1"/>
  <pivotFields count="22">
    <pivotField showAll="0"/>
    <pivotField showAll="0"/>
    <pivotField showAll="0"/>
    <pivotField showAll="0"/>
    <pivotField showAll="0">
      <items count="20">
        <item x="2"/>
        <item x="11"/>
        <item x="17"/>
        <item x="6"/>
        <item x="10"/>
        <item x="14"/>
        <item x="3"/>
        <item x="9"/>
        <item x="13"/>
        <item x="12"/>
        <item x="5"/>
        <item x="1"/>
        <item x="18"/>
        <item x="7"/>
        <item x="8"/>
        <item x="4"/>
        <item x="16"/>
        <item x="15"/>
        <item x="0"/>
        <item t="default"/>
      </items>
    </pivotField>
    <pivotField showAll="0"/>
    <pivotField showAll="0"/>
    <pivotField showAll="0"/>
    <pivotField showAll="0"/>
    <pivotField showAll="0"/>
    <pivotField showAll="0"/>
    <pivotField showAll="0"/>
    <pivotField showAll="0"/>
    <pivotField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axis="axisRow" dataField="1" showAll="0" sortType="descending">
      <items count="7">
        <item x="3"/>
        <item x="1"/>
        <item x="2"/>
        <item x="5"/>
        <item x="4"/>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8">
        <item x="1"/>
        <item x="0"/>
        <item x="4"/>
        <item x="5"/>
        <item x="6"/>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4"/>
  </rowFields>
  <rowItems count="7">
    <i>
      <x v="5"/>
    </i>
    <i>
      <x/>
    </i>
    <i>
      <x v="4"/>
    </i>
    <i>
      <x v="3"/>
    </i>
    <i>
      <x v="2"/>
    </i>
    <i>
      <x v="1"/>
    </i>
    <i t="grand">
      <x/>
    </i>
  </rowItems>
  <colItems count="1">
    <i/>
  </colItems>
  <dataFields count="1">
    <dataField name="Count of STATUS" fld="14" subtotal="count" baseField="0" baseItem="0"/>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5334839-F618-4D5B-ACE2-EE4AC56FF0D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7" firstHeaderRow="1" firstDataRow="1" firstDataCol="1"/>
  <pivotFields count="22">
    <pivotField showAll="0"/>
    <pivotField showAll="0"/>
    <pivotField showAll="0"/>
    <pivotField showAll="0"/>
    <pivotField showAll="0">
      <items count="20">
        <item x="2"/>
        <item x="11"/>
        <item x="17"/>
        <item x="6"/>
        <item x="10"/>
        <item x="14"/>
        <item x="3"/>
        <item x="9"/>
        <item x="13"/>
        <item x="12"/>
        <item x="5"/>
        <item x="1"/>
        <item x="18"/>
        <item x="7"/>
        <item x="8"/>
        <item x="4"/>
        <item x="16"/>
        <item x="15"/>
        <item x="0"/>
        <item t="default"/>
      </items>
    </pivotField>
    <pivotField axis="axisRow" showAll="0">
      <items count="4">
        <item x="2"/>
        <item x="1"/>
        <item x="0"/>
        <item t="default"/>
      </items>
    </pivotField>
    <pivotField showAll="0"/>
    <pivotField showAll="0"/>
    <pivotField dataField="1" showAll="0"/>
    <pivotField showAll="0"/>
    <pivotField showAll="0"/>
    <pivotField showAll="0"/>
    <pivotField showAll="0"/>
    <pivotField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showAll="0"/>
    <pivotField showAll="0"/>
    <pivotField showAll="0"/>
    <pivotField showAll="0"/>
    <pivotField showAll="0">
      <items count="8">
        <item x="1"/>
        <item x="0"/>
        <item x="4"/>
        <item x="5"/>
        <item x="6"/>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5"/>
  </rowFields>
  <rowItems count="4">
    <i>
      <x/>
    </i>
    <i>
      <x v="1"/>
    </i>
    <i>
      <x v="2"/>
    </i>
    <i t="grand">
      <x/>
    </i>
  </rowItems>
  <colItems count="1">
    <i/>
  </colItems>
  <dataFields count="1">
    <dataField name="Sum of QUANTITYORDERED" fld="8" baseField="0" baseItem="0"/>
  </dataFields>
  <chartFormats count="16">
    <chartFormat chart="1"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5" count="1" selected="0">
            <x v="0"/>
          </reference>
        </references>
      </pivotArea>
    </chartFormat>
    <chartFormat chart="4" format="7">
      <pivotArea type="data" outline="0" fieldPosition="0">
        <references count="2">
          <reference field="4294967294" count="1" selected="0">
            <x v="0"/>
          </reference>
          <reference field="5" count="1" selected="0">
            <x v="1"/>
          </reference>
        </references>
      </pivotArea>
    </chartFormat>
    <chartFormat chart="4" format="8">
      <pivotArea type="data" outline="0" fieldPosition="0">
        <references count="2">
          <reference field="4294967294" count="1" selected="0">
            <x v="0"/>
          </reference>
          <reference field="5" count="1" selected="0">
            <x v="2"/>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1" format="3">
      <pivotArea type="data" outline="0" fieldPosition="0">
        <references count="2">
          <reference field="4294967294" count="1" selected="0">
            <x v="0"/>
          </reference>
          <reference field="5" count="1" selected="0">
            <x v="2"/>
          </reference>
        </references>
      </pivotArea>
    </chartFormat>
    <chartFormat chart="12" format="9" series="1">
      <pivotArea type="data" outline="0" fieldPosition="0">
        <references count="1">
          <reference field="4294967294" count="1" selected="0">
            <x v="0"/>
          </reference>
        </references>
      </pivotArea>
    </chartFormat>
    <chartFormat chart="12" format="10">
      <pivotArea type="data" outline="0" fieldPosition="0">
        <references count="2">
          <reference field="4294967294" count="1" selected="0">
            <x v="0"/>
          </reference>
          <reference field="5" count="1" selected="0">
            <x v="0"/>
          </reference>
        </references>
      </pivotArea>
    </chartFormat>
    <chartFormat chart="12" format="11">
      <pivotArea type="data" outline="0" fieldPosition="0">
        <references count="2">
          <reference field="4294967294" count="1" selected="0">
            <x v="0"/>
          </reference>
          <reference field="5" count="1" selected="0">
            <x v="1"/>
          </reference>
        </references>
      </pivotArea>
    </chartFormat>
    <chartFormat chart="12" format="12">
      <pivotArea type="data" outline="0" fieldPosition="0">
        <references count="2">
          <reference field="4294967294" count="1" selected="0">
            <x v="0"/>
          </reference>
          <reference field="5" count="1" selected="0">
            <x v="2"/>
          </reference>
        </references>
      </pivotArea>
    </chartFormat>
    <chartFormat chart="13" format="13" series="1">
      <pivotArea type="data" outline="0" fieldPosition="0">
        <references count="1">
          <reference field="4294967294" count="1" selected="0">
            <x v="0"/>
          </reference>
        </references>
      </pivotArea>
    </chartFormat>
    <chartFormat chart="13" format="14">
      <pivotArea type="data" outline="0" fieldPosition="0">
        <references count="2">
          <reference field="4294967294" count="1" selected="0">
            <x v="0"/>
          </reference>
          <reference field="5" count="1" selected="0">
            <x v="0"/>
          </reference>
        </references>
      </pivotArea>
    </chartFormat>
    <chartFormat chart="13" format="15">
      <pivotArea type="data" outline="0" fieldPosition="0">
        <references count="2">
          <reference field="4294967294" count="1" selected="0">
            <x v="0"/>
          </reference>
          <reference field="5" count="1" selected="0">
            <x v="1"/>
          </reference>
        </references>
      </pivotArea>
    </chartFormat>
    <chartFormat chart="13" format="16">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CBE41B6-6244-43FC-B775-11B9F1B6C4F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C11:D19" firstHeaderRow="1" firstDataRow="1" firstDataCol="1"/>
  <pivotFields count="22">
    <pivotField showAll="0"/>
    <pivotField showAll="0"/>
    <pivotField showAll="0"/>
    <pivotField showAll="0"/>
    <pivotField showAll="0">
      <items count="20">
        <item x="2"/>
        <item x="11"/>
        <item x="17"/>
        <item x="6"/>
        <item x="10"/>
        <item x="14"/>
        <item x="3"/>
        <item x="9"/>
        <item x="13"/>
        <item x="12"/>
        <item x="5"/>
        <item x="1"/>
        <item x="18"/>
        <item x="7"/>
        <item x="8"/>
        <item x="4"/>
        <item x="16"/>
        <item x="15"/>
        <item x="0"/>
        <item t="default"/>
      </items>
    </pivotField>
    <pivotField showAll="0"/>
    <pivotField showAll="0"/>
    <pivotField showAll="0"/>
    <pivotField showAll="0"/>
    <pivotField showAll="0"/>
    <pivotField showAll="0"/>
    <pivotField showAll="0"/>
    <pivotField showAll="0"/>
    <pivotField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showAll="0"/>
    <pivotField showAll="0"/>
    <pivotField showAll="0"/>
    <pivotField showAll="0"/>
    <pivotField axis="axisRow" dataField="1" showAll="0">
      <items count="8">
        <item x="1"/>
        <item x="0"/>
        <item x="4"/>
        <item x="5"/>
        <item x="6"/>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8"/>
  </rowFields>
  <rowItems count="8">
    <i>
      <x/>
    </i>
    <i>
      <x v="1"/>
    </i>
    <i>
      <x v="2"/>
    </i>
    <i>
      <x v="3"/>
    </i>
    <i>
      <x v="4"/>
    </i>
    <i>
      <x v="5"/>
    </i>
    <i>
      <x v="6"/>
    </i>
    <i t="grand">
      <x/>
    </i>
  </rowItems>
  <colItems count="1">
    <i/>
  </colItems>
  <dataFields count="1">
    <dataField name="Count of PRODUCTLINE" fld="18" subtotal="count" baseField="0" baseItem="0"/>
  </dataFields>
  <chartFormats count="32">
    <chartFormat chart="3" format="0"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0"/>
          </reference>
        </references>
      </pivotArea>
    </chartFormat>
    <chartFormat chart="8" format="10">
      <pivotArea type="data" outline="0" fieldPosition="0">
        <references count="2">
          <reference field="4294967294" count="1" selected="0">
            <x v="0"/>
          </reference>
          <reference field="18" count="1" selected="0">
            <x v="0"/>
          </reference>
        </references>
      </pivotArea>
    </chartFormat>
    <chartFormat chart="8" format="11">
      <pivotArea type="data" outline="0" fieldPosition="0">
        <references count="2">
          <reference field="4294967294" count="1" selected="0">
            <x v="0"/>
          </reference>
          <reference field="18" count="1" selected="0">
            <x v="1"/>
          </reference>
        </references>
      </pivotArea>
    </chartFormat>
    <chartFormat chart="8" format="12">
      <pivotArea type="data" outline="0" fieldPosition="0">
        <references count="2">
          <reference field="4294967294" count="1" selected="0">
            <x v="0"/>
          </reference>
          <reference field="18" count="1" selected="0">
            <x v="2"/>
          </reference>
        </references>
      </pivotArea>
    </chartFormat>
    <chartFormat chart="8" format="13">
      <pivotArea type="data" outline="0" fieldPosition="0">
        <references count="2">
          <reference field="4294967294" count="1" selected="0">
            <x v="0"/>
          </reference>
          <reference field="18" count="1" selected="0">
            <x v="3"/>
          </reference>
        </references>
      </pivotArea>
    </chartFormat>
    <chartFormat chart="8" format="14">
      <pivotArea type="data" outline="0" fieldPosition="0">
        <references count="2">
          <reference field="4294967294" count="1" selected="0">
            <x v="0"/>
          </reference>
          <reference field="18" count="1" selected="0">
            <x v="4"/>
          </reference>
        </references>
      </pivotArea>
    </chartFormat>
    <chartFormat chart="8" format="15">
      <pivotArea type="data" outline="0" fieldPosition="0">
        <references count="2">
          <reference field="4294967294" count="1" selected="0">
            <x v="0"/>
          </reference>
          <reference field="18" count="1" selected="0">
            <x v="5"/>
          </reference>
        </references>
      </pivotArea>
    </chartFormat>
    <chartFormat chart="8" format="16">
      <pivotArea type="data" outline="0" fieldPosition="0">
        <references count="2">
          <reference field="4294967294" count="1" selected="0">
            <x v="0"/>
          </reference>
          <reference field="18" count="1" selected="0">
            <x v="6"/>
          </reference>
        </references>
      </pivotArea>
    </chartFormat>
    <chartFormat chart="3" format="1">
      <pivotArea type="data" outline="0" fieldPosition="0">
        <references count="2">
          <reference field="4294967294" count="1" selected="0">
            <x v="0"/>
          </reference>
          <reference field="18" count="1" selected="0">
            <x v="0"/>
          </reference>
        </references>
      </pivotArea>
    </chartFormat>
    <chartFormat chart="3" format="2">
      <pivotArea type="data" outline="0" fieldPosition="0">
        <references count="2">
          <reference field="4294967294" count="1" selected="0">
            <x v="0"/>
          </reference>
          <reference field="18" count="1" selected="0">
            <x v="1"/>
          </reference>
        </references>
      </pivotArea>
    </chartFormat>
    <chartFormat chart="3" format="3">
      <pivotArea type="data" outline="0" fieldPosition="0">
        <references count="2">
          <reference field="4294967294" count="1" selected="0">
            <x v="0"/>
          </reference>
          <reference field="18" count="1" selected="0">
            <x v="2"/>
          </reference>
        </references>
      </pivotArea>
    </chartFormat>
    <chartFormat chart="3" format="4">
      <pivotArea type="data" outline="0" fieldPosition="0">
        <references count="2">
          <reference field="4294967294" count="1" selected="0">
            <x v="0"/>
          </reference>
          <reference field="18" count="1" selected="0">
            <x v="3"/>
          </reference>
        </references>
      </pivotArea>
    </chartFormat>
    <chartFormat chart="3" format="5">
      <pivotArea type="data" outline="0" fieldPosition="0">
        <references count="2">
          <reference field="4294967294" count="1" selected="0">
            <x v="0"/>
          </reference>
          <reference field="18" count="1" selected="0">
            <x v="4"/>
          </reference>
        </references>
      </pivotArea>
    </chartFormat>
    <chartFormat chart="3" format="6">
      <pivotArea type="data" outline="0" fieldPosition="0">
        <references count="2">
          <reference field="4294967294" count="1" selected="0">
            <x v="0"/>
          </reference>
          <reference field="18" count="1" selected="0">
            <x v="5"/>
          </reference>
        </references>
      </pivotArea>
    </chartFormat>
    <chartFormat chart="3" format="7">
      <pivotArea type="data" outline="0" fieldPosition="0">
        <references count="2">
          <reference field="4294967294" count="1" selected="0">
            <x v="0"/>
          </reference>
          <reference field="18" count="1" selected="0">
            <x v="6"/>
          </reference>
        </references>
      </pivotArea>
    </chartFormat>
    <chartFormat chart="13" format="17" series="1">
      <pivotArea type="data" outline="0" fieldPosition="0">
        <references count="1">
          <reference field="4294967294" count="1" selected="0">
            <x v="0"/>
          </reference>
        </references>
      </pivotArea>
    </chartFormat>
    <chartFormat chart="13" format="18">
      <pivotArea type="data" outline="0" fieldPosition="0">
        <references count="2">
          <reference field="4294967294" count="1" selected="0">
            <x v="0"/>
          </reference>
          <reference field="18" count="1" selected="0">
            <x v="0"/>
          </reference>
        </references>
      </pivotArea>
    </chartFormat>
    <chartFormat chart="13" format="19">
      <pivotArea type="data" outline="0" fieldPosition="0">
        <references count="2">
          <reference field="4294967294" count="1" selected="0">
            <x v="0"/>
          </reference>
          <reference field="18" count="1" selected="0">
            <x v="1"/>
          </reference>
        </references>
      </pivotArea>
    </chartFormat>
    <chartFormat chart="13" format="20">
      <pivotArea type="data" outline="0" fieldPosition="0">
        <references count="2">
          <reference field="4294967294" count="1" selected="0">
            <x v="0"/>
          </reference>
          <reference field="18" count="1" selected="0">
            <x v="2"/>
          </reference>
        </references>
      </pivotArea>
    </chartFormat>
    <chartFormat chart="13" format="21">
      <pivotArea type="data" outline="0" fieldPosition="0">
        <references count="2">
          <reference field="4294967294" count="1" selected="0">
            <x v="0"/>
          </reference>
          <reference field="18" count="1" selected="0">
            <x v="3"/>
          </reference>
        </references>
      </pivotArea>
    </chartFormat>
    <chartFormat chart="13" format="22">
      <pivotArea type="data" outline="0" fieldPosition="0">
        <references count="2">
          <reference field="4294967294" count="1" selected="0">
            <x v="0"/>
          </reference>
          <reference field="18" count="1" selected="0">
            <x v="4"/>
          </reference>
        </references>
      </pivotArea>
    </chartFormat>
    <chartFormat chart="13" format="23">
      <pivotArea type="data" outline="0" fieldPosition="0">
        <references count="2">
          <reference field="4294967294" count="1" selected="0">
            <x v="0"/>
          </reference>
          <reference field="18" count="1" selected="0">
            <x v="5"/>
          </reference>
        </references>
      </pivotArea>
    </chartFormat>
    <chartFormat chart="13" format="24">
      <pivotArea type="data" outline="0" fieldPosition="0">
        <references count="2">
          <reference field="4294967294" count="1" selected="0">
            <x v="0"/>
          </reference>
          <reference field="18" count="1" selected="0">
            <x v="6"/>
          </reference>
        </references>
      </pivotArea>
    </chartFormat>
    <chartFormat chart="14" format="25" series="1">
      <pivotArea type="data" outline="0" fieldPosition="0">
        <references count="1">
          <reference field="4294967294" count="1" selected="0">
            <x v="0"/>
          </reference>
        </references>
      </pivotArea>
    </chartFormat>
    <chartFormat chart="14" format="26">
      <pivotArea type="data" outline="0" fieldPosition="0">
        <references count="2">
          <reference field="4294967294" count="1" selected="0">
            <x v="0"/>
          </reference>
          <reference field="18" count="1" selected="0">
            <x v="0"/>
          </reference>
        </references>
      </pivotArea>
    </chartFormat>
    <chartFormat chart="14" format="27">
      <pivotArea type="data" outline="0" fieldPosition="0">
        <references count="2">
          <reference field="4294967294" count="1" selected="0">
            <x v="0"/>
          </reference>
          <reference field="18" count="1" selected="0">
            <x v="1"/>
          </reference>
        </references>
      </pivotArea>
    </chartFormat>
    <chartFormat chart="14" format="28">
      <pivotArea type="data" outline="0" fieldPosition="0">
        <references count="2">
          <reference field="4294967294" count="1" selected="0">
            <x v="0"/>
          </reference>
          <reference field="18" count="1" selected="0">
            <x v="2"/>
          </reference>
        </references>
      </pivotArea>
    </chartFormat>
    <chartFormat chart="14" format="29">
      <pivotArea type="data" outline="0" fieldPosition="0">
        <references count="2">
          <reference field="4294967294" count="1" selected="0">
            <x v="0"/>
          </reference>
          <reference field="18" count="1" selected="0">
            <x v="3"/>
          </reference>
        </references>
      </pivotArea>
    </chartFormat>
    <chartFormat chart="14" format="30">
      <pivotArea type="data" outline="0" fieldPosition="0">
        <references count="2">
          <reference field="4294967294" count="1" selected="0">
            <x v="0"/>
          </reference>
          <reference field="18" count="1" selected="0">
            <x v="4"/>
          </reference>
        </references>
      </pivotArea>
    </chartFormat>
    <chartFormat chart="14" format="31">
      <pivotArea type="data" outline="0" fieldPosition="0">
        <references count="2">
          <reference field="4294967294" count="1" selected="0">
            <x v="0"/>
          </reference>
          <reference field="18" count="1" selected="0">
            <x v="5"/>
          </reference>
        </references>
      </pivotArea>
    </chartFormat>
    <chartFormat chart="14" format="32">
      <pivotArea type="data" outline="0" fieldPosition="0">
        <references count="2">
          <reference field="4294967294" count="1" selected="0">
            <x v="0"/>
          </reference>
          <reference field="18"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B080B65-B980-494B-90D0-51D99531F965}"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1:C2" firstHeaderRow="1" firstDataRow="1" firstDataCol="0"/>
  <pivotFields count="22">
    <pivotField showAll="0"/>
    <pivotField showAll="0"/>
    <pivotField showAll="0"/>
    <pivotField showAll="0"/>
    <pivotField showAll="0">
      <items count="20">
        <item x="2"/>
        <item x="11"/>
        <item x="17"/>
        <item x="6"/>
        <item x="10"/>
        <item x="14"/>
        <item x="3"/>
        <item x="9"/>
        <item x="13"/>
        <item x="12"/>
        <item x="5"/>
        <item x="1"/>
        <item x="18"/>
        <item x="7"/>
        <item x="8"/>
        <item x="4"/>
        <item x="16"/>
        <item x="15"/>
        <item x="0"/>
        <item t="default"/>
      </items>
    </pivotField>
    <pivotField showAll="0"/>
    <pivotField showAll="0"/>
    <pivotField showAll="0"/>
    <pivotField dataField="1" showAll="0"/>
    <pivotField showAll="0"/>
    <pivotField showAll="0"/>
    <pivotField showAll="0"/>
    <pivotField showAll="0"/>
    <pivotField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showAll="0"/>
    <pivotField showAll="0"/>
    <pivotField showAll="0"/>
    <pivotField showAll="0"/>
    <pivotField showAll="0">
      <items count="8">
        <item x="1"/>
        <item x="0"/>
        <item x="4"/>
        <item x="5"/>
        <item x="6"/>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QUANTITYORDERED"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1560F2B-1D9A-4069-BCCC-83D3A350839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G5" firstHeaderRow="0" firstDataRow="1" firstDataCol="1"/>
  <pivotFields count="22">
    <pivotField showAll="0"/>
    <pivotField showAll="0"/>
    <pivotField showAll="0"/>
    <pivotField showAll="0"/>
    <pivotField showAll="0">
      <items count="20">
        <item x="2"/>
        <item x="11"/>
        <item x="17"/>
        <item x="6"/>
        <item x="10"/>
        <item x="14"/>
        <item x="3"/>
        <item x="9"/>
        <item x="13"/>
        <item x="12"/>
        <item x="5"/>
        <item x="1"/>
        <item x="18"/>
        <item x="7"/>
        <item x="8"/>
        <item x="4"/>
        <item x="16"/>
        <item x="15"/>
        <item x="0"/>
        <item t="default"/>
      </items>
    </pivotField>
    <pivotField showAll="0"/>
    <pivotField showAll="0"/>
    <pivotField showAll="0"/>
    <pivotField dataField="1" showAll="0"/>
    <pivotField showAll="0"/>
    <pivotField showAll="0"/>
    <pivotField showAll="0"/>
    <pivotField dataField="1" showAll="0"/>
    <pivotField axis="axisRow" numFmtId="14" showAll="0">
      <items count="253">
        <item x="191"/>
        <item x="91"/>
        <item x="59"/>
        <item x="166"/>
        <item x="31"/>
        <item x="187"/>
        <item x="242"/>
        <item x="24"/>
        <item x="189"/>
        <item x="98"/>
        <item x="92"/>
        <item x="6"/>
        <item x="107"/>
        <item x="219"/>
        <item x="174"/>
        <item x="194"/>
        <item x="217"/>
        <item x="246"/>
        <item x="243"/>
        <item x="247"/>
        <item x="149"/>
        <item x="225"/>
        <item x="78"/>
        <item x="151"/>
        <item x="58"/>
        <item x="167"/>
        <item x="40"/>
        <item x="137"/>
        <item x="188"/>
        <item x="129"/>
        <item x="209"/>
        <item x="25"/>
        <item x="180"/>
        <item x="79"/>
        <item x="152"/>
        <item x="100"/>
        <item x="168"/>
        <item x="195"/>
        <item x="182"/>
        <item x="221"/>
        <item x="220"/>
        <item x="213"/>
        <item x="141"/>
        <item x="181"/>
        <item x="134"/>
        <item x="198"/>
        <item x="18"/>
        <item x="224"/>
        <item x="130"/>
        <item x="226"/>
        <item x="235"/>
        <item x="77"/>
        <item x="146"/>
        <item x="75"/>
        <item x="222"/>
        <item x="160"/>
        <item x="112"/>
        <item x="142"/>
        <item x="60"/>
        <item x="7"/>
        <item x="138"/>
        <item x="116"/>
        <item x="68"/>
        <item x="0"/>
        <item x="185"/>
        <item x="80"/>
        <item x="21"/>
        <item x="236"/>
        <item x="231"/>
        <item x="202"/>
        <item x="117"/>
        <item x="19"/>
        <item x="69"/>
        <item x="1"/>
        <item x="214"/>
        <item x="34"/>
        <item x="101"/>
        <item x="169"/>
        <item x="108"/>
        <item x="232"/>
        <item x="26"/>
        <item x="86"/>
        <item x="61"/>
        <item x="240"/>
        <item x="131"/>
        <item x="237"/>
        <item x="175"/>
        <item x="13"/>
        <item x="186"/>
        <item x="173"/>
        <item x="135"/>
        <item x="93"/>
        <item x="139"/>
        <item x="22"/>
        <item x="170"/>
        <item x="82"/>
        <item x="41"/>
        <item x="164"/>
        <item x="233"/>
        <item x="2"/>
        <item x="124"/>
        <item x="56"/>
        <item x="145"/>
        <item x="118"/>
        <item x="52"/>
        <item x="48"/>
        <item x="32"/>
        <item x="42"/>
        <item x="244"/>
        <item x="238"/>
        <item x="210"/>
        <item x="10"/>
        <item x="125"/>
        <item x="35"/>
        <item x="113"/>
        <item x="83"/>
        <item x="192"/>
        <item x="157"/>
        <item x="102"/>
        <item x="205"/>
        <item x="43"/>
        <item x="105"/>
        <item x="176"/>
        <item x="161"/>
        <item x="27"/>
        <item x="120"/>
        <item x="65"/>
        <item x="94"/>
        <item x="62"/>
        <item x="103"/>
        <item x="147"/>
        <item x="16"/>
        <item x="155"/>
        <item x="28"/>
        <item x="203"/>
        <item x="121"/>
        <item x="153"/>
        <item x="143"/>
        <item x="104"/>
        <item x="206"/>
        <item x="44"/>
        <item x="70"/>
        <item x="3"/>
        <item x="36"/>
        <item x="50"/>
        <item x="154"/>
        <item x="144"/>
        <item x="53"/>
        <item x="49"/>
        <item x="109"/>
        <item x="88"/>
        <item x="215"/>
        <item x="126"/>
        <item x="99"/>
        <item x="158"/>
        <item x="63"/>
        <item x="199"/>
        <item x="171"/>
        <item x="249"/>
        <item x="17"/>
        <item x="223"/>
        <item x="162"/>
        <item x="11"/>
        <item x="204"/>
        <item x="193"/>
        <item x="241"/>
        <item x="196"/>
        <item x="71"/>
        <item x="14"/>
        <item x="81"/>
        <item x="140"/>
        <item x="110"/>
        <item x="183"/>
        <item x="156"/>
        <item x="4"/>
        <item x="37"/>
        <item x="8"/>
        <item x="33"/>
        <item x="227"/>
        <item x="239"/>
        <item x="177"/>
        <item x="5"/>
        <item x="172"/>
        <item x="95"/>
        <item x="200"/>
        <item x="87"/>
        <item x="45"/>
        <item x="245"/>
        <item x="72"/>
        <item x="90"/>
        <item x="38"/>
        <item x="76"/>
        <item x="9"/>
        <item x="216"/>
        <item x="111"/>
        <item x="73"/>
        <item x="89"/>
        <item x="127"/>
        <item x="96"/>
        <item x="54"/>
        <item x="218"/>
        <item x="201"/>
        <item x="29"/>
        <item x="190"/>
        <item x="57"/>
        <item x="114"/>
        <item x="66"/>
        <item x="184"/>
        <item x="55"/>
        <item x="207"/>
        <item x="46"/>
        <item x="250"/>
        <item x="15"/>
        <item x="234"/>
        <item x="39"/>
        <item x="51"/>
        <item x="84"/>
        <item x="136"/>
        <item x="23"/>
        <item x="132"/>
        <item x="230"/>
        <item x="228"/>
        <item x="178"/>
        <item x="211"/>
        <item x="150"/>
        <item x="122"/>
        <item x="165"/>
        <item x="119"/>
        <item x="133"/>
        <item x="20"/>
        <item x="229"/>
        <item x="251"/>
        <item x="248"/>
        <item x="74"/>
        <item x="212"/>
        <item x="12"/>
        <item x="128"/>
        <item x="115"/>
        <item x="123"/>
        <item x="85"/>
        <item x="159"/>
        <item x="208"/>
        <item x="197"/>
        <item x="47"/>
        <item x="106"/>
        <item x="179"/>
        <item x="163"/>
        <item x="30"/>
        <item x="67"/>
        <item x="97"/>
        <item x="64"/>
        <item x="148"/>
        <item t="default"/>
      </items>
    </pivotField>
    <pivotField showAll="0"/>
    <pivotField showAll="0"/>
    <pivotField showAll="0"/>
    <pivotField showAll="0"/>
    <pivotField showAll="0">
      <items count="8">
        <item x="1"/>
        <item x="0"/>
        <item x="4"/>
        <item x="5"/>
        <item x="6"/>
        <item x="2"/>
        <item x="3"/>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21"/>
    <field x="20"/>
    <field x="19"/>
    <field x="13"/>
  </rowFields>
  <rowItems count="4">
    <i>
      <x v="1"/>
    </i>
    <i>
      <x v="2"/>
    </i>
    <i>
      <x v="3"/>
    </i>
    <i t="grand">
      <x/>
    </i>
  </rowItems>
  <colFields count="1">
    <field x="-2"/>
  </colFields>
  <colItems count="2">
    <i>
      <x/>
    </i>
    <i i="1">
      <x v="1"/>
    </i>
  </colItems>
  <dataFields count="2">
    <dataField name="Sum of QUANTITYORDERED" fld="8" baseField="0" baseItem="0"/>
    <dataField name="Sum of PROFIT_LOSS"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9F3CE1FB-9E36-4B1E-8D2F-37E6A22CD00B}" sourceName="COUNTRY">
  <pivotTables>
    <pivotTable tabId="2" name="PivotTable2"/>
    <pivotTable tabId="2" name="PivotTable1"/>
    <pivotTable tabId="2" name="PivotTable10"/>
    <pivotTable tabId="2" name="PivotTable11"/>
    <pivotTable tabId="2" name="PivotTable4"/>
    <pivotTable tabId="2" name="PivotTable5"/>
    <pivotTable tabId="2" name="PivotTable6"/>
    <pivotTable tabId="2" name="PivotTable7"/>
    <pivotTable tabId="2" name="PivotTable8"/>
    <pivotTable tabId="2" name="PivotTable9"/>
    <pivotTable tabId="2" name="PivotTable3"/>
    <pivotTable tabId="2" name="PivotTable12"/>
  </pivotTables>
  <data>
    <tabular pivotCacheId="79876019">
      <items count="19">
        <i x="2" s="1"/>
        <i x="11" s="1"/>
        <i x="17" s="1"/>
        <i x="6" s="1"/>
        <i x="10" s="1"/>
        <i x="14" s="1"/>
        <i x="3" s="1"/>
        <i x="9" s="1"/>
        <i x="13" s="1"/>
        <i x="12" s="1"/>
        <i x="5" s="1"/>
        <i x="1" s="1"/>
        <i x="18" s="1"/>
        <i x="7" s="1"/>
        <i x="8" s="1"/>
        <i x="4" s="1"/>
        <i x="16" s="1"/>
        <i x="1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LINE" xr10:uid="{F658571E-A5F0-4DAA-9B8E-ED7D51403AE4}" sourceName="PRODUCTLINE">
  <pivotTables>
    <pivotTable tabId="2" name="PivotTable2"/>
    <pivotTable tabId="2" name="PivotTable1"/>
    <pivotTable tabId="2" name="PivotTable10"/>
    <pivotTable tabId="2" name="PivotTable11"/>
    <pivotTable tabId="2" name="PivotTable3"/>
    <pivotTable tabId="2" name="PivotTable4"/>
    <pivotTable tabId="2" name="PivotTable5"/>
    <pivotTable tabId="2" name="PivotTable6"/>
    <pivotTable tabId="2" name="PivotTable7"/>
    <pivotTable tabId="2" name="PivotTable8"/>
    <pivotTable tabId="2" name="PivotTable9"/>
    <pivotTable tabId="2" name="PivotTable12"/>
  </pivotTables>
  <data>
    <tabular pivotCacheId="79876019">
      <items count="7">
        <i x="1" s="1"/>
        <i x="0" s="1"/>
        <i x="4" s="1"/>
        <i x="5" s="1"/>
        <i x="6"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DATE" xr10:uid="{F66C742C-76EE-4BCE-A22E-D4F1178F3140}" sourceName="Years (ORDERDATE)">
  <pivotTables>
    <pivotTable tabId="2" name="PivotTable2"/>
    <pivotTable tabId="2" name="PivotTable1"/>
    <pivotTable tabId="2" name="PivotTable10"/>
    <pivotTable tabId="2" name="PivotTable11"/>
    <pivotTable tabId="2" name="PivotTable3"/>
    <pivotTable tabId="2" name="PivotTable4"/>
    <pivotTable tabId="2" name="PivotTable5"/>
    <pivotTable tabId="2" name="PivotTable6"/>
    <pivotTable tabId="2" name="PivotTable7"/>
    <pivotTable tabId="2" name="PivotTable8"/>
    <pivotTable tabId="2" name="PivotTable9"/>
    <pivotTable tabId="2" name="PivotTable12"/>
  </pivotTables>
  <data>
    <tabular pivotCacheId="79876019">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5E03A561-D7E0-4EEB-8617-46FC85451E5A}" cache="Slicer_COUNTRY" caption="COUNTRY" columnCount="2" style="Custom Slicer" rowHeight="241300"/>
  <slicer name="PRODUCT LINE" xr10:uid="{54798A19-BC68-49FE-A6F6-BF2CCE095DE8}" cache="Slicer_PRODUCTLINE" caption="PRODUCT LINE" style="Custom Slicer" rowHeight="457200"/>
  <slicer name="Years" xr10:uid="{13CDE678-4868-41CA-8363-5C2D73605AD5}" cache="Slicer_Years__ORDERDATE" caption="YEAR" style="Custom Slicer"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0.34998626667073579"/>
  </sheetPr>
  <dimension ref="A1:S2824"/>
  <sheetViews>
    <sheetView workbookViewId="0">
      <pane ySplit="1" topLeftCell="A2" activePane="bottomLeft" state="frozen"/>
      <selection pane="bottomLeft" activeCell="J72" sqref="J72"/>
    </sheetView>
  </sheetViews>
  <sheetFormatPr defaultRowHeight="15" x14ac:dyDescent="0.25"/>
  <cols>
    <col min="1" max="1" width="14.85546875" bestFit="1" customWidth="1"/>
    <col min="2" max="2" width="14.42578125" bestFit="1" customWidth="1"/>
    <col min="3" max="3" width="31.7109375" bestFit="1" customWidth="1"/>
    <col min="4" max="4" width="14.42578125" bestFit="1" customWidth="1"/>
    <col min="5" max="5" width="11.42578125" bestFit="1" customWidth="1"/>
    <col min="6" max="6" width="14" bestFit="1" customWidth="1"/>
    <col min="7" max="7" width="9" bestFit="1" customWidth="1"/>
    <col min="8" max="8" width="18.85546875" bestFit="1" customWidth="1"/>
    <col min="9" max="9" width="18.5703125" bestFit="1" customWidth="1"/>
    <col min="10" max="10" width="10.7109375" bestFit="1" customWidth="1"/>
    <col min="11" max="11" width="6" bestFit="1" customWidth="1"/>
    <col min="12" max="12" width="8" bestFit="1" customWidth="1"/>
    <col min="13" max="13" width="12.5703125" bestFit="1" customWidth="1"/>
    <col min="14" max="14" width="11.5703125" style="1" bestFit="1" customWidth="1"/>
    <col min="15" max="15" width="9.85546875" bestFit="1" customWidth="1"/>
    <col min="16" max="16" width="7.42578125" bestFit="1" customWidth="1"/>
    <col min="17" max="17" width="10.7109375" bestFit="1" customWidth="1"/>
    <col min="18" max="18" width="8.28515625" bestFit="1" customWidth="1"/>
    <col min="19" max="19" width="16" bestFit="1" customWidth="1"/>
  </cols>
  <sheetData>
    <row r="1" spans="1:19" ht="14.25" customHeight="1" x14ac:dyDescent="0.25">
      <c r="A1" t="s">
        <v>0</v>
      </c>
      <c r="B1" t="s">
        <v>1</v>
      </c>
      <c r="C1" t="s">
        <v>2</v>
      </c>
      <c r="D1" t="s">
        <v>3</v>
      </c>
      <c r="E1" t="s">
        <v>4</v>
      </c>
      <c r="F1" t="s">
        <v>5</v>
      </c>
      <c r="G1" t="s">
        <v>6</v>
      </c>
      <c r="H1" t="s">
        <v>7</v>
      </c>
      <c r="I1" t="s">
        <v>8</v>
      </c>
      <c r="J1" t="s">
        <v>9</v>
      </c>
      <c r="K1" t="s">
        <v>10</v>
      </c>
      <c r="L1" t="s">
        <v>11</v>
      </c>
      <c r="M1" t="s">
        <v>12</v>
      </c>
      <c r="N1" s="1" t="s">
        <v>13</v>
      </c>
      <c r="O1" t="s">
        <v>14</v>
      </c>
      <c r="P1" t="s">
        <v>15</v>
      </c>
      <c r="Q1" t="s">
        <v>16</v>
      </c>
      <c r="R1" t="s">
        <v>17</v>
      </c>
      <c r="S1" t="s">
        <v>18</v>
      </c>
    </row>
    <row r="2" spans="1:19" x14ac:dyDescent="0.25">
      <c r="A2">
        <v>10168</v>
      </c>
      <c r="B2" t="s">
        <v>19</v>
      </c>
      <c r="C2" t="s">
        <v>38</v>
      </c>
      <c r="D2" t="s">
        <v>39</v>
      </c>
      <c r="E2" t="s">
        <v>22</v>
      </c>
      <c r="F2" t="s">
        <v>23</v>
      </c>
      <c r="G2" t="s">
        <v>33</v>
      </c>
      <c r="H2">
        <v>1</v>
      </c>
      <c r="I2">
        <v>36</v>
      </c>
      <c r="J2">
        <v>96.66</v>
      </c>
      <c r="K2">
        <v>95</v>
      </c>
      <c r="L2">
        <v>3479.76</v>
      </c>
      <c r="M2">
        <v>59.76</v>
      </c>
      <c r="N2" s="1">
        <v>37922</v>
      </c>
      <c r="O2" t="s">
        <v>25</v>
      </c>
      <c r="P2">
        <v>4</v>
      </c>
      <c r="Q2">
        <v>10</v>
      </c>
      <c r="R2">
        <v>2003</v>
      </c>
      <c r="S2" t="s">
        <v>26</v>
      </c>
    </row>
    <row r="3" spans="1:19" x14ac:dyDescent="0.25">
      <c r="A3">
        <v>10188</v>
      </c>
      <c r="B3" t="s">
        <v>19</v>
      </c>
      <c r="C3" t="s">
        <v>42</v>
      </c>
      <c r="D3" t="s">
        <v>43</v>
      </c>
      <c r="E3" t="s">
        <v>44</v>
      </c>
      <c r="F3" t="s">
        <v>30</v>
      </c>
      <c r="G3" t="s">
        <v>33</v>
      </c>
      <c r="H3">
        <v>1</v>
      </c>
      <c r="I3">
        <v>48</v>
      </c>
      <c r="J3">
        <v>100</v>
      </c>
      <c r="K3">
        <v>95</v>
      </c>
      <c r="L3">
        <v>5512.32</v>
      </c>
      <c r="M3">
        <v>952.32</v>
      </c>
      <c r="N3" s="1">
        <v>37943</v>
      </c>
      <c r="O3" t="s">
        <v>25</v>
      </c>
      <c r="P3">
        <v>4</v>
      </c>
      <c r="Q3">
        <v>11</v>
      </c>
      <c r="R3">
        <v>2003</v>
      </c>
      <c r="S3" t="s">
        <v>26</v>
      </c>
    </row>
    <row r="4" spans="1:19" x14ac:dyDescent="0.25">
      <c r="A4">
        <v>10223</v>
      </c>
      <c r="B4" t="s">
        <v>19</v>
      </c>
      <c r="C4" t="s">
        <v>47</v>
      </c>
      <c r="D4" t="s">
        <v>48</v>
      </c>
      <c r="E4" t="s">
        <v>49</v>
      </c>
      <c r="F4" t="s">
        <v>50</v>
      </c>
      <c r="G4" t="s">
        <v>33</v>
      </c>
      <c r="H4">
        <v>1</v>
      </c>
      <c r="I4">
        <v>37</v>
      </c>
      <c r="J4">
        <v>100</v>
      </c>
      <c r="K4">
        <v>95</v>
      </c>
      <c r="L4">
        <v>3965.66</v>
      </c>
      <c r="M4">
        <v>450.66</v>
      </c>
      <c r="N4" s="1">
        <v>38037</v>
      </c>
      <c r="O4" t="s">
        <v>25</v>
      </c>
      <c r="P4">
        <v>1</v>
      </c>
      <c r="Q4">
        <v>2</v>
      </c>
      <c r="R4">
        <v>2004</v>
      </c>
      <c r="S4" t="s">
        <v>26</v>
      </c>
    </row>
    <row r="5" spans="1:19" x14ac:dyDescent="0.25">
      <c r="A5">
        <v>10275</v>
      </c>
      <c r="B5" t="s">
        <v>19</v>
      </c>
      <c r="C5" t="s">
        <v>56</v>
      </c>
      <c r="D5" t="s">
        <v>57</v>
      </c>
      <c r="E5" t="s">
        <v>29</v>
      </c>
      <c r="F5" t="s">
        <v>30</v>
      </c>
      <c r="G5" t="s">
        <v>33</v>
      </c>
      <c r="H5">
        <v>1</v>
      </c>
      <c r="I5">
        <v>45</v>
      </c>
      <c r="J5">
        <v>92.83</v>
      </c>
      <c r="K5">
        <v>95</v>
      </c>
      <c r="L5">
        <v>4177.3500000000004</v>
      </c>
      <c r="M5">
        <v>-97.65</v>
      </c>
      <c r="N5" s="1">
        <v>38191</v>
      </c>
      <c r="O5" t="s">
        <v>25</v>
      </c>
      <c r="P5">
        <v>3</v>
      </c>
      <c r="Q5">
        <v>7</v>
      </c>
      <c r="R5">
        <v>2004</v>
      </c>
      <c r="S5" t="s">
        <v>26</v>
      </c>
    </row>
    <row r="6" spans="1:19" x14ac:dyDescent="0.25">
      <c r="A6">
        <v>10318</v>
      </c>
      <c r="B6" t="s">
        <v>19</v>
      </c>
      <c r="C6" t="s">
        <v>65</v>
      </c>
      <c r="D6" t="s">
        <v>66</v>
      </c>
      <c r="E6" t="s">
        <v>22</v>
      </c>
      <c r="F6" t="s">
        <v>23</v>
      </c>
      <c r="G6" t="s">
        <v>33</v>
      </c>
      <c r="H6">
        <v>1</v>
      </c>
      <c r="I6">
        <v>46</v>
      </c>
      <c r="J6">
        <v>94.74</v>
      </c>
      <c r="K6">
        <v>95</v>
      </c>
      <c r="L6">
        <v>4358.04</v>
      </c>
      <c r="M6">
        <v>-11.96</v>
      </c>
      <c r="N6" s="1">
        <v>38293</v>
      </c>
      <c r="O6" t="s">
        <v>25</v>
      </c>
      <c r="P6">
        <v>4</v>
      </c>
      <c r="Q6">
        <v>11</v>
      </c>
      <c r="R6">
        <v>2004</v>
      </c>
      <c r="S6" t="s">
        <v>26</v>
      </c>
    </row>
    <row r="7" spans="1:19" x14ac:dyDescent="0.25">
      <c r="A7">
        <v>10329</v>
      </c>
      <c r="B7" t="s">
        <v>19</v>
      </c>
      <c r="C7" t="s">
        <v>20</v>
      </c>
      <c r="D7" t="s">
        <v>21</v>
      </c>
      <c r="E7" t="s">
        <v>22</v>
      </c>
      <c r="F7" t="s">
        <v>23</v>
      </c>
      <c r="G7" t="s">
        <v>33</v>
      </c>
      <c r="H7">
        <v>1</v>
      </c>
      <c r="I7">
        <v>42</v>
      </c>
      <c r="J7">
        <v>100</v>
      </c>
      <c r="K7">
        <v>95</v>
      </c>
      <c r="L7">
        <v>4396.1400000000003</v>
      </c>
      <c r="M7">
        <v>406.14</v>
      </c>
      <c r="N7" s="1">
        <v>38306</v>
      </c>
      <c r="O7" t="s">
        <v>25</v>
      </c>
      <c r="P7">
        <v>4</v>
      </c>
      <c r="Q7">
        <v>11</v>
      </c>
      <c r="R7">
        <v>2004</v>
      </c>
      <c r="S7" t="s">
        <v>26</v>
      </c>
    </row>
    <row r="8" spans="1:19" x14ac:dyDescent="0.25">
      <c r="A8">
        <v>10112</v>
      </c>
      <c r="B8" t="s">
        <v>82</v>
      </c>
      <c r="C8" t="s">
        <v>84</v>
      </c>
      <c r="D8" t="s">
        <v>85</v>
      </c>
      <c r="E8" t="s">
        <v>86</v>
      </c>
      <c r="F8" t="s">
        <v>30</v>
      </c>
      <c r="G8" t="s">
        <v>70</v>
      </c>
      <c r="H8">
        <v>1</v>
      </c>
      <c r="I8">
        <v>29</v>
      </c>
      <c r="J8">
        <v>100</v>
      </c>
      <c r="K8">
        <v>214</v>
      </c>
      <c r="L8">
        <v>7209.11</v>
      </c>
      <c r="M8">
        <v>1003.11</v>
      </c>
      <c r="N8" s="1">
        <v>37704</v>
      </c>
      <c r="O8" t="s">
        <v>25</v>
      </c>
      <c r="P8">
        <v>1</v>
      </c>
      <c r="Q8">
        <v>3</v>
      </c>
      <c r="R8">
        <v>2003</v>
      </c>
      <c r="S8" t="s">
        <v>83</v>
      </c>
    </row>
    <row r="9" spans="1:19" x14ac:dyDescent="0.25">
      <c r="A9">
        <v>10163</v>
      </c>
      <c r="B9" t="s">
        <v>82</v>
      </c>
      <c r="C9" t="s">
        <v>90</v>
      </c>
      <c r="D9" t="s">
        <v>21</v>
      </c>
      <c r="E9" t="s">
        <v>22</v>
      </c>
      <c r="F9" t="s">
        <v>23</v>
      </c>
      <c r="G9" t="s">
        <v>33</v>
      </c>
      <c r="H9">
        <v>1</v>
      </c>
      <c r="I9">
        <v>21</v>
      </c>
      <c r="J9">
        <v>100</v>
      </c>
      <c r="K9">
        <v>214</v>
      </c>
      <c r="L9">
        <v>4860.24</v>
      </c>
      <c r="M9">
        <v>366.24</v>
      </c>
      <c r="N9" s="1">
        <v>37914</v>
      </c>
      <c r="O9" t="s">
        <v>25</v>
      </c>
      <c r="P9">
        <v>4</v>
      </c>
      <c r="Q9">
        <v>10</v>
      </c>
      <c r="R9">
        <v>2003</v>
      </c>
      <c r="S9" t="s">
        <v>83</v>
      </c>
    </row>
    <row r="10" spans="1:19" x14ac:dyDescent="0.25">
      <c r="A10">
        <v>10322</v>
      </c>
      <c r="B10" t="s">
        <v>82</v>
      </c>
      <c r="C10" t="s">
        <v>117</v>
      </c>
      <c r="D10" t="s">
        <v>118</v>
      </c>
      <c r="E10" t="s">
        <v>22</v>
      </c>
      <c r="F10" t="s">
        <v>23</v>
      </c>
      <c r="G10" t="s">
        <v>33</v>
      </c>
      <c r="H10">
        <v>1</v>
      </c>
      <c r="I10">
        <v>40</v>
      </c>
      <c r="J10">
        <v>100</v>
      </c>
      <c r="K10">
        <v>214</v>
      </c>
      <c r="L10">
        <v>6000.4</v>
      </c>
      <c r="M10">
        <v>-2559.6</v>
      </c>
      <c r="N10" s="1">
        <v>38295</v>
      </c>
      <c r="O10" t="s">
        <v>25</v>
      </c>
      <c r="P10">
        <v>4</v>
      </c>
      <c r="Q10">
        <v>11</v>
      </c>
      <c r="R10">
        <v>2004</v>
      </c>
      <c r="S10" t="s">
        <v>83</v>
      </c>
    </row>
    <row r="11" spans="1:19" x14ac:dyDescent="0.25">
      <c r="A11">
        <v>10347</v>
      </c>
      <c r="B11" t="s">
        <v>82</v>
      </c>
      <c r="C11" t="s">
        <v>47</v>
      </c>
      <c r="D11" t="s">
        <v>48</v>
      </c>
      <c r="E11" t="s">
        <v>49</v>
      </c>
      <c r="F11" t="s">
        <v>50</v>
      </c>
      <c r="G11" t="s">
        <v>33</v>
      </c>
      <c r="H11">
        <v>1</v>
      </c>
      <c r="I11">
        <v>30</v>
      </c>
      <c r="J11">
        <v>100</v>
      </c>
      <c r="K11">
        <v>214</v>
      </c>
      <c r="L11">
        <v>3944.7</v>
      </c>
      <c r="M11">
        <v>-2475.3000000000002</v>
      </c>
      <c r="N11" s="1">
        <v>38320</v>
      </c>
      <c r="O11" t="s">
        <v>25</v>
      </c>
      <c r="P11">
        <v>4</v>
      </c>
      <c r="Q11">
        <v>11</v>
      </c>
      <c r="R11">
        <v>2004</v>
      </c>
      <c r="S11" t="s">
        <v>83</v>
      </c>
    </row>
    <row r="12" spans="1:19" x14ac:dyDescent="0.25">
      <c r="A12">
        <v>10236</v>
      </c>
      <c r="B12" t="s">
        <v>126</v>
      </c>
      <c r="C12" t="s">
        <v>129</v>
      </c>
      <c r="D12" t="s">
        <v>94</v>
      </c>
      <c r="E12" t="s">
        <v>22</v>
      </c>
      <c r="F12" t="s">
        <v>23</v>
      </c>
      <c r="G12" t="s">
        <v>24</v>
      </c>
      <c r="H12">
        <v>1</v>
      </c>
      <c r="I12">
        <v>22</v>
      </c>
      <c r="J12">
        <v>100</v>
      </c>
      <c r="K12">
        <v>118</v>
      </c>
      <c r="L12">
        <v>2852.08</v>
      </c>
      <c r="M12">
        <v>256.08</v>
      </c>
      <c r="N12" s="1">
        <v>38080</v>
      </c>
      <c r="O12" t="s">
        <v>25</v>
      </c>
      <c r="P12">
        <v>2</v>
      </c>
      <c r="Q12">
        <v>4</v>
      </c>
      <c r="R12">
        <v>2004</v>
      </c>
      <c r="S12" t="s">
        <v>26</v>
      </c>
    </row>
    <row r="13" spans="1:19" x14ac:dyDescent="0.25">
      <c r="A13">
        <v>10298</v>
      </c>
      <c r="B13" t="s">
        <v>126</v>
      </c>
      <c r="C13" t="s">
        <v>130</v>
      </c>
      <c r="D13" t="s">
        <v>57</v>
      </c>
      <c r="E13" t="s">
        <v>29</v>
      </c>
      <c r="F13" t="s">
        <v>30</v>
      </c>
      <c r="G13" t="s">
        <v>33</v>
      </c>
      <c r="H13">
        <v>1</v>
      </c>
      <c r="I13">
        <v>39</v>
      </c>
      <c r="J13">
        <v>96.34</v>
      </c>
      <c r="K13">
        <v>118</v>
      </c>
      <c r="L13">
        <v>3757.26</v>
      </c>
      <c r="M13">
        <v>-844.74</v>
      </c>
      <c r="N13" s="1">
        <v>38257</v>
      </c>
      <c r="O13" t="s">
        <v>25</v>
      </c>
      <c r="P13">
        <v>3</v>
      </c>
      <c r="Q13">
        <v>9</v>
      </c>
      <c r="R13">
        <v>2004</v>
      </c>
      <c r="S13" t="s">
        <v>26</v>
      </c>
    </row>
    <row r="14" spans="1:19" x14ac:dyDescent="0.25">
      <c r="A14">
        <v>10402</v>
      </c>
      <c r="B14" t="s">
        <v>126</v>
      </c>
      <c r="C14" t="s">
        <v>46</v>
      </c>
      <c r="D14" t="s">
        <v>32</v>
      </c>
      <c r="E14" t="s">
        <v>29</v>
      </c>
      <c r="F14" t="s">
        <v>30</v>
      </c>
      <c r="G14" t="s">
        <v>33</v>
      </c>
      <c r="H14">
        <v>1</v>
      </c>
      <c r="I14">
        <v>45</v>
      </c>
      <c r="J14">
        <v>100</v>
      </c>
      <c r="K14">
        <v>118</v>
      </c>
      <c r="L14">
        <v>5833.8</v>
      </c>
      <c r="M14">
        <v>523.79999999999995</v>
      </c>
      <c r="N14" s="1">
        <v>38449</v>
      </c>
      <c r="O14" t="s">
        <v>25</v>
      </c>
      <c r="P14">
        <v>2</v>
      </c>
      <c r="Q14">
        <v>4</v>
      </c>
      <c r="R14">
        <v>2005</v>
      </c>
      <c r="S14" t="s">
        <v>26</v>
      </c>
    </row>
    <row r="15" spans="1:19" x14ac:dyDescent="0.25">
      <c r="A15">
        <v>10210</v>
      </c>
      <c r="B15" t="s">
        <v>133</v>
      </c>
      <c r="C15" t="s">
        <v>127</v>
      </c>
      <c r="D15" t="s">
        <v>128</v>
      </c>
      <c r="E15" t="s">
        <v>107</v>
      </c>
      <c r="F15" t="s">
        <v>50</v>
      </c>
      <c r="G15" t="s">
        <v>33</v>
      </c>
      <c r="H15">
        <v>1</v>
      </c>
      <c r="I15">
        <v>34</v>
      </c>
      <c r="J15">
        <v>100</v>
      </c>
      <c r="K15">
        <v>193</v>
      </c>
      <c r="L15">
        <v>6123.4</v>
      </c>
      <c r="M15">
        <v>-438.6</v>
      </c>
      <c r="N15" s="1">
        <v>37998</v>
      </c>
      <c r="O15" t="s">
        <v>25</v>
      </c>
      <c r="P15">
        <v>1</v>
      </c>
      <c r="Q15">
        <v>1</v>
      </c>
      <c r="R15">
        <v>2004</v>
      </c>
      <c r="S15" t="s">
        <v>26</v>
      </c>
    </row>
    <row r="16" spans="1:19" x14ac:dyDescent="0.25">
      <c r="A16">
        <v>10308</v>
      </c>
      <c r="B16" t="s">
        <v>133</v>
      </c>
      <c r="C16" t="s">
        <v>131</v>
      </c>
      <c r="D16" t="s">
        <v>132</v>
      </c>
      <c r="E16" t="s">
        <v>22</v>
      </c>
      <c r="F16" t="s">
        <v>23</v>
      </c>
      <c r="G16" t="s">
        <v>33</v>
      </c>
      <c r="H16">
        <v>1</v>
      </c>
      <c r="I16">
        <v>20</v>
      </c>
      <c r="J16">
        <v>100</v>
      </c>
      <c r="K16">
        <v>193</v>
      </c>
      <c r="L16">
        <v>4570.3999999999996</v>
      </c>
      <c r="M16">
        <v>710.4</v>
      </c>
      <c r="N16" s="1">
        <v>38275</v>
      </c>
      <c r="O16" t="s">
        <v>25</v>
      </c>
      <c r="P16">
        <v>4</v>
      </c>
      <c r="Q16">
        <v>10</v>
      </c>
      <c r="R16">
        <v>2004</v>
      </c>
      <c r="S16" t="s">
        <v>26</v>
      </c>
    </row>
    <row r="17" spans="1:19" x14ac:dyDescent="0.25">
      <c r="A17">
        <v>10374</v>
      </c>
      <c r="B17" t="s">
        <v>133</v>
      </c>
      <c r="C17" t="s">
        <v>91</v>
      </c>
      <c r="D17" t="s">
        <v>92</v>
      </c>
      <c r="E17" t="s">
        <v>49</v>
      </c>
      <c r="F17" t="s">
        <v>50</v>
      </c>
      <c r="G17" t="s">
        <v>33</v>
      </c>
      <c r="H17">
        <v>1</v>
      </c>
      <c r="I17">
        <v>22</v>
      </c>
      <c r="J17">
        <v>100</v>
      </c>
      <c r="K17">
        <v>193</v>
      </c>
      <c r="L17">
        <v>3834.38</v>
      </c>
      <c r="M17">
        <v>-411.62</v>
      </c>
      <c r="N17" s="1">
        <v>38385</v>
      </c>
      <c r="O17" t="s">
        <v>25</v>
      </c>
      <c r="P17">
        <v>1</v>
      </c>
      <c r="Q17">
        <v>2</v>
      </c>
      <c r="R17">
        <v>2005</v>
      </c>
      <c r="S17" t="s">
        <v>26</v>
      </c>
    </row>
    <row r="18" spans="1:19" x14ac:dyDescent="0.25">
      <c r="A18">
        <v>10261</v>
      </c>
      <c r="B18" t="s">
        <v>134</v>
      </c>
      <c r="C18" t="s">
        <v>123</v>
      </c>
      <c r="D18" t="s">
        <v>124</v>
      </c>
      <c r="E18" t="s">
        <v>99</v>
      </c>
      <c r="F18" t="s">
        <v>23</v>
      </c>
      <c r="G18" t="s">
        <v>33</v>
      </c>
      <c r="H18">
        <v>1</v>
      </c>
      <c r="I18">
        <v>27</v>
      </c>
      <c r="J18">
        <v>100</v>
      </c>
      <c r="K18">
        <v>136</v>
      </c>
      <c r="L18">
        <v>3378.24</v>
      </c>
      <c r="M18">
        <v>-293.76</v>
      </c>
      <c r="N18" s="1">
        <v>38155</v>
      </c>
      <c r="O18" t="s">
        <v>25</v>
      </c>
      <c r="P18">
        <v>2</v>
      </c>
      <c r="Q18">
        <v>6</v>
      </c>
      <c r="R18">
        <v>2004</v>
      </c>
      <c r="S18" t="s">
        <v>83</v>
      </c>
    </row>
    <row r="19" spans="1:19" x14ac:dyDescent="0.25">
      <c r="A19">
        <v>10295</v>
      </c>
      <c r="B19" t="s">
        <v>134</v>
      </c>
      <c r="C19" t="s">
        <v>156</v>
      </c>
      <c r="D19" t="s">
        <v>157</v>
      </c>
      <c r="E19" t="s">
        <v>22</v>
      </c>
      <c r="F19" t="s">
        <v>23</v>
      </c>
      <c r="G19" t="s">
        <v>33</v>
      </c>
      <c r="H19">
        <v>1</v>
      </c>
      <c r="I19">
        <v>24</v>
      </c>
      <c r="J19">
        <v>100</v>
      </c>
      <c r="K19">
        <v>136</v>
      </c>
      <c r="L19">
        <v>3427.2</v>
      </c>
      <c r="M19">
        <v>163.19999999999999</v>
      </c>
      <c r="N19" s="1">
        <v>38240</v>
      </c>
      <c r="O19" t="s">
        <v>25</v>
      </c>
      <c r="P19">
        <v>3</v>
      </c>
      <c r="Q19">
        <v>9</v>
      </c>
      <c r="R19">
        <v>2004</v>
      </c>
      <c r="S19" t="s">
        <v>83</v>
      </c>
    </row>
    <row r="20" spans="1:19" x14ac:dyDescent="0.25">
      <c r="A20">
        <v>10150</v>
      </c>
      <c r="B20" t="s">
        <v>165</v>
      </c>
      <c r="C20" t="s">
        <v>88</v>
      </c>
      <c r="D20" t="s">
        <v>89</v>
      </c>
      <c r="E20" t="s">
        <v>89</v>
      </c>
      <c r="F20" t="s">
        <v>50</v>
      </c>
      <c r="G20" t="s">
        <v>33</v>
      </c>
      <c r="H20">
        <v>1</v>
      </c>
      <c r="I20">
        <v>20</v>
      </c>
      <c r="J20">
        <v>100</v>
      </c>
      <c r="K20">
        <v>147</v>
      </c>
      <c r="L20">
        <v>3191.2</v>
      </c>
      <c r="M20">
        <v>251.2</v>
      </c>
      <c r="N20" s="1">
        <v>37883</v>
      </c>
      <c r="O20" t="s">
        <v>25</v>
      </c>
      <c r="P20">
        <v>3</v>
      </c>
      <c r="Q20">
        <v>9</v>
      </c>
      <c r="R20">
        <v>2003</v>
      </c>
      <c r="S20" t="s">
        <v>83</v>
      </c>
    </row>
    <row r="21" spans="1:19" x14ac:dyDescent="0.25">
      <c r="A21">
        <v>10183</v>
      </c>
      <c r="B21" t="s">
        <v>165</v>
      </c>
      <c r="C21" t="s">
        <v>93</v>
      </c>
      <c r="D21" t="s">
        <v>94</v>
      </c>
      <c r="E21" t="s">
        <v>22</v>
      </c>
      <c r="F21" t="s">
        <v>23</v>
      </c>
      <c r="G21" t="s">
        <v>33</v>
      </c>
      <c r="H21">
        <v>1</v>
      </c>
      <c r="I21">
        <v>28</v>
      </c>
      <c r="J21">
        <v>100</v>
      </c>
      <c r="K21">
        <v>147</v>
      </c>
      <c r="L21">
        <v>3433.36</v>
      </c>
      <c r="M21">
        <v>-682.64</v>
      </c>
      <c r="N21" s="1">
        <v>37938</v>
      </c>
      <c r="O21" t="s">
        <v>25</v>
      </c>
      <c r="P21">
        <v>4</v>
      </c>
      <c r="Q21">
        <v>11</v>
      </c>
      <c r="R21">
        <v>2003</v>
      </c>
      <c r="S21" t="s">
        <v>83</v>
      </c>
    </row>
    <row r="22" spans="1:19" x14ac:dyDescent="0.25">
      <c r="A22">
        <v>10395</v>
      </c>
      <c r="B22" t="s">
        <v>191</v>
      </c>
      <c r="C22" t="s">
        <v>31</v>
      </c>
      <c r="D22" t="s">
        <v>32</v>
      </c>
      <c r="E22" t="s">
        <v>29</v>
      </c>
      <c r="F22" t="s">
        <v>30</v>
      </c>
      <c r="G22" t="s">
        <v>24</v>
      </c>
      <c r="H22">
        <v>1</v>
      </c>
      <c r="I22">
        <v>33</v>
      </c>
      <c r="J22">
        <v>69.12</v>
      </c>
      <c r="K22">
        <v>207</v>
      </c>
      <c r="L22">
        <v>2280.96</v>
      </c>
      <c r="M22">
        <v>-4550.04</v>
      </c>
      <c r="N22" s="1">
        <v>38428</v>
      </c>
      <c r="O22" t="s">
        <v>25</v>
      </c>
      <c r="P22">
        <v>1</v>
      </c>
      <c r="Q22">
        <v>3</v>
      </c>
      <c r="R22">
        <v>2005</v>
      </c>
      <c r="S22" t="s">
        <v>83</v>
      </c>
    </row>
    <row r="23" spans="1:19" x14ac:dyDescent="0.25">
      <c r="A23">
        <v>10174</v>
      </c>
      <c r="B23" t="s">
        <v>201</v>
      </c>
      <c r="C23" t="s">
        <v>91</v>
      </c>
      <c r="D23" t="s">
        <v>92</v>
      </c>
      <c r="E23" t="s">
        <v>49</v>
      </c>
      <c r="F23" t="s">
        <v>50</v>
      </c>
      <c r="G23" t="s">
        <v>33</v>
      </c>
      <c r="H23">
        <v>1</v>
      </c>
      <c r="I23">
        <v>43</v>
      </c>
      <c r="J23">
        <v>100</v>
      </c>
      <c r="K23">
        <v>136</v>
      </c>
      <c r="L23">
        <v>6817.22</v>
      </c>
      <c r="M23">
        <v>969.22</v>
      </c>
      <c r="N23" s="1">
        <v>37931</v>
      </c>
      <c r="O23" t="s">
        <v>25</v>
      </c>
      <c r="P23">
        <v>4</v>
      </c>
      <c r="Q23">
        <v>11</v>
      </c>
      <c r="R23">
        <v>2003</v>
      </c>
      <c r="S23" t="s">
        <v>202</v>
      </c>
    </row>
    <row r="24" spans="1:19" x14ac:dyDescent="0.25">
      <c r="A24">
        <v>10216</v>
      </c>
      <c r="B24" t="s">
        <v>201</v>
      </c>
      <c r="C24" t="s">
        <v>113</v>
      </c>
      <c r="D24" t="s">
        <v>114</v>
      </c>
      <c r="E24" t="s">
        <v>29</v>
      </c>
      <c r="F24" t="s">
        <v>30</v>
      </c>
      <c r="G24" t="s">
        <v>33</v>
      </c>
      <c r="H24">
        <v>1</v>
      </c>
      <c r="I24">
        <v>43</v>
      </c>
      <c r="J24">
        <v>100</v>
      </c>
      <c r="K24">
        <v>136</v>
      </c>
      <c r="L24">
        <v>5759.42</v>
      </c>
      <c r="M24">
        <v>-88.58</v>
      </c>
      <c r="N24" s="1">
        <v>38019</v>
      </c>
      <c r="O24" t="s">
        <v>25</v>
      </c>
      <c r="P24">
        <v>1</v>
      </c>
      <c r="Q24">
        <v>2</v>
      </c>
      <c r="R24">
        <v>2004</v>
      </c>
      <c r="S24" t="s">
        <v>202</v>
      </c>
    </row>
    <row r="25" spans="1:19" x14ac:dyDescent="0.25">
      <c r="A25">
        <v>10381</v>
      </c>
      <c r="B25" t="s">
        <v>201</v>
      </c>
      <c r="C25" t="s">
        <v>36</v>
      </c>
      <c r="D25" t="s">
        <v>37</v>
      </c>
      <c r="E25" t="s">
        <v>22</v>
      </c>
      <c r="F25" t="s">
        <v>23</v>
      </c>
      <c r="G25" t="s">
        <v>24</v>
      </c>
      <c r="H25">
        <v>1</v>
      </c>
      <c r="I25">
        <v>20</v>
      </c>
      <c r="J25">
        <v>100</v>
      </c>
      <c r="K25">
        <v>136</v>
      </c>
      <c r="L25">
        <v>2952</v>
      </c>
      <c r="M25">
        <v>232</v>
      </c>
      <c r="N25" s="1">
        <v>38400</v>
      </c>
      <c r="O25" t="s">
        <v>25</v>
      </c>
      <c r="P25">
        <v>1</v>
      </c>
      <c r="Q25">
        <v>2</v>
      </c>
      <c r="R25">
        <v>2005</v>
      </c>
      <c r="S25" t="s">
        <v>202</v>
      </c>
    </row>
    <row r="26" spans="1:19" x14ac:dyDescent="0.25">
      <c r="A26">
        <v>10107</v>
      </c>
      <c r="B26" t="s">
        <v>203</v>
      </c>
      <c r="C26" t="s">
        <v>20</v>
      </c>
      <c r="D26" t="s">
        <v>21</v>
      </c>
      <c r="E26" t="s">
        <v>22</v>
      </c>
      <c r="F26" t="s">
        <v>23</v>
      </c>
      <c r="G26" t="s">
        <v>33</v>
      </c>
      <c r="H26">
        <v>1</v>
      </c>
      <c r="I26">
        <v>21</v>
      </c>
      <c r="J26">
        <v>100</v>
      </c>
      <c r="K26">
        <v>150</v>
      </c>
      <c r="L26">
        <v>3036.6</v>
      </c>
      <c r="M26">
        <v>-113.4</v>
      </c>
      <c r="N26" s="1">
        <v>37676</v>
      </c>
      <c r="O26" t="s">
        <v>25</v>
      </c>
      <c r="P26">
        <v>1</v>
      </c>
      <c r="Q26">
        <v>2</v>
      </c>
      <c r="R26">
        <v>2003</v>
      </c>
      <c r="S26" t="s">
        <v>26</v>
      </c>
    </row>
    <row r="27" spans="1:19" x14ac:dyDescent="0.25">
      <c r="A27">
        <v>10134</v>
      </c>
      <c r="B27" t="s">
        <v>203</v>
      </c>
      <c r="C27" t="s">
        <v>31</v>
      </c>
      <c r="D27" t="s">
        <v>32</v>
      </c>
      <c r="E27" t="s">
        <v>29</v>
      </c>
      <c r="F27" t="s">
        <v>30</v>
      </c>
      <c r="G27" t="s">
        <v>24</v>
      </c>
      <c r="H27">
        <v>1</v>
      </c>
      <c r="I27">
        <v>20</v>
      </c>
      <c r="J27">
        <v>100</v>
      </c>
      <c r="K27">
        <v>150</v>
      </c>
      <c r="L27">
        <v>2711.2</v>
      </c>
      <c r="M27">
        <v>-288.8</v>
      </c>
      <c r="N27" s="1">
        <v>37803</v>
      </c>
      <c r="O27" t="s">
        <v>25</v>
      </c>
      <c r="P27">
        <v>3</v>
      </c>
      <c r="Q27">
        <v>7</v>
      </c>
      <c r="R27">
        <v>2003</v>
      </c>
      <c r="S27" t="s">
        <v>26</v>
      </c>
    </row>
    <row r="28" spans="1:19" x14ac:dyDescent="0.25">
      <c r="A28">
        <v>10189</v>
      </c>
      <c r="B28" t="s">
        <v>203</v>
      </c>
      <c r="C28" t="s">
        <v>34</v>
      </c>
      <c r="D28" t="s">
        <v>35</v>
      </c>
      <c r="E28" t="s">
        <v>22</v>
      </c>
      <c r="F28" t="s">
        <v>23</v>
      </c>
      <c r="G28" t="s">
        <v>33</v>
      </c>
      <c r="H28">
        <v>1</v>
      </c>
      <c r="I28">
        <v>28</v>
      </c>
      <c r="J28">
        <v>100</v>
      </c>
      <c r="K28">
        <v>150</v>
      </c>
      <c r="L28">
        <v>4512.4799999999996</v>
      </c>
      <c r="M28">
        <v>312.48</v>
      </c>
      <c r="N28" s="1">
        <v>37943</v>
      </c>
      <c r="O28" t="s">
        <v>25</v>
      </c>
      <c r="P28">
        <v>4</v>
      </c>
      <c r="Q28">
        <v>11</v>
      </c>
      <c r="R28">
        <v>2003</v>
      </c>
      <c r="S28" t="s">
        <v>26</v>
      </c>
    </row>
    <row r="29" spans="1:19" x14ac:dyDescent="0.25">
      <c r="A29">
        <v>10201</v>
      </c>
      <c r="B29" t="s">
        <v>203</v>
      </c>
      <c r="C29" t="s">
        <v>45</v>
      </c>
      <c r="D29" t="s">
        <v>37</v>
      </c>
      <c r="E29" t="s">
        <v>22</v>
      </c>
      <c r="F29" t="s">
        <v>23</v>
      </c>
      <c r="G29" t="s">
        <v>33</v>
      </c>
      <c r="H29">
        <v>1</v>
      </c>
      <c r="I29">
        <v>25</v>
      </c>
      <c r="J29">
        <v>100</v>
      </c>
      <c r="K29">
        <v>150</v>
      </c>
      <c r="L29">
        <v>4029</v>
      </c>
      <c r="M29">
        <v>279</v>
      </c>
      <c r="N29" s="1">
        <v>37956</v>
      </c>
      <c r="O29" t="s">
        <v>25</v>
      </c>
      <c r="P29">
        <v>4</v>
      </c>
      <c r="Q29">
        <v>12</v>
      </c>
      <c r="R29">
        <v>2003</v>
      </c>
      <c r="S29" t="s">
        <v>26</v>
      </c>
    </row>
    <row r="30" spans="1:19" x14ac:dyDescent="0.25">
      <c r="A30">
        <v>10251</v>
      </c>
      <c r="B30" t="s">
        <v>203</v>
      </c>
      <c r="C30" t="s">
        <v>52</v>
      </c>
      <c r="D30" t="s">
        <v>53</v>
      </c>
      <c r="E30" t="s">
        <v>22</v>
      </c>
      <c r="F30" t="s">
        <v>23</v>
      </c>
      <c r="G30" t="s">
        <v>70</v>
      </c>
      <c r="H30">
        <v>1</v>
      </c>
      <c r="I30">
        <v>46</v>
      </c>
      <c r="J30">
        <v>100</v>
      </c>
      <c r="K30">
        <v>150</v>
      </c>
      <c r="L30">
        <v>7552.28</v>
      </c>
      <c r="M30">
        <v>652.28</v>
      </c>
      <c r="N30" s="1">
        <v>38125</v>
      </c>
      <c r="O30" t="s">
        <v>25</v>
      </c>
      <c r="P30">
        <v>2</v>
      </c>
      <c r="Q30">
        <v>5</v>
      </c>
      <c r="R30">
        <v>2004</v>
      </c>
      <c r="S30" t="s">
        <v>26</v>
      </c>
    </row>
    <row r="31" spans="1:19" x14ac:dyDescent="0.25">
      <c r="A31">
        <v>10263</v>
      </c>
      <c r="B31" t="s">
        <v>203</v>
      </c>
      <c r="C31" t="s">
        <v>54</v>
      </c>
      <c r="D31" t="s">
        <v>55</v>
      </c>
      <c r="E31" t="s">
        <v>22</v>
      </c>
      <c r="F31" t="s">
        <v>23</v>
      </c>
      <c r="G31" t="s">
        <v>33</v>
      </c>
      <c r="H31">
        <v>1</v>
      </c>
      <c r="I31">
        <v>48</v>
      </c>
      <c r="J31">
        <v>100</v>
      </c>
      <c r="K31">
        <v>150</v>
      </c>
      <c r="L31">
        <v>6434.4</v>
      </c>
      <c r="M31">
        <v>-765.6</v>
      </c>
      <c r="N31" s="1">
        <v>38166</v>
      </c>
      <c r="O31" t="s">
        <v>25</v>
      </c>
      <c r="P31">
        <v>2</v>
      </c>
      <c r="Q31">
        <v>6</v>
      </c>
      <c r="R31">
        <v>2004</v>
      </c>
      <c r="S31" t="s">
        <v>26</v>
      </c>
    </row>
    <row r="32" spans="1:19" x14ac:dyDescent="0.25">
      <c r="A32">
        <v>10362</v>
      </c>
      <c r="B32" t="s">
        <v>203</v>
      </c>
      <c r="C32" t="s">
        <v>38</v>
      </c>
      <c r="D32" t="s">
        <v>39</v>
      </c>
      <c r="E32" t="s">
        <v>22</v>
      </c>
      <c r="F32" t="s">
        <v>23</v>
      </c>
      <c r="G32" t="s">
        <v>33</v>
      </c>
      <c r="H32">
        <v>1</v>
      </c>
      <c r="I32">
        <v>22</v>
      </c>
      <c r="J32">
        <v>100</v>
      </c>
      <c r="K32">
        <v>150</v>
      </c>
      <c r="L32">
        <v>3877.06</v>
      </c>
      <c r="M32">
        <v>577.05999999999995</v>
      </c>
      <c r="N32" s="1">
        <v>38357</v>
      </c>
      <c r="O32" t="s">
        <v>25</v>
      </c>
      <c r="P32">
        <v>1</v>
      </c>
      <c r="Q32">
        <v>1</v>
      </c>
      <c r="R32">
        <v>2005</v>
      </c>
      <c r="S32" t="s">
        <v>26</v>
      </c>
    </row>
    <row r="33" spans="1:19" x14ac:dyDescent="0.25">
      <c r="A33">
        <v>10417</v>
      </c>
      <c r="B33" t="s">
        <v>203</v>
      </c>
      <c r="C33" t="s">
        <v>78</v>
      </c>
      <c r="D33" t="s">
        <v>79</v>
      </c>
      <c r="E33" t="s">
        <v>80</v>
      </c>
      <c r="F33" t="s">
        <v>30</v>
      </c>
      <c r="G33" t="s">
        <v>33</v>
      </c>
      <c r="H33">
        <v>1</v>
      </c>
      <c r="I33">
        <v>21</v>
      </c>
      <c r="J33">
        <v>100</v>
      </c>
      <c r="K33">
        <v>150</v>
      </c>
      <c r="L33">
        <v>3447.78</v>
      </c>
      <c r="M33">
        <v>297.77999999999997</v>
      </c>
      <c r="N33" s="1">
        <v>38485</v>
      </c>
      <c r="O33" t="s">
        <v>81</v>
      </c>
      <c r="P33">
        <v>2</v>
      </c>
      <c r="Q33">
        <v>5</v>
      </c>
      <c r="R33">
        <v>2005</v>
      </c>
      <c r="S33" t="s">
        <v>26</v>
      </c>
    </row>
    <row r="34" spans="1:19" x14ac:dyDescent="0.25">
      <c r="A34">
        <v>10104</v>
      </c>
      <c r="B34" t="s">
        <v>205</v>
      </c>
      <c r="C34" t="s">
        <v>78</v>
      </c>
      <c r="D34" t="s">
        <v>79</v>
      </c>
      <c r="E34" t="s">
        <v>80</v>
      </c>
      <c r="F34" t="s">
        <v>30</v>
      </c>
      <c r="G34" t="s">
        <v>33</v>
      </c>
      <c r="H34">
        <v>1</v>
      </c>
      <c r="I34">
        <v>34</v>
      </c>
      <c r="J34">
        <v>100</v>
      </c>
      <c r="K34">
        <v>151</v>
      </c>
      <c r="L34">
        <v>5958.5</v>
      </c>
      <c r="M34">
        <v>824.5</v>
      </c>
      <c r="N34" s="1">
        <v>37652</v>
      </c>
      <c r="O34" t="s">
        <v>25</v>
      </c>
      <c r="P34">
        <v>1</v>
      </c>
      <c r="Q34">
        <v>1</v>
      </c>
      <c r="R34">
        <v>2003</v>
      </c>
      <c r="S34" t="s">
        <v>83</v>
      </c>
    </row>
    <row r="35" spans="1:19" x14ac:dyDescent="0.25">
      <c r="A35">
        <v>10230</v>
      </c>
      <c r="B35" t="s">
        <v>205</v>
      </c>
      <c r="C35" t="s">
        <v>187</v>
      </c>
      <c r="D35" t="s">
        <v>188</v>
      </c>
      <c r="E35" t="s">
        <v>180</v>
      </c>
      <c r="F35" t="s">
        <v>30</v>
      </c>
      <c r="G35" t="s">
        <v>70</v>
      </c>
      <c r="H35">
        <v>1</v>
      </c>
      <c r="I35">
        <v>43</v>
      </c>
      <c r="J35">
        <v>100</v>
      </c>
      <c r="K35">
        <v>151</v>
      </c>
      <c r="L35">
        <v>7016.31</v>
      </c>
      <c r="M35">
        <v>523.30999999999995</v>
      </c>
      <c r="N35" s="1">
        <v>38061</v>
      </c>
      <c r="O35" t="s">
        <v>25</v>
      </c>
      <c r="P35">
        <v>1</v>
      </c>
      <c r="Q35">
        <v>3</v>
      </c>
      <c r="R35">
        <v>2004</v>
      </c>
      <c r="S35" t="s">
        <v>83</v>
      </c>
    </row>
    <row r="36" spans="1:19" x14ac:dyDescent="0.25">
      <c r="A36">
        <v>10324</v>
      </c>
      <c r="B36" t="s">
        <v>205</v>
      </c>
      <c r="C36" t="s">
        <v>51</v>
      </c>
      <c r="D36" t="s">
        <v>21</v>
      </c>
      <c r="E36" t="s">
        <v>22</v>
      </c>
      <c r="F36" t="s">
        <v>23</v>
      </c>
      <c r="G36" t="s">
        <v>24</v>
      </c>
      <c r="H36">
        <v>1</v>
      </c>
      <c r="I36">
        <v>27</v>
      </c>
      <c r="J36">
        <v>54.33</v>
      </c>
      <c r="K36">
        <v>151</v>
      </c>
      <c r="L36">
        <v>1466.91</v>
      </c>
      <c r="M36">
        <v>-2610.09</v>
      </c>
      <c r="N36" s="1">
        <v>38296</v>
      </c>
      <c r="O36" t="s">
        <v>25</v>
      </c>
      <c r="P36">
        <v>4</v>
      </c>
      <c r="Q36">
        <v>11</v>
      </c>
      <c r="R36">
        <v>2004</v>
      </c>
      <c r="S36" t="s">
        <v>83</v>
      </c>
    </row>
    <row r="37" spans="1:19" x14ac:dyDescent="0.25">
      <c r="A37">
        <v>10191</v>
      </c>
      <c r="B37" t="s">
        <v>206</v>
      </c>
      <c r="C37" t="s">
        <v>178</v>
      </c>
      <c r="D37" t="s">
        <v>179</v>
      </c>
      <c r="E37" t="s">
        <v>180</v>
      </c>
      <c r="F37" t="s">
        <v>30</v>
      </c>
      <c r="G37" t="s">
        <v>33</v>
      </c>
      <c r="H37">
        <v>1</v>
      </c>
      <c r="I37">
        <v>40</v>
      </c>
      <c r="J37">
        <v>100</v>
      </c>
      <c r="K37">
        <v>117</v>
      </c>
      <c r="L37">
        <v>5590</v>
      </c>
      <c r="M37">
        <v>910</v>
      </c>
      <c r="N37" s="1">
        <v>37945</v>
      </c>
      <c r="O37" t="s">
        <v>25</v>
      </c>
      <c r="P37">
        <v>4</v>
      </c>
      <c r="Q37">
        <v>11</v>
      </c>
      <c r="R37">
        <v>2003</v>
      </c>
      <c r="S37" t="s">
        <v>83</v>
      </c>
    </row>
    <row r="38" spans="1:19" x14ac:dyDescent="0.25">
      <c r="A38">
        <v>10238</v>
      </c>
      <c r="B38" t="s">
        <v>206</v>
      </c>
      <c r="C38" t="s">
        <v>135</v>
      </c>
      <c r="D38" t="s">
        <v>136</v>
      </c>
      <c r="E38" t="s">
        <v>137</v>
      </c>
      <c r="F38" t="s">
        <v>30</v>
      </c>
      <c r="G38" t="s">
        <v>33</v>
      </c>
      <c r="H38">
        <v>1</v>
      </c>
      <c r="I38">
        <v>29</v>
      </c>
      <c r="J38">
        <v>100</v>
      </c>
      <c r="K38">
        <v>117</v>
      </c>
      <c r="L38">
        <v>3167.38</v>
      </c>
      <c r="M38">
        <v>-225.62</v>
      </c>
      <c r="N38" s="1">
        <v>38086</v>
      </c>
      <c r="O38" t="s">
        <v>25</v>
      </c>
      <c r="P38">
        <v>2</v>
      </c>
      <c r="Q38">
        <v>4</v>
      </c>
      <c r="R38">
        <v>2004</v>
      </c>
      <c r="S38" t="s">
        <v>83</v>
      </c>
    </row>
    <row r="39" spans="1:19" x14ac:dyDescent="0.25">
      <c r="A39">
        <v>10276</v>
      </c>
      <c r="B39" t="s">
        <v>206</v>
      </c>
      <c r="C39" t="s">
        <v>186</v>
      </c>
      <c r="D39" t="s">
        <v>120</v>
      </c>
      <c r="E39" t="s">
        <v>22</v>
      </c>
      <c r="F39" t="s">
        <v>23</v>
      </c>
      <c r="G39" t="s">
        <v>33</v>
      </c>
      <c r="H39">
        <v>1</v>
      </c>
      <c r="I39">
        <v>47</v>
      </c>
      <c r="J39">
        <v>100</v>
      </c>
      <c r="K39">
        <v>117</v>
      </c>
      <c r="L39">
        <v>5464.69</v>
      </c>
      <c r="M39">
        <v>-34.31</v>
      </c>
      <c r="N39" s="1">
        <v>38201</v>
      </c>
      <c r="O39" t="s">
        <v>25</v>
      </c>
      <c r="P39">
        <v>3</v>
      </c>
      <c r="Q39">
        <v>8</v>
      </c>
      <c r="R39">
        <v>2004</v>
      </c>
      <c r="S39" t="s">
        <v>83</v>
      </c>
    </row>
    <row r="40" spans="1:19" x14ac:dyDescent="0.25">
      <c r="A40">
        <v>10320</v>
      </c>
      <c r="B40" t="s">
        <v>206</v>
      </c>
      <c r="C40" t="s">
        <v>84</v>
      </c>
      <c r="D40" t="s">
        <v>85</v>
      </c>
      <c r="E40" t="s">
        <v>86</v>
      </c>
      <c r="F40" t="s">
        <v>30</v>
      </c>
      <c r="G40" t="s">
        <v>33</v>
      </c>
      <c r="H40">
        <v>1</v>
      </c>
      <c r="I40">
        <v>35</v>
      </c>
      <c r="J40">
        <v>100</v>
      </c>
      <c r="K40">
        <v>117</v>
      </c>
      <c r="L40">
        <v>4850.3</v>
      </c>
      <c r="M40">
        <v>755.3</v>
      </c>
      <c r="N40" s="1">
        <v>38294</v>
      </c>
      <c r="O40" t="s">
        <v>25</v>
      </c>
      <c r="P40">
        <v>4</v>
      </c>
      <c r="Q40">
        <v>11</v>
      </c>
      <c r="R40">
        <v>2004</v>
      </c>
      <c r="S40" t="s">
        <v>83</v>
      </c>
    </row>
    <row r="41" spans="1:19" x14ac:dyDescent="0.25">
      <c r="A41">
        <v>10341</v>
      </c>
      <c r="B41" t="s">
        <v>206</v>
      </c>
      <c r="C41" t="s">
        <v>67</v>
      </c>
      <c r="D41" t="s">
        <v>68</v>
      </c>
      <c r="E41" t="s">
        <v>69</v>
      </c>
      <c r="F41" t="s">
        <v>30</v>
      </c>
      <c r="G41" t="s">
        <v>33</v>
      </c>
      <c r="H41">
        <v>1</v>
      </c>
      <c r="I41">
        <v>44</v>
      </c>
      <c r="J41">
        <v>95.93</v>
      </c>
      <c r="K41">
        <v>117</v>
      </c>
      <c r="L41">
        <v>4220.92</v>
      </c>
      <c r="M41">
        <v>-927.08</v>
      </c>
      <c r="N41" s="1">
        <v>38315</v>
      </c>
      <c r="O41" t="s">
        <v>25</v>
      </c>
      <c r="P41">
        <v>4</v>
      </c>
      <c r="Q41">
        <v>11</v>
      </c>
      <c r="R41">
        <v>2004</v>
      </c>
      <c r="S41" t="s">
        <v>83</v>
      </c>
    </row>
    <row r="42" spans="1:19" x14ac:dyDescent="0.25">
      <c r="A42">
        <v>10376</v>
      </c>
      <c r="B42" t="s">
        <v>206</v>
      </c>
      <c r="C42" t="s">
        <v>207</v>
      </c>
      <c r="D42" t="s">
        <v>208</v>
      </c>
      <c r="E42" t="s">
        <v>22</v>
      </c>
      <c r="F42" t="s">
        <v>23</v>
      </c>
      <c r="G42" t="s">
        <v>33</v>
      </c>
      <c r="H42">
        <v>1</v>
      </c>
      <c r="I42">
        <v>35</v>
      </c>
      <c r="J42">
        <v>100</v>
      </c>
      <c r="K42">
        <v>117</v>
      </c>
      <c r="L42">
        <v>3987.2</v>
      </c>
      <c r="M42">
        <v>-107.8</v>
      </c>
      <c r="N42" s="1">
        <v>38391</v>
      </c>
      <c r="O42" t="s">
        <v>25</v>
      </c>
      <c r="P42">
        <v>1</v>
      </c>
      <c r="Q42">
        <v>2</v>
      </c>
      <c r="R42">
        <v>2005</v>
      </c>
      <c r="S42" t="s">
        <v>83</v>
      </c>
    </row>
    <row r="43" spans="1:19" x14ac:dyDescent="0.25">
      <c r="A43">
        <v>10127</v>
      </c>
      <c r="B43" t="s">
        <v>209</v>
      </c>
      <c r="C43" t="s">
        <v>192</v>
      </c>
      <c r="D43" t="s">
        <v>21</v>
      </c>
      <c r="E43" t="s">
        <v>22</v>
      </c>
      <c r="F43" t="s">
        <v>23</v>
      </c>
      <c r="G43" t="s">
        <v>70</v>
      </c>
      <c r="H43">
        <v>1</v>
      </c>
      <c r="I43">
        <v>42</v>
      </c>
      <c r="J43">
        <v>100</v>
      </c>
      <c r="K43">
        <v>173</v>
      </c>
      <c r="L43">
        <v>8138.76</v>
      </c>
      <c r="M43">
        <v>872.76</v>
      </c>
      <c r="N43" s="1">
        <v>37775</v>
      </c>
      <c r="O43" t="s">
        <v>25</v>
      </c>
      <c r="P43">
        <v>2</v>
      </c>
      <c r="Q43">
        <v>6</v>
      </c>
      <c r="R43">
        <v>2003</v>
      </c>
      <c r="S43" t="s">
        <v>83</v>
      </c>
    </row>
    <row r="44" spans="1:19" x14ac:dyDescent="0.25">
      <c r="A44">
        <v>10176</v>
      </c>
      <c r="B44" t="s">
        <v>209</v>
      </c>
      <c r="C44" t="s">
        <v>184</v>
      </c>
      <c r="D44" t="s">
        <v>185</v>
      </c>
      <c r="E44" t="s">
        <v>110</v>
      </c>
      <c r="F44" t="s">
        <v>30</v>
      </c>
      <c r="G44" t="s">
        <v>70</v>
      </c>
      <c r="H44">
        <v>1</v>
      </c>
      <c r="I44">
        <v>50</v>
      </c>
      <c r="J44">
        <v>100</v>
      </c>
      <c r="K44">
        <v>173</v>
      </c>
      <c r="L44">
        <v>7872.5</v>
      </c>
      <c r="M44">
        <v>-777.5</v>
      </c>
      <c r="N44" s="1">
        <v>37931</v>
      </c>
      <c r="O44" t="s">
        <v>25</v>
      </c>
      <c r="P44">
        <v>4</v>
      </c>
      <c r="Q44">
        <v>11</v>
      </c>
      <c r="R44">
        <v>2003</v>
      </c>
      <c r="S44" t="s">
        <v>83</v>
      </c>
    </row>
    <row r="45" spans="1:19" x14ac:dyDescent="0.25">
      <c r="A45">
        <v>10220</v>
      </c>
      <c r="B45" t="s">
        <v>209</v>
      </c>
      <c r="C45" t="s">
        <v>193</v>
      </c>
      <c r="D45" t="s">
        <v>194</v>
      </c>
      <c r="E45" t="s">
        <v>195</v>
      </c>
      <c r="F45" t="s">
        <v>30</v>
      </c>
      <c r="G45" t="s">
        <v>33</v>
      </c>
      <c r="H45">
        <v>1</v>
      </c>
      <c r="I45">
        <v>27</v>
      </c>
      <c r="J45">
        <v>100</v>
      </c>
      <c r="K45">
        <v>173</v>
      </c>
      <c r="L45">
        <v>5045.22</v>
      </c>
      <c r="M45">
        <v>374.22</v>
      </c>
      <c r="N45" s="1">
        <v>38029</v>
      </c>
      <c r="O45" t="s">
        <v>25</v>
      </c>
      <c r="P45">
        <v>1</v>
      </c>
      <c r="Q45">
        <v>2</v>
      </c>
      <c r="R45">
        <v>2004</v>
      </c>
      <c r="S45" t="s">
        <v>83</v>
      </c>
    </row>
    <row r="46" spans="1:19" x14ac:dyDescent="0.25">
      <c r="A46">
        <v>10231</v>
      </c>
      <c r="B46" t="s">
        <v>209</v>
      </c>
      <c r="C46" t="s">
        <v>196</v>
      </c>
      <c r="D46" t="s">
        <v>79</v>
      </c>
      <c r="E46" t="s">
        <v>80</v>
      </c>
      <c r="F46" t="s">
        <v>30</v>
      </c>
      <c r="G46" t="s">
        <v>33</v>
      </c>
      <c r="H46">
        <v>1</v>
      </c>
      <c r="I46">
        <v>49</v>
      </c>
      <c r="J46">
        <v>100</v>
      </c>
      <c r="K46">
        <v>173</v>
      </c>
      <c r="L46">
        <v>6952.12</v>
      </c>
      <c r="M46">
        <v>-1524.88</v>
      </c>
      <c r="N46" s="1">
        <v>38065</v>
      </c>
      <c r="O46" t="s">
        <v>25</v>
      </c>
      <c r="P46">
        <v>1</v>
      </c>
      <c r="Q46">
        <v>3</v>
      </c>
      <c r="R46">
        <v>2004</v>
      </c>
      <c r="S46" t="s">
        <v>83</v>
      </c>
    </row>
    <row r="47" spans="1:19" x14ac:dyDescent="0.25">
      <c r="A47">
        <v>10247</v>
      </c>
      <c r="B47" t="s">
        <v>209</v>
      </c>
      <c r="C47" t="s">
        <v>189</v>
      </c>
      <c r="D47" t="s">
        <v>190</v>
      </c>
      <c r="E47" t="s">
        <v>62</v>
      </c>
      <c r="F47" t="s">
        <v>30</v>
      </c>
      <c r="G47" t="s">
        <v>33</v>
      </c>
      <c r="H47">
        <v>1</v>
      </c>
      <c r="I47">
        <v>27</v>
      </c>
      <c r="J47">
        <v>100</v>
      </c>
      <c r="K47">
        <v>173</v>
      </c>
      <c r="L47">
        <v>4157.7299999999996</v>
      </c>
      <c r="M47">
        <v>-513.27</v>
      </c>
      <c r="N47" s="1">
        <v>38112</v>
      </c>
      <c r="O47" t="s">
        <v>25</v>
      </c>
      <c r="P47">
        <v>2</v>
      </c>
      <c r="Q47">
        <v>5</v>
      </c>
      <c r="R47">
        <v>2004</v>
      </c>
      <c r="S47" t="s">
        <v>83</v>
      </c>
    </row>
    <row r="48" spans="1:19" x14ac:dyDescent="0.25">
      <c r="A48">
        <v>10272</v>
      </c>
      <c r="B48" t="s">
        <v>209</v>
      </c>
      <c r="C48" t="s">
        <v>65</v>
      </c>
      <c r="D48" t="s">
        <v>66</v>
      </c>
      <c r="E48" t="s">
        <v>22</v>
      </c>
      <c r="F48" t="s">
        <v>23</v>
      </c>
      <c r="G48" t="s">
        <v>70</v>
      </c>
      <c r="H48">
        <v>1</v>
      </c>
      <c r="I48">
        <v>39</v>
      </c>
      <c r="J48">
        <v>100</v>
      </c>
      <c r="K48">
        <v>173</v>
      </c>
      <c r="L48">
        <v>7962.24</v>
      </c>
      <c r="M48">
        <v>1215.24</v>
      </c>
      <c r="N48" s="1">
        <v>38188</v>
      </c>
      <c r="O48" t="s">
        <v>25</v>
      </c>
      <c r="P48">
        <v>3</v>
      </c>
      <c r="Q48">
        <v>7</v>
      </c>
      <c r="R48">
        <v>2004</v>
      </c>
      <c r="S48" t="s">
        <v>83</v>
      </c>
    </row>
    <row r="49" spans="1:19" x14ac:dyDescent="0.25">
      <c r="A49">
        <v>10325</v>
      </c>
      <c r="B49" t="s">
        <v>209</v>
      </c>
      <c r="C49" t="s">
        <v>63</v>
      </c>
      <c r="D49" t="s">
        <v>64</v>
      </c>
      <c r="E49" t="s">
        <v>44</v>
      </c>
      <c r="F49" t="s">
        <v>30</v>
      </c>
      <c r="G49" t="s">
        <v>24</v>
      </c>
      <c r="H49">
        <v>1</v>
      </c>
      <c r="I49">
        <v>24</v>
      </c>
      <c r="J49">
        <v>100</v>
      </c>
      <c r="K49">
        <v>173</v>
      </c>
      <c r="L49">
        <v>2583.6</v>
      </c>
      <c r="M49">
        <v>-1568.4</v>
      </c>
      <c r="N49" s="1">
        <v>38296</v>
      </c>
      <c r="O49" t="s">
        <v>25</v>
      </c>
      <c r="P49">
        <v>4</v>
      </c>
      <c r="Q49">
        <v>11</v>
      </c>
      <c r="R49">
        <v>2004</v>
      </c>
      <c r="S49" t="s">
        <v>83</v>
      </c>
    </row>
    <row r="50" spans="1:19" x14ac:dyDescent="0.25">
      <c r="A50">
        <v>10336</v>
      </c>
      <c r="B50" t="s">
        <v>209</v>
      </c>
      <c r="C50" t="s">
        <v>166</v>
      </c>
      <c r="D50" t="s">
        <v>32</v>
      </c>
      <c r="E50" t="s">
        <v>29</v>
      </c>
      <c r="F50" t="s">
        <v>30</v>
      </c>
      <c r="G50" t="s">
        <v>33</v>
      </c>
      <c r="H50">
        <v>1</v>
      </c>
      <c r="I50">
        <v>49</v>
      </c>
      <c r="J50">
        <v>63.38</v>
      </c>
      <c r="K50">
        <v>173</v>
      </c>
      <c r="L50">
        <v>3105.62</v>
      </c>
      <c r="M50">
        <v>-5371.38</v>
      </c>
      <c r="N50" s="1">
        <v>38311</v>
      </c>
      <c r="O50" t="s">
        <v>25</v>
      </c>
      <c r="P50">
        <v>4</v>
      </c>
      <c r="Q50">
        <v>11</v>
      </c>
      <c r="R50">
        <v>2004</v>
      </c>
      <c r="S50" t="s">
        <v>83</v>
      </c>
    </row>
    <row r="51" spans="1:19" x14ac:dyDescent="0.25">
      <c r="A51">
        <v>10372</v>
      </c>
      <c r="B51" t="s">
        <v>209</v>
      </c>
      <c r="C51" t="s">
        <v>105</v>
      </c>
      <c r="D51" t="s">
        <v>106</v>
      </c>
      <c r="E51" t="s">
        <v>107</v>
      </c>
      <c r="F51" t="s">
        <v>50</v>
      </c>
      <c r="G51" t="s">
        <v>33</v>
      </c>
      <c r="H51">
        <v>1</v>
      </c>
      <c r="I51">
        <v>34</v>
      </c>
      <c r="J51">
        <v>100</v>
      </c>
      <c r="K51">
        <v>173</v>
      </c>
      <c r="L51">
        <v>5941.5</v>
      </c>
      <c r="M51">
        <v>59.5</v>
      </c>
      <c r="N51" s="1">
        <v>38378</v>
      </c>
      <c r="O51" t="s">
        <v>25</v>
      </c>
      <c r="P51">
        <v>1</v>
      </c>
      <c r="Q51">
        <v>1</v>
      </c>
      <c r="R51">
        <v>2005</v>
      </c>
      <c r="S51" t="s">
        <v>83</v>
      </c>
    </row>
    <row r="52" spans="1:19" x14ac:dyDescent="0.25">
      <c r="A52">
        <v>10413</v>
      </c>
      <c r="B52" t="s">
        <v>209</v>
      </c>
      <c r="C52" t="s">
        <v>54</v>
      </c>
      <c r="D52" t="s">
        <v>55</v>
      </c>
      <c r="E52" t="s">
        <v>22</v>
      </c>
      <c r="F52" t="s">
        <v>23</v>
      </c>
      <c r="G52" t="s">
        <v>33</v>
      </c>
      <c r="H52">
        <v>1</v>
      </c>
      <c r="I52">
        <v>22</v>
      </c>
      <c r="J52">
        <v>100</v>
      </c>
      <c r="K52">
        <v>173</v>
      </c>
      <c r="L52">
        <v>3387.78</v>
      </c>
      <c r="M52">
        <v>-418.22</v>
      </c>
      <c r="N52" s="1">
        <v>38477</v>
      </c>
      <c r="O52" t="s">
        <v>25</v>
      </c>
      <c r="P52">
        <v>2</v>
      </c>
      <c r="Q52">
        <v>5</v>
      </c>
      <c r="R52">
        <v>2005</v>
      </c>
      <c r="S52" t="s">
        <v>83</v>
      </c>
    </row>
    <row r="53" spans="1:19" x14ac:dyDescent="0.25">
      <c r="A53">
        <v>10175</v>
      </c>
      <c r="B53" t="s">
        <v>211</v>
      </c>
      <c r="C53" t="s">
        <v>138</v>
      </c>
      <c r="D53" t="s">
        <v>139</v>
      </c>
      <c r="E53" t="s">
        <v>77</v>
      </c>
      <c r="F53" t="s">
        <v>30</v>
      </c>
      <c r="G53" t="s">
        <v>33</v>
      </c>
      <c r="H53">
        <v>1</v>
      </c>
      <c r="I53">
        <v>26</v>
      </c>
      <c r="J53">
        <v>100</v>
      </c>
      <c r="K53">
        <v>118</v>
      </c>
      <c r="L53">
        <v>3543.28</v>
      </c>
      <c r="M53">
        <v>475.28</v>
      </c>
      <c r="N53" s="1">
        <v>37931</v>
      </c>
      <c r="O53" t="s">
        <v>25</v>
      </c>
      <c r="P53">
        <v>4</v>
      </c>
      <c r="Q53">
        <v>11</v>
      </c>
      <c r="R53">
        <v>2003</v>
      </c>
      <c r="S53" t="s">
        <v>202</v>
      </c>
    </row>
    <row r="54" spans="1:19" x14ac:dyDescent="0.25">
      <c r="A54">
        <v>10229</v>
      </c>
      <c r="B54" t="s">
        <v>211</v>
      </c>
      <c r="C54" t="s">
        <v>115</v>
      </c>
      <c r="D54" t="s">
        <v>116</v>
      </c>
      <c r="E54" t="s">
        <v>22</v>
      </c>
      <c r="F54" t="s">
        <v>23</v>
      </c>
      <c r="G54" t="s">
        <v>33</v>
      </c>
      <c r="H54">
        <v>1</v>
      </c>
      <c r="I54">
        <v>36</v>
      </c>
      <c r="J54">
        <v>100</v>
      </c>
      <c r="K54">
        <v>118</v>
      </c>
      <c r="L54">
        <v>4521.96</v>
      </c>
      <c r="M54">
        <v>273.95999999999998</v>
      </c>
      <c r="N54" s="1">
        <v>38057</v>
      </c>
      <c r="O54" t="s">
        <v>25</v>
      </c>
      <c r="P54">
        <v>1</v>
      </c>
      <c r="Q54">
        <v>3</v>
      </c>
      <c r="R54">
        <v>2004</v>
      </c>
      <c r="S54" t="s">
        <v>202</v>
      </c>
    </row>
    <row r="55" spans="1:19" x14ac:dyDescent="0.25">
      <c r="A55">
        <v>10281</v>
      </c>
      <c r="B55" t="s">
        <v>211</v>
      </c>
      <c r="C55" t="s">
        <v>65</v>
      </c>
      <c r="D55" t="s">
        <v>66</v>
      </c>
      <c r="E55" t="s">
        <v>22</v>
      </c>
      <c r="F55" t="s">
        <v>23</v>
      </c>
      <c r="G55" t="s">
        <v>33</v>
      </c>
      <c r="H55">
        <v>1</v>
      </c>
      <c r="I55">
        <v>41</v>
      </c>
      <c r="J55">
        <v>100</v>
      </c>
      <c r="K55">
        <v>118</v>
      </c>
      <c r="L55">
        <v>5247.18</v>
      </c>
      <c r="M55">
        <v>409.18</v>
      </c>
      <c r="N55" s="1">
        <v>38218</v>
      </c>
      <c r="O55" t="s">
        <v>25</v>
      </c>
      <c r="P55">
        <v>3</v>
      </c>
      <c r="Q55">
        <v>8</v>
      </c>
      <c r="R55">
        <v>2004</v>
      </c>
      <c r="S55" t="s">
        <v>202</v>
      </c>
    </row>
    <row r="56" spans="1:19" x14ac:dyDescent="0.25">
      <c r="A56">
        <v>10277</v>
      </c>
      <c r="B56" t="s">
        <v>216</v>
      </c>
      <c r="C56" t="s">
        <v>88</v>
      </c>
      <c r="D56" t="s">
        <v>89</v>
      </c>
      <c r="E56" t="s">
        <v>89</v>
      </c>
      <c r="F56" t="s">
        <v>50</v>
      </c>
      <c r="G56" t="s">
        <v>33</v>
      </c>
      <c r="H56">
        <v>1</v>
      </c>
      <c r="I56">
        <v>28</v>
      </c>
      <c r="J56">
        <v>100</v>
      </c>
      <c r="K56">
        <v>115</v>
      </c>
      <c r="L56">
        <v>3127.88</v>
      </c>
      <c r="M56">
        <v>-92.12</v>
      </c>
      <c r="N56" s="1">
        <v>38203</v>
      </c>
      <c r="O56" t="s">
        <v>25</v>
      </c>
      <c r="P56">
        <v>3</v>
      </c>
      <c r="Q56">
        <v>8</v>
      </c>
      <c r="R56">
        <v>2004</v>
      </c>
      <c r="S56" t="s">
        <v>83</v>
      </c>
    </row>
    <row r="57" spans="1:19" x14ac:dyDescent="0.25">
      <c r="A57">
        <v>10377</v>
      </c>
      <c r="B57" t="s">
        <v>216</v>
      </c>
      <c r="C57" t="s">
        <v>60</v>
      </c>
      <c r="D57" t="s">
        <v>61</v>
      </c>
      <c r="E57" t="s">
        <v>62</v>
      </c>
      <c r="F57" t="s">
        <v>30</v>
      </c>
      <c r="G57" t="s">
        <v>33</v>
      </c>
      <c r="H57">
        <v>1</v>
      </c>
      <c r="I57">
        <v>50</v>
      </c>
      <c r="J57">
        <v>100</v>
      </c>
      <c r="K57">
        <v>115</v>
      </c>
      <c r="L57">
        <v>5182</v>
      </c>
      <c r="M57">
        <v>-568</v>
      </c>
      <c r="N57" s="1">
        <v>38392</v>
      </c>
      <c r="O57" t="s">
        <v>25</v>
      </c>
      <c r="P57">
        <v>1</v>
      </c>
      <c r="Q57">
        <v>2</v>
      </c>
      <c r="R57">
        <v>2005</v>
      </c>
      <c r="S57" t="s">
        <v>83</v>
      </c>
    </row>
    <row r="58" spans="1:19" x14ac:dyDescent="0.25">
      <c r="A58">
        <v>10228</v>
      </c>
      <c r="B58" t="s">
        <v>219</v>
      </c>
      <c r="C58" t="s">
        <v>102</v>
      </c>
      <c r="D58" t="s">
        <v>59</v>
      </c>
      <c r="E58" t="s">
        <v>22</v>
      </c>
      <c r="F58" t="s">
        <v>23</v>
      </c>
      <c r="G58" t="s">
        <v>33</v>
      </c>
      <c r="H58">
        <v>1</v>
      </c>
      <c r="I58">
        <v>32</v>
      </c>
      <c r="J58">
        <v>100</v>
      </c>
      <c r="K58">
        <v>116</v>
      </c>
      <c r="L58">
        <v>3360</v>
      </c>
      <c r="M58">
        <v>-352</v>
      </c>
      <c r="N58" s="1">
        <v>38056</v>
      </c>
      <c r="O58" t="s">
        <v>25</v>
      </c>
      <c r="P58">
        <v>1</v>
      </c>
      <c r="Q58">
        <v>3</v>
      </c>
      <c r="R58">
        <v>2004</v>
      </c>
      <c r="S58" t="s">
        <v>202</v>
      </c>
    </row>
    <row r="59" spans="1:19" x14ac:dyDescent="0.25">
      <c r="A59">
        <v>10280</v>
      </c>
      <c r="B59" t="s">
        <v>219</v>
      </c>
      <c r="C59" t="s">
        <v>108</v>
      </c>
      <c r="D59" t="s">
        <v>109</v>
      </c>
      <c r="E59" t="s">
        <v>110</v>
      </c>
      <c r="F59" t="s">
        <v>30</v>
      </c>
      <c r="G59" t="s">
        <v>24</v>
      </c>
      <c r="H59">
        <v>1</v>
      </c>
      <c r="I59">
        <v>24</v>
      </c>
      <c r="J59">
        <v>100</v>
      </c>
      <c r="K59">
        <v>116</v>
      </c>
      <c r="L59">
        <v>2800.08</v>
      </c>
      <c r="M59">
        <v>16.079999999999998</v>
      </c>
      <c r="N59" s="1">
        <v>38216</v>
      </c>
      <c r="O59" t="s">
        <v>25</v>
      </c>
      <c r="P59">
        <v>3</v>
      </c>
      <c r="Q59">
        <v>8</v>
      </c>
      <c r="R59">
        <v>2004</v>
      </c>
      <c r="S59" t="s">
        <v>202</v>
      </c>
    </row>
    <row r="60" spans="1:19" x14ac:dyDescent="0.25">
      <c r="A60">
        <v>10357</v>
      </c>
      <c r="B60" t="s">
        <v>219</v>
      </c>
      <c r="C60" t="s">
        <v>115</v>
      </c>
      <c r="D60" t="s">
        <v>116</v>
      </c>
      <c r="E60" t="s">
        <v>22</v>
      </c>
      <c r="F60" t="s">
        <v>23</v>
      </c>
      <c r="G60" t="s">
        <v>33</v>
      </c>
      <c r="H60">
        <v>1</v>
      </c>
      <c r="I60">
        <v>39</v>
      </c>
      <c r="J60">
        <v>98</v>
      </c>
      <c r="K60">
        <v>116</v>
      </c>
      <c r="L60">
        <v>3822</v>
      </c>
      <c r="M60">
        <v>-702</v>
      </c>
      <c r="N60" s="1">
        <v>38331</v>
      </c>
      <c r="O60" t="s">
        <v>25</v>
      </c>
      <c r="P60">
        <v>4</v>
      </c>
      <c r="Q60">
        <v>12</v>
      </c>
      <c r="R60">
        <v>2004</v>
      </c>
      <c r="S60" t="s">
        <v>202</v>
      </c>
    </row>
    <row r="61" spans="1:19" x14ac:dyDescent="0.25">
      <c r="A61">
        <v>10370</v>
      </c>
      <c r="B61" t="s">
        <v>219</v>
      </c>
      <c r="C61" t="s">
        <v>121</v>
      </c>
      <c r="D61" t="s">
        <v>122</v>
      </c>
      <c r="E61" t="s">
        <v>49</v>
      </c>
      <c r="F61" t="s">
        <v>50</v>
      </c>
      <c r="G61" t="s">
        <v>33</v>
      </c>
      <c r="H61">
        <v>1</v>
      </c>
      <c r="I61">
        <v>27</v>
      </c>
      <c r="J61">
        <v>100</v>
      </c>
      <c r="K61">
        <v>116</v>
      </c>
      <c r="L61">
        <v>3911.49</v>
      </c>
      <c r="M61">
        <v>779.49</v>
      </c>
      <c r="N61" s="1">
        <v>38372</v>
      </c>
      <c r="O61" t="s">
        <v>25</v>
      </c>
      <c r="P61">
        <v>1</v>
      </c>
      <c r="Q61">
        <v>1</v>
      </c>
      <c r="R61">
        <v>2005</v>
      </c>
      <c r="S61" t="s">
        <v>202</v>
      </c>
    </row>
    <row r="62" spans="1:19" x14ac:dyDescent="0.25">
      <c r="A62">
        <v>10225</v>
      </c>
      <c r="B62" t="s">
        <v>220</v>
      </c>
      <c r="C62" t="s">
        <v>181</v>
      </c>
      <c r="D62" t="s">
        <v>182</v>
      </c>
      <c r="E62" t="s">
        <v>183</v>
      </c>
      <c r="F62" t="s">
        <v>30</v>
      </c>
      <c r="G62" t="s">
        <v>33</v>
      </c>
      <c r="H62">
        <v>1</v>
      </c>
      <c r="I62">
        <v>32</v>
      </c>
      <c r="J62">
        <v>100</v>
      </c>
      <c r="K62">
        <v>141</v>
      </c>
      <c r="L62">
        <v>4529.28</v>
      </c>
      <c r="M62">
        <v>17.28</v>
      </c>
      <c r="N62" s="1">
        <v>38039</v>
      </c>
      <c r="O62" t="s">
        <v>25</v>
      </c>
      <c r="P62">
        <v>1</v>
      </c>
      <c r="Q62">
        <v>2</v>
      </c>
      <c r="R62">
        <v>2004</v>
      </c>
      <c r="S62" t="s">
        <v>83</v>
      </c>
    </row>
    <row r="63" spans="1:19" x14ac:dyDescent="0.25">
      <c r="A63">
        <v>10365</v>
      </c>
      <c r="B63" t="s">
        <v>220</v>
      </c>
      <c r="C63" t="s">
        <v>140</v>
      </c>
      <c r="D63" t="s">
        <v>74</v>
      </c>
      <c r="E63" t="s">
        <v>22</v>
      </c>
      <c r="F63" t="s">
        <v>23</v>
      </c>
      <c r="G63" t="s">
        <v>24</v>
      </c>
      <c r="H63">
        <v>1</v>
      </c>
      <c r="I63">
        <v>30</v>
      </c>
      <c r="J63">
        <v>87.06</v>
      </c>
      <c r="K63">
        <v>141</v>
      </c>
      <c r="L63">
        <v>2611.8000000000002</v>
      </c>
      <c r="M63">
        <v>-1618.2</v>
      </c>
      <c r="N63" s="1">
        <v>38359</v>
      </c>
      <c r="O63" t="s">
        <v>25</v>
      </c>
      <c r="P63">
        <v>1</v>
      </c>
      <c r="Q63">
        <v>1</v>
      </c>
      <c r="R63">
        <v>2005</v>
      </c>
      <c r="S63" t="s">
        <v>83</v>
      </c>
    </row>
    <row r="64" spans="1:19" x14ac:dyDescent="0.25">
      <c r="A64">
        <v>10125</v>
      </c>
      <c r="B64" t="s">
        <v>225</v>
      </c>
      <c r="C64" t="s">
        <v>47</v>
      </c>
      <c r="D64" t="s">
        <v>48</v>
      </c>
      <c r="E64" t="s">
        <v>49</v>
      </c>
      <c r="F64" t="s">
        <v>50</v>
      </c>
      <c r="G64" t="s">
        <v>33</v>
      </c>
      <c r="H64">
        <v>1</v>
      </c>
      <c r="I64">
        <v>32</v>
      </c>
      <c r="J64">
        <v>100</v>
      </c>
      <c r="K64">
        <v>102</v>
      </c>
      <c r="L64">
        <v>3254.72</v>
      </c>
      <c r="M64">
        <v>-9.2799999999999994</v>
      </c>
      <c r="N64" s="1">
        <v>37762</v>
      </c>
      <c r="O64" t="s">
        <v>25</v>
      </c>
      <c r="P64">
        <v>2</v>
      </c>
      <c r="Q64">
        <v>5</v>
      </c>
      <c r="R64">
        <v>2003</v>
      </c>
      <c r="S64" t="s">
        <v>226</v>
      </c>
    </row>
    <row r="65" spans="1:19" x14ac:dyDescent="0.25">
      <c r="A65">
        <v>10102</v>
      </c>
      <c r="B65" t="s">
        <v>231</v>
      </c>
      <c r="C65" t="s">
        <v>51</v>
      </c>
      <c r="D65" t="s">
        <v>21</v>
      </c>
      <c r="E65" t="s">
        <v>22</v>
      </c>
      <c r="F65" t="s">
        <v>23</v>
      </c>
      <c r="G65" t="s">
        <v>24</v>
      </c>
      <c r="H65">
        <v>1</v>
      </c>
      <c r="I65">
        <v>41</v>
      </c>
      <c r="J65">
        <v>50.14</v>
      </c>
      <c r="K65">
        <v>53</v>
      </c>
      <c r="L65">
        <v>2055.7399999999998</v>
      </c>
      <c r="M65">
        <v>-117.26</v>
      </c>
      <c r="N65" s="1">
        <v>37631</v>
      </c>
      <c r="O65" t="s">
        <v>25</v>
      </c>
      <c r="P65">
        <v>1</v>
      </c>
      <c r="Q65">
        <v>1</v>
      </c>
      <c r="R65">
        <v>2003</v>
      </c>
      <c r="S65" t="s">
        <v>226</v>
      </c>
    </row>
    <row r="66" spans="1:19" x14ac:dyDescent="0.25">
      <c r="A66">
        <v>10162</v>
      </c>
      <c r="B66" t="s">
        <v>231</v>
      </c>
      <c r="C66" t="s">
        <v>36</v>
      </c>
      <c r="D66" t="s">
        <v>37</v>
      </c>
      <c r="E66" t="s">
        <v>22</v>
      </c>
      <c r="F66" t="s">
        <v>23</v>
      </c>
      <c r="G66" t="s">
        <v>24</v>
      </c>
      <c r="H66">
        <v>1</v>
      </c>
      <c r="I66">
        <v>45</v>
      </c>
      <c r="J66">
        <v>51.21</v>
      </c>
      <c r="K66">
        <v>53</v>
      </c>
      <c r="L66">
        <v>2304.4499999999998</v>
      </c>
      <c r="M66">
        <v>-80.55</v>
      </c>
      <c r="N66" s="1">
        <v>37912</v>
      </c>
      <c r="O66" t="s">
        <v>25</v>
      </c>
      <c r="P66">
        <v>4</v>
      </c>
      <c r="Q66">
        <v>10</v>
      </c>
      <c r="R66">
        <v>2003</v>
      </c>
      <c r="S66" t="s">
        <v>226</v>
      </c>
    </row>
    <row r="67" spans="1:19" x14ac:dyDescent="0.25">
      <c r="A67">
        <v>10205</v>
      </c>
      <c r="B67" t="s">
        <v>231</v>
      </c>
      <c r="C67" t="s">
        <v>78</v>
      </c>
      <c r="D67" t="s">
        <v>79</v>
      </c>
      <c r="E67" t="s">
        <v>80</v>
      </c>
      <c r="F67" t="s">
        <v>30</v>
      </c>
      <c r="G67" t="s">
        <v>33</v>
      </c>
      <c r="H67">
        <v>1</v>
      </c>
      <c r="I67">
        <v>48</v>
      </c>
      <c r="J67">
        <v>63.61</v>
      </c>
      <c r="K67">
        <v>53</v>
      </c>
      <c r="L67">
        <v>3053.28</v>
      </c>
      <c r="M67">
        <v>509.28</v>
      </c>
      <c r="N67" s="1">
        <v>37958</v>
      </c>
      <c r="O67" t="s">
        <v>25</v>
      </c>
      <c r="P67">
        <v>4</v>
      </c>
      <c r="Q67">
        <v>12</v>
      </c>
      <c r="R67">
        <v>2003</v>
      </c>
      <c r="S67" t="s">
        <v>226</v>
      </c>
    </row>
    <row r="68" spans="1:19" x14ac:dyDescent="0.25">
      <c r="A68">
        <v>10256</v>
      </c>
      <c r="B68" t="s">
        <v>231</v>
      </c>
      <c r="C68" t="s">
        <v>135</v>
      </c>
      <c r="D68" t="s">
        <v>136</v>
      </c>
      <c r="E68" t="s">
        <v>137</v>
      </c>
      <c r="F68" t="s">
        <v>30</v>
      </c>
      <c r="G68" t="s">
        <v>24</v>
      </c>
      <c r="H68">
        <v>1</v>
      </c>
      <c r="I68">
        <v>29</v>
      </c>
      <c r="J68">
        <v>51.75</v>
      </c>
      <c r="K68">
        <v>53</v>
      </c>
      <c r="L68">
        <v>1500.75</v>
      </c>
      <c r="M68">
        <v>-36.25</v>
      </c>
      <c r="N68" s="1">
        <v>38146</v>
      </c>
      <c r="O68" t="s">
        <v>25</v>
      </c>
      <c r="P68">
        <v>2</v>
      </c>
      <c r="Q68">
        <v>6</v>
      </c>
      <c r="R68">
        <v>2004</v>
      </c>
      <c r="S68" t="s">
        <v>226</v>
      </c>
    </row>
    <row r="69" spans="1:19" x14ac:dyDescent="0.25">
      <c r="A69">
        <v>10289</v>
      </c>
      <c r="B69" t="s">
        <v>231</v>
      </c>
      <c r="C69" t="s">
        <v>42</v>
      </c>
      <c r="D69" t="s">
        <v>43</v>
      </c>
      <c r="E69" t="s">
        <v>44</v>
      </c>
      <c r="F69" t="s">
        <v>30</v>
      </c>
      <c r="G69" t="s">
        <v>24</v>
      </c>
      <c r="H69">
        <v>1</v>
      </c>
      <c r="I69">
        <v>24</v>
      </c>
      <c r="J69">
        <v>56.07</v>
      </c>
      <c r="K69">
        <v>53</v>
      </c>
      <c r="L69">
        <v>1345.68</v>
      </c>
      <c r="M69">
        <v>73.680000000000007</v>
      </c>
      <c r="N69" s="1">
        <v>38233</v>
      </c>
      <c r="O69" t="s">
        <v>25</v>
      </c>
      <c r="P69">
        <v>3</v>
      </c>
      <c r="Q69">
        <v>9</v>
      </c>
      <c r="R69">
        <v>2004</v>
      </c>
      <c r="S69" t="s">
        <v>226</v>
      </c>
    </row>
    <row r="70" spans="1:19" x14ac:dyDescent="0.25">
      <c r="A70">
        <v>10422</v>
      </c>
      <c r="B70" t="s">
        <v>231</v>
      </c>
      <c r="C70" t="s">
        <v>65</v>
      </c>
      <c r="D70" t="s">
        <v>66</v>
      </c>
      <c r="E70" t="s">
        <v>22</v>
      </c>
      <c r="F70" t="s">
        <v>23</v>
      </c>
      <c r="G70" t="s">
        <v>24</v>
      </c>
      <c r="H70">
        <v>1</v>
      </c>
      <c r="I70">
        <v>25</v>
      </c>
      <c r="J70">
        <v>51.75</v>
      </c>
      <c r="K70">
        <v>53</v>
      </c>
      <c r="L70">
        <v>1293.75</v>
      </c>
      <c r="M70">
        <v>-31.25</v>
      </c>
      <c r="N70" s="1">
        <v>38502</v>
      </c>
      <c r="O70" t="s">
        <v>125</v>
      </c>
      <c r="P70">
        <v>2</v>
      </c>
      <c r="Q70">
        <v>5</v>
      </c>
      <c r="R70">
        <v>2005</v>
      </c>
      <c r="S70" t="s">
        <v>226</v>
      </c>
    </row>
    <row r="71" spans="1:19" x14ac:dyDescent="0.25">
      <c r="A71">
        <v>10253</v>
      </c>
      <c r="B71" t="s">
        <v>232</v>
      </c>
      <c r="C71" t="s">
        <v>75</v>
      </c>
      <c r="D71" t="s">
        <v>76</v>
      </c>
      <c r="E71" t="s">
        <v>77</v>
      </c>
      <c r="F71" t="s">
        <v>30</v>
      </c>
      <c r="G71" t="s">
        <v>33</v>
      </c>
      <c r="H71">
        <v>1</v>
      </c>
      <c r="I71">
        <v>24</v>
      </c>
      <c r="J71">
        <v>100</v>
      </c>
      <c r="K71">
        <v>124</v>
      </c>
      <c r="L71">
        <v>3374.88</v>
      </c>
      <c r="M71">
        <v>398.88</v>
      </c>
      <c r="N71" s="1">
        <v>38139</v>
      </c>
      <c r="O71" t="s">
        <v>141</v>
      </c>
      <c r="P71">
        <v>2</v>
      </c>
      <c r="Q71">
        <v>6</v>
      </c>
      <c r="R71">
        <v>2004</v>
      </c>
      <c r="S71" t="s">
        <v>83</v>
      </c>
    </row>
    <row r="72" spans="1:19" x14ac:dyDescent="0.25">
      <c r="A72">
        <v>10367</v>
      </c>
      <c r="B72" t="s">
        <v>232</v>
      </c>
      <c r="C72" t="s">
        <v>34</v>
      </c>
      <c r="D72" t="s">
        <v>35</v>
      </c>
      <c r="E72" t="s">
        <v>22</v>
      </c>
      <c r="F72" t="s">
        <v>23</v>
      </c>
      <c r="G72" t="s">
        <v>24</v>
      </c>
      <c r="H72">
        <v>1</v>
      </c>
      <c r="I72">
        <v>49</v>
      </c>
      <c r="J72">
        <v>56.3</v>
      </c>
      <c r="K72">
        <v>124</v>
      </c>
      <c r="L72">
        <v>2758.7</v>
      </c>
      <c r="M72">
        <v>-3317.3</v>
      </c>
      <c r="N72" s="1">
        <v>38364</v>
      </c>
      <c r="O72" t="s">
        <v>169</v>
      </c>
      <c r="P72">
        <v>1</v>
      </c>
      <c r="Q72">
        <v>1</v>
      </c>
      <c r="R72">
        <v>2005</v>
      </c>
      <c r="S72" t="s">
        <v>83</v>
      </c>
    </row>
    <row r="73" spans="1:19" x14ac:dyDescent="0.25">
      <c r="A73">
        <v>10419</v>
      </c>
      <c r="B73" t="s">
        <v>232</v>
      </c>
      <c r="C73" t="s">
        <v>67</v>
      </c>
      <c r="D73" t="s">
        <v>68</v>
      </c>
      <c r="E73" t="s">
        <v>69</v>
      </c>
      <c r="F73" t="s">
        <v>30</v>
      </c>
      <c r="G73" t="s">
        <v>33</v>
      </c>
      <c r="H73">
        <v>1</v>
      </c>
      <c r="I73">
        <v>37</v>
      </c>
      <c r="J73">
        <v>100</v>
      </c>
      <c r="K73">
        <v>124</v>
      </c>
      <c r="L73">
        <v>5202.9399999999996</v>
      </c>
      <c r="M73">
        <v>614.94000000000005</v>
      </c>
      <c r="N73" s="1">
        <v>38489</v>
      </c>
      <c r="O73" t="s">
        <v>25</v>
      </c>
      <c r="P73">
        <v>2</v>
      </c>
      <c r="Q73">
        <v>5</v>
      </c>
      <c r="R73">
        <v>2005</v>
      </c>
      <c r="S73" t="s">
        <v>83</v>
      </c>
    </row>
    <row r="74" spans="1:19" x14ac:dyDescent="0.25">
      <c r="A74">
        <v>10167</v>
      </c>
      <c r="B74" t="s">
        <v>233</v>
      </c>
      <c r="C74" t="s">
        <v>111</v>
      </c>
      <c r="D74" t="s">
        <v>112</v>
      </c>
      <c r="E74" t="s">
        <v>86</v>
      </c>
      <c r="F74" t="s">
        <v>30</v>
      </c>
      <c r="G74" t="s">
        <v>33</v>
      </c>
      <c r="H74">
        <v>1</v>
      </c>
      <c r="I74">
        <v>43</v>
      </c>
      <c r="J74">
        <v>100</v>
      </c>
      <c r="K74">
        <v>157</v>
      </c>
      <c r="L74">
        <v>5763.72</v>
      </c>
      <c r="M74">
        <v>-987.28</v>
      </c>
      <c r="N74" s="1">
        <v>37917</v>
      </c>
      <c r="O74" t="s">
        <v>141</v>
      </c>
      <c r="P74">
        <v>4</v>
      </c>
      <c r="Q74">
        <v>10</v>
      </c>
      <c r="R74">
        <v>2003</v>
      </c>
      <c r="S74" t="s">
        <v>234</v>
      </c>
    </row>
    <row r="75" spans="1:19" x14ac:dyDescent="0.25">
      <c r="A75">
        <v>10186</v>
      </c>
      <c r="B75" t="s">
        <v>233</v>
      </c>
      <c r="C75" t="s">
        <v>144</v>
      </c>
      <c r="D75" t="s">
        <v>139</v>
      </c>
      <c r="E75" t="s">
        <v>77</v>
      </c>
      <c r="F75" t="s">
        <v>30</v>
      </c>
      <c r="G75" t="s">
        <v>33</v>
      </c>
      <c r="H75">
        <v>1</v>
      </c>
      <c r="I75">
        <v>32</v>
      </c>
      <c r="J75">
        <v>100</v>
      </c>
      <c r="K75">
        <v>157</v>
      </c>
      <c r="L75">
        <v>6004.8</v>
      </c>
      <c r="M75">
        <v>980.8</v>
      </c>
      <c r="N75" s="1">
        <v>37939</v>
      </c>
      <c r="O75" t="s">
        <v>25</v>
      </c>
      <c r="P75">
        <v>4</v>
      </c>
      <c r="Q75">
        <v>11</v>
      </c>
      <c r="R75">
        <v>2003</v>
      </c>
      <c r="S75" t="s">
        <v>234</v>
      </c>
    </row>
    <row r="76" spans="1:19" x14ac:dyDescent="0.25">
      <c r="A76">
        <v>10274</v>
      </c>
      <c r="B76" t="s">
        <v>233</v>
      </c>
      <c r="C76" t="s">
        <v>119</v>
      </c>
      <c r="D76" t="s">
        <v>120</v>
      </c>
      <c r="E76" t="s">
        <v>22</v>
      </c>
      <c r="F76" t="s">
        <v>23</v>
      </c>
      <c r="G76" t="s">
        <v>33</v>
      </c>
      <c r="H76">
        <v>1</v>
      </c>
      <c r="I76">
        <v>41</v>
      </c>
      <c r="J76">
        <v>100</v>
      </c>
      <c r="K76">
        <v>157</v>
      </c>
      <c r="L76">
        <v>6724</v>
      </c>
      <c r="M76">
        <v>287</v>
      </c>
      <c r="N76" s="1">
        <v>38189</v>
      </c>
      <c r="O76" t="s">
        <v>25</v>
      </c>
      <c r="P76">
        <v>3</v>
      </c>
      <c r="Q76">
        <v>7</v>
      </c>
      <c r="R76">
        <v>2004</v>
      </c>
      <c r="S76" t="s">
        <v>234</v>
      </c>
    </row>
    <row r="77" spans="1:19" x14ac:dyDescent="0.25">
      <c r="A77">
        <v>10307</v>
      </c>
      <c r="B77" t="s">
        <v>233</v>
      </c>
      <c r="C77" t="s">
        <v>93</v>
      </c>
      <c r="D77" t="s">
        <v>94</v>
      </c>
      <c r="E77" t="s">
        <v>22</v>
      </c>
      <c r="F77" t="s">
        <v>23</v>
      </c>
      <c r="G77" t="s">
        <v>70</v>
      </c>
      <c r="H77">
        <v>1</v>
      </c>
      <c r="I77">
        <v>39</v>
      </c>
      <c r="J77">
        <v>100</v>
      </c>
      <c r="K77">
        <v>157</v>
      </c>
      <c r="L77">
        <v>7379.97</v>
      </c>
      <c r="M77">
        <v>1256.97</v>
      </c>
      <c r="N77" s="1">
        <v>38274</v>
      </c>
      <c r="O77" t="s">
        <v>25</v>
      </c>
      <c r="P77">
        <v>4</v>
      </c>
      <c r="Q77">
        <v>10</v>
      </c>
      <c r="R77">
        <v>2004</v>
      </c>
      <c r="S77" t="s">
        <v>234</v>
      </c>
    </row>
    <row r="78" spans="1:19" x14ac:dyDescent="0.25">
      <c r="A78">
        <v>10338</v>
      </c>
      <c r="B78" t="s">
        <v>233</v>
      </c>
      <c r="C78" t="s">
        <v>238</v>
      </c>
      <c r="D78" t="s">
        <v>239</v>
      </c>
      <c r="E78" t="s">
        <v>153</v>
      </c>
      <c r="F78" t="s">
        <v>30</v>
      </c>
      <c r="G78" t="s">
        <v>33</v>
      </c>
      <c r="H78">
        <v>1</v>
      </c>
      <c r="I78">
        <v>41</v>
      </c>
      <c r="J78">
        <v>100</v>
      </c>
      <c r="K78">
        <v>157</v>
      </c>
      <c r="L78">
        <v>5624.79</v>
      </c>
      <c r="M78">
        <v>-812.21</v>
      </c>
      <c r="N78" s="1">
        <v>38313</v>
      </c>
      <c r="O78" t="s">
        <v>25</v>
      </c>
      <c r="P78">
        <v>4</v>
      </c>
      <c r="Q78">
        <v>11</v>
      </c>
      <c r="R78">
        <v>2004</v>
      </c>
      <c r="S78" t="s">
        <v>234</v>
      </c>
    </row>
    <row r="79" spans="1:19" x14ac:dyDescent="0.25">
      <c r="A79">
        <v>10351</v>
      </c>
      <c r="B79" t="s">
        <v>233</v>
      </c>
      <c r="C79" t="s">
        <v>138</v>
      </c>
      <c r="D79" t="s">
        <v>139</v>
      </c>
      <c r="E79" t="s">
        <v>77</v>
      </c>
      <c r="F79" t="s">
        <v>30</v>
      </c>
      <c r="G79" t="s">
        <v>33</v>
      </c>
      <c r="H79">
        <v>1</v>
      </c>
      <c r="I79">
        <v>39</v>
      </c>
      <c r="J79">
        <v>99.52</v>
      </c>
      <c r="K79">
        <v>157</v>
      </c>
      <c r="L79">
        <v>3881.28</v>
      </c>
      <c r="M79">
        <v>-2241.7199999999998</v>
      </c>
      <c r="N79" s="1">
        <v>38324</v>
      </c>
      <c r="O79" t="s">
        <v>25</v>
      </c>
      <c r="P79">
        <v>4</v>
      </c>
      <c r="Q79">
        <v>12</v>
      </c>
      <c r="R79">
        <v>2004</v>
      </c>
      <c r="S79" t="s">
        <v>234</v>
      </c>
    </row>
    <row r="80" spans="1:19" x14ac:dyDescent="0.25">
      <c r="A80">
        <v>10400</v>
      </c>
      <c r="B80" t="s">
        <v>233</v>
      </c>
      <c r="C80" t="s">
        <v>162</v>
      </c>
      <c r="D80" t="s">
        <v>163</v>
      </c>
      <c r="E80" t="s">
        <v>22</v>
      </c>
      <c r="F80" t="s">
        <v>23</v>
      </c>
      <c r="G80" t="s">
        <v>33</v>
      </c>
      <c r="H80">
        <v>1</v>
      </c>
      <c r="I80">
        <v>34</v>
      </c>
      <c r="J80">
        <v>100</v>
      </c>
      <c r="K80">
        <v>157</v>
      </c>
      <c r="L80">
        <v>6433.82</v>
      </c>
      <c r="M80">
        <v>1095.82</v>
      </c>
      <c r="N80" s="1">
        <v>38443</v>
      </c>
      <c r="O80" t="s">
        <v>25</v>
      </c>
      <c r="P80">
        <v>2</v>
      </c>
      <c r="Q80">
        <v>4</v>
      </c>
      <c r="R80">
        <v>2005</v>
      </c>
      <c r="S80" t="s">
        <v>234</v>
      </c>
    </row>
    <row r="81" spans="1:19" x14ac:dyDescent="0.25">
      <c r="A81">
        <v>10302</v>
      </c>
      <c r="B81" t="s">
        <v>240</v>
      </c>
      <c r="C81" t="s">
        <v>75</v>
      </c>
      <c r="D81" t="s">
        <v>76</v>
      </c>
      <c r="E81" t="s">
        <v>77</v>
      </c>
      <c r="F81" t="s">
        <v>30</v>
      </c>
      <c r="G81" t="s">
        <v>70</v>
      </c>
      <c r="H81">
        <v>1</v>
      </c>
      <c r="I81">
        <v>43</v>
      </c>
      <c r="J81">
        <v>100</v>
      </c>
      <c r="K81">
        <v>170</v>
      </c>
      <c r="L81">
        <v>7310</v>
      </c>
      <c r="M81">
        <v>0</v>
      </c>
      <c r="N81" s="1">
        <v>37900</v>
      </c>
      <c r="O81" t="s">
        <v>25</v>
      </c>
      <c r="P81">
        <v>4</v>
      </c>
      <c r="Q81">
        <v>10</v>
      </c>
      <c r="R81">
        <v>2003</v>
      </c>
      <c r="S81" t="s">
        <v>226</v>
      </c>
    </row>
    <row r="82" spans="1:19" x14ac:dyDescent="0.25">
      <c r="A82">
        <v>10344</v>
      </c>
      <c r="B82" t="s">
        <v>240</v>
      </c>
      <c r="C82" t="s">
        <v>176</v>
      </c>
      <c r="D82" t="s">
        <v>177</v>
      </c>
      <c r="E82" t="s">
        <v>29</v>
      </c>
      <c r="F82" t="s">
        <v>30</v>
      </c>
      <c r="G82" t="s">
        <v>70</v>
      </c>
      <c r="H82">
        <v>1</v>
      </c>
      <c r="I82">
        <v>45</v>
      </c>
      <c r="J82">
        <v>100</v>
      </c>
      <c r="K82">
        <v>170</v>
      </c>
      <c r="L82">
        <v>7650</v>
      </c>
      <c r="M82">
        <v>0</v>
      </c>
      <c r="N82" s="1">
        <v>38316</v>
      </c>
      <c r="O82" t="s">
        <v>25</v>
      </c>
      <c r="P82">
        <v>4</v>
      </c>
      <c r="Q82">
        <v>11</v>
      </c>
      <c r="R82">
        <v>2004</v>
      </c>
      <c r="S82" t="s">
        <v>226</v>
      </c>
    </row>
    <row r="83" spans="1:19" x14ac:dyDescent="0.25">
      <c r="A83">
        <v>10300</v>
      </c>
      <c r="B83" t="s">
        <v>241</v>
      </c>
      <c r="C83" t="s">
        <v>187</v>
      </c>
      <c r="D83" t="s">
        <v>188</v>
      </c>
      <c r="E83" t="s">
        <v>180</v>
      </c>
      <c r="F83" t="s">
        <v>30</v>
      </c>
      <c r="G83" t="s">
        <v>33</v>
      </c>
      <c r="H83">
        <v>1</v>
      </c>
      <c r="I83">
        <v>41</v>
      </c>
      <c r="J83">
        <v>92.4</v>
      </c>
      <c r="K83">
        <v>77</v>
      </c>
      <c r="L83">
        <v>3788.4</v>
      </c>
      <c r="M83">
        <v>631.4</v>
      </c>
      <c r="N83" s="1">
        <v>37898</v>
      </c>
      <c r="O83" t="s">
        <v>25</v>
      </c>
      <c r="P83">
        <v>4</v>
      </c>
      <c r="Q83">
        <v>10</v>
      </c>
      <c r="R83">
        <v>2003</v>
      </c>
      <c r="S83" t="s">
        <v>83</v>
      </c>
    </row>
    <row r="84" spans="1:19" x14ac:dyDescent="0.25">
      <c r="A84">
        <v>10342</v>
      </c>
      <c r="B84" t="s">
        <v>241</v>
      </c>
      <c r="C84" t="s">
        <v>47</v>
      </c>
      <c r="D84" t="s">
        <v>48</v>
      </c>
      <c r="E84" t="s">
        <v>49</v>
      </c>
      <c r="F84" t="s">
        <v>50</v>
      </c>
      <c r="G84" t="s">
        <v>33</v>
      </c>
      <c r="H84">
        <v>1</v>
      </c>
      <c r="I84">
        <v>55</v>
      </c>
      <c r="J84">
        <v>65.45</v>
      </c>
      <c r="K84">
        <v>77</v>
      </c>
      <c r="L84">
        <v>3599.75</v>
      </c>
      <c r="M84">
        <v>-635.25</v>
      </c>
      <c r="N84" s="1">
        <v>38315</v>
      </c>
      <c r="O84" t="s">
        <v>25</v>
      </c>
      <c r="P84">
        <v>4</v>
      </c>
      <c r="Q84">
        <v>11</v>
      </c>
      <c r="R84">
        <v>2004</v>
      </c>
      <c r="S84" t="s">
        <v>83</v>
      </c>
    </row>
    <row r="85" spans="1:19" x14ac:dyDescent="0.25">
      <c r="A85">
        <v>10122</v>
      </c>
      <c r="B85" t="s">
        <v>242</v>
      </c>
      <c r="C85" t="s">
        <v>176</v>
      </c>
      <c r="D85" t="s">
        <v>177</v>
      </c>
      <c r="E85" t="s">
        <v>29</v>
      </c>
      <c r="F85" t="s">
        <v>30</v>
      </c>
      <c r="G85" t="s">
        <v>33</v>
      </c>
      <c r="H85">
        <v>1</v>
      </c>
      <c r="I85">
        <v>31</v>
      </c>
      <c r="J85">
        <v>100</v>
      </c>
      <c r="K85">
        <v>142</v>
      </c>
      <c r="L85">
        <v>4100.99</v>
      </c>
      <c r="M85">
        <v>-301.01</v>
      </c>
      <c r="N85" s="1">
        <v>37749</v>
      </c>
      <c r="O85" t="s">
        <v>25</v>
      </c>
      <c r="P85">
        <v>2</v>
      </c>
      <c r="Q85">
        <v>5</v>
      </c>
      <c r="R85">
        <v>2003</v>
      </c>
      <c r="S85" t="s">
        <v>83</v>
      </c>
    </row>
    <row r="86" spans="1:19" x14ac:dyDescent="0.25">
      <c r="A86">
        <v>10136</v>
      </c>
      <c r="B86" t="s">
        <v>242</v>
      </c>
      <c r="C86" t="s">
        <v>142</v>
      </c>
      <c r="D86" t="s">
        <v>143</v>
      </c>
      <c r="E86" t="s">
        <v>29</v>
      </c>
      <c r="F86" t="s">
        <v>30</v>
      </c>
      <c r="G86" t="s">
        <v>33</v>
      </c>
      <c r="H86">
        <v>1</v>
      </c>
      <c r="I86">
        <v>36</v>
      </c>
      <c r="J86">
        <v>100</v>
      </c>
      <c r="K86">
        <v>142</v>
      </c>
      <c r="L86">
        <v>5274.72</v>
      </c>
      <c r="M86">
        <v>162.72</v>
      </c>
      <c r="N86" s="1">
        <v>37806</v>
      </c>
      <c r="O86" t="s">
        <v>25</v>
      </c>
      <c r="P86">
        <v>3</v>
      </c>
      <c r="Q86">
        <v>7</v>
      </c>
      <c r="R86">
        <v>2003</v>
      </c>
      <c r="S86" t="s">
        <v>83</v>
      </c>
    </row>
    <row r="87" spans="1:19" x14ac:dyDescent="0.25">
      <c r="A87">
        <v>10171</v>
      </c>
      <c r="B87" t="s">
        <v>242</v>
      </c>
      <c r="C87" t="s">
        <v>123</v>
      </c>
      <c r="D87" t="s">
        <v>124</v>
      </c>
      <c r="E87" t="s">
        <v>99</v>
      </c>
      <c r="F87" t="s">
        <v>23</v>
      </c>
      <c r="G87" t="s">
        <v>33</v>
      </c>
      <c r="H87">
        <v>1</v>
      </c>
      <c r="I87">
        <v>35</v>
      </c>
      <c r="J87">
        <v>100</v>
      </c>
      <c r="K87">
        <v>142</v>
      </c>
      <c r="L87">
        <v>4680.2</v>
      </c>
      <c r="M87">
        <v>-289.8</v>
      </c>
      <c r="N87" s="1">
        <v>37930</v>
      </c>
      <c r="O87" t="s">
        <v>25</v>
      </c>
      <c r="P87">
        <v>4</v>
      </c>
      <c r="Q87">
        <v>11</v>
      </c>
      <c r="R87">
        <v>2003</v>
      </c>
      <c r="S87" t="s">
        <v>83</v>
      </c>
    </row>
    <row r="88" spans="1:19" x14ac:dyDescent="0.25">
      <c r="A88">
        <v>10310</v>
      </c>
      <c r="B88" t="s">
        <v>242</v>
      </c>
      <c r="C88" t="s">
        <v>178</v>
      </c>
      <c r="D88" t="s">
        <v>179</v>
      </c>
      <c r="E88" t="s">
        <v>180</v>
      </c>
      <c r="F88" t="s">
        <v>30</v>
      </c>
      <c r="G88" t="s">
        <v>33</v>
      </c>
      <c r="H88">
        <v>1</v>
      </c>
      <c r="I88">
        <v>24</v>
      </c>
      <c r="J88">
        <v>100</v>
      </c>
      <c r="K88">
        <v>142</v>
      </c>
      <c r="L88">
        <v>3448.08</v>
      </c>
      <c r="M88">
        <v>40.08</v>
      </c>
      <c r="N88" s="1">
        <v>38276</v>
      </c>
      <c r="O88" t="s">
        <v>25</v>
      </c>
      <c r="P88">
        <v>4</v>
      </c>
      <c r="Q88">
        <v>10</v>
      </c>
      <c r="R88">
        <v>2004</v>
      </c>
      <c r="S88" t="s">
        <v>83</v>
      </c>
    </row>
    <row r="89" spans="1:19" x14ac:dyDescent="0.25">
      <c r="A89">
        <v>10219</v>
      </c>
      <c r="B89" t="s">
        <v>243</v>
      </c>
      <c r="C89" t="s">
        <v>214</v>
      </c>
      <c r="D89" t="s">
        <v>215</v>
      </c>
      <c r="E89" t="s">
        <v>22</v>
      </c>
      <c r="F89" t="s">
        <v>23</v>
      </c>
      <c r="G89" t="s">
        <v>70</v>
      </c>
      <c r="H89">
        <v>1</v>
      </c>
      <c r="I89">
        <v>43</v>
      </c>
      <c r="J89">
        <v>100</v>
      </c>
      <c r="K89">
        <v>163</v>
      </c>
      <c r="L89">
        <v>8448.64</v>
      </c>
      <c r="M89">
        <v>1439.64</v>
      </c>
      <c r="N89" s="1">
        <v>38027</v>
      </c>
      <c r="O89" t="s">
        <v>25</v>
      </c>
      <c r="P89">
        <v>1</v>
      </c>
      <c r="Q89">
        <v>2</v>
      </c>
      <c r="R89">
        <v>2004</v>
      </c>
      <c r="S89" t="s">
        <v>83</v>
      </c>
    </row>
    <row r="90" spans="1:19" x14ac:dyDescent="0.25">
      <c r="A90">
        <v>10241</v>
      </c>
      <c r="B90" t="s">
        <v>244</v>
      </c>
      <c r="C90" t="s">
        <v>217</v>
      </c>
      <c r="D90" t="s">
        <v>218</v>
      </c>
      <c r="E90" t="s">
        <v>29</v>
      </c>
      <c r="F90" t="s">
        <v>30</v>
      </c>
      <c r="G90" t="s">
        <v>24</v>
      </c>
      <c r="H90">
        <v>1</v>
      </c>
      <c r="I90">
        <v>33</v>
      </c>
      <c r="J90">
        <v>72.650000000000006</v>
      </c>
      <c r="K90">
        <v>60</v>
      </c>
      <c r="L90">
        <v>2397.4499999999998</v>
      </c>
      <c r="M90">
        <v>417.45</v>
      </c>
      <c r="N90" s="1">
        <v>38090</v>
      </c>
      <c r="O90" t="s">
        <v>25</v>
      </c>
      <c r="P90">
        <v>2</v>
      </c>
      <c r="Q90">
        <v>4</v>
      </c>
      <c r="R90">
        <v>2004</v>
      </c>
      <c r="S90" t="s">
        <v>226</v>
      </c>
    </row>
    <row r="91" spans="1:19" x14ac:dyDescent="0.25">
      <c r="A91">
        <v>10379</v>
      </c>
      <c r="B91" t="s">
        <v>244</v>
      </c>
      <c r="C91" t="s">
        <v>78</v>
      </c>
      <c r="D91" t="s">
        <v>79</v>
      </c>
      <c r="E91" t="s">
        <v>80</v>
      </c>
      <c r="F91" t="s">
        <v>30</v>
      </c>
      <c r="G91" t="s">
        <v>24</v>
      </c>
      <c r="H91">
        <v>1</v>
      </c>
      <c r="I91">
        <v>27</v>
      </c>
      <c r="J91">
        <v>49.3</v>
      </c>
      <c r="K91">
        <v>60</v>
      </c>
      <c r="L91">
        <v>1331.1</v>
      </c>
      <c r="M91">
        <v>-288.89999999999998</v>
      </c>
      <c r="N91" s="1">
        <v>38393</v>
      </c>
      <c r="O91" t="s">
        <v>25</v>
      </c>
      <c r="P91">
        <v>1</v>
      </c>
      <c r="Q91">
        <v>2</v>
      </c>
      <c r="R91">
        <v>2005</v>
      </c>
      <c r="S91" t="s">
        <v>226</v>
      </c>
    </row>
    <row r="92" spans="1:19" x14ac:dyDescent="0.25">
      <c r="A92">
        <v>10407</v>
      </c>
      <c r="B92" t="s">
        <v>244</v>
      </c>
      <c r="C92" t="s">
        <v>162</v>
      </c>
      <c r="D92" t="s">
        <v>163</v>
      </c>
      <c r="E92" t="s">
        <v>22</v>
      </c>
      <c r="F92" t="s">
        <v>23</v>
      </c>
      <c r="G92" t="s">
        <v>33</v>
      </c>
      <c r="H92">
        <v>1</v>
      </c>
      <c r="I92">
        <v>42</v>
      </c>
      <c r="J92">
        <v>72.650000000000006</v>
      </c>
      <c r="K92">
        <v>60</v>
      </c>
      <c r="L92">
        <v>3051.3</v>
      </c>
      <c r="M92">
        <v>531.29999999999995</v>
      </c>
      <c r="N92" s="1">
        <v>38464</v>
      </c>
      <c r="O92" t="s">
        <v>164</v>
      </c>
      <c r="P92">
        <v>2</v>
      </c>
      <c r="Q92">
        <v>4</v>
      </c>
      <c r="R92">
        <v>2005</v>
      </c>
      <c r="S92" t="s">
        <v>226</v>
      </c>
    </row>
    <row r="93" spans="1:19" x14ac:dyDescent="0.25">
      <c r="A93">
        <v>10204</v>
      </c>
      <c r="B93" t="s">
        <v>246</v>
      </c>
      <c r="C93" t="s">
        <v>192</v>
      </c>
      <c r="D93" t="s">
        <v>21</v>
      </c>
      <c r="E93" t="s">
        <v>22</v>
      </c>
      <c r="F93" t="s">
        <v>23</v>
      </c>
      <c r="G93" t="s">
        <v>33</v>
      </c>
      <c r="H93">
        <v>1</v>
      </c>
      <c r="I93">
        <v>26</v>
      </c>
      <c r="J93">
        <v>100</v>
      </c>
      <c r="K93">
        <v>127</v>
      </c>
      <c r="L93">
        <v>3206.32</v>
      </c>
      <c r="M93">
        <v>-95.68</v>
      </c>
      <c r="N93" s="1">
        <v>37957</v>
      </c>
      <c r="O93" t="s">
        <v>25</v>
      </c>
      <c r="P93">
        <v>4</v>
      </c>
      <c r="Q93">
        <v>12</v>
      </c>
      <c r="R93">
        <v>2003</v>
      </c>
      <c r="S93" t="s">
        <v>226</v>
      </c>
    </row>
    <row r="94" spans="1:19" x14ac:dyDescent="0.25">
      <c r="A94">
        <v>10334</v>
      </c>
      <c r="B94" t="s">
        <v>247</v>
      </c>
      <c r="C94" t="s">
        <v>84</v>
      </c>
      <c r="D94" t="s">
        <v>85</v>
      </c>
      <c r="E94" t="s">
        <v>86</v>
      </c>
      <c r="F94" t="s">
        <v>30</v>
      </c>
      <c r="G94" t="s">
        <v>24</v>
      </c>
      <c r="H94">
        <v>1</v>
      </c>
      <c r="I94">
        <v>34</v>
      </c>
      <c r="J94">
        <v>61.38</v>
      </c>
      <c r="K94">
        <v>60</v>
      </c>
      <c r="L94">
        <v>2086.92</v>
      </c>
      <c r="M94">
        <v>46.92</v>
      </c>
      <c r="N94" s="1">
        <v>38310</v>
      </c>
      <c r="O94" t="s">
        <v>164</v>
      </c>
      <c r="P94">
        <v>4</v>
      </c>
      <c r="Q94">
        <v>11</v>
      </c>
      <c r="R94">
        <v>2004</v>
      </c>
      <c r="S94" t="s">
        <v>202</v>
      </c>
    </row>
    <row r="95" spans="1:19" x14ac:dyDescent="0.25">
      <c r="A95">
        <v>10284</v>
      </c>
      <c r="B95" t="s">
        <v>248</v>
      </c>
      <c r="C95" t="s">
        <v>223</v>
      </c>
      <c r="D95" t="s">
        <v>224</v>
      </c>
      <c r="E95" t="s">
        <v>44</v>
      </c>
      <c r="F95" t="s">
        <v>30</v>
      </c>
      <c r="G95" t="s">
        <v>24</v>
      </c>
      <c r="H95">
        <v>1</v>
      </c>
      <c r="I95">
        <v>31</v>
      </c>
      <c r="J95">
        <v>71.81</v>
      </c>
      <c r="K95">
        <v>84</v>
      </c>
      <c r="L95">
        <v>2226.11</v>
      </c>
      <c r="M95">
        <v>-377.89</v>
      </c>
      <c r="N95" s="1">
        <v>38220</v>
      </c>
      <c r="O95" t="s">
        <v>25</v>
      </c>
      <c r="P95">
        <v>3</v>
      </c>
      <c r="Q95">
        <v>8</v>
      </c>
      <c r="R95">
        <v>2004</v>
      </c>
      <c r="S95" t="s">
        <v>234</v>
      </c>
    </row>
    <row r="96" spans="1:19" x14ac:dyDescent="0.25">
      <c r="A96">
        <v>10353</v>
      </c>
      <c r="B96" t="s">
        <v>248</v>
      </c>
      <c r="C96" t="s">
        <v>235</v>
      </c>
      <c r="D96" t="s">
        <v>208</v>
      </c>
      <c r="E96" t="s">
        <v>22</v>
      </c>
      <c r="F96" t="s">
        <v>23</v>
      </c>
      <c r="G96" t="s">
        <v>33</v>
      </c>
      <c r="H96">
        <v>1</v>
      </c>
      <c r="I96">
        <v>27</v>
      </c>
      <c r="J96">
        <v>100</v>
      </c>
      <c r="K96">
        <v>84</v>
      </c>
      <c r="L96">
        <v>3515.67</v>
      </c>
      <c r="M96">
        <v>1247.67</v>
      </c>
      <c r="N96" s="1">
        <v>38325</v>
      </c>
      <c r="O96" t="s">
        <v>25</v>
      </c>
      <c r="P96">
        <v>4</v>
      </c>
      <c r="Q96">
        <v>12</v>
      </c>
      <c r="R96">
        <v>2004</v>
      </c>
      <c r="S96" t="s">
        <v>234</v>
      </c>
    </row>
    <row r="97" spans="1:19" x14ac:dyDescent="0.25">
      <c r="A97">
        <v>10339</v>
      </c>
      <c r="B97" t="s">
        <v>249</v>
      </c>
      <c r="C97" t="s">
        <v>105</v>
      </c>
      <c r="D97" t="s">
        <v>106</v>
      </c>
      <c r="E97" t="s">
        <v>107</v>
      </c>
      <c r="F97" t="s">
        <v>50</v>
      </c>
      <c r="G97" t="s">
        <v>24</v>
      </c>
      <c r="H97">
        <v>1</v>
      </c>
      <c r="I97">
        <v>30</v>
      </c>
      <c r="J97">
        <v>62.16</v>
      </c>
      <c r="K97">
        <v>60</v>
      </c>
      <c r="L97">
        <v>1864.8</v>
      </c>
      <c r="M97">
        <v>64.8</v>
      </c>
      <c r="N97" s="1">
        <v>38314</v>
      </c>
      <c r="O97" t="s">
        <v>25</v>
      </c>
      <c r="P97">
        <v>4</v>
      </c>
      <c r="Q97">
        <v>11</v>
      </c>
      <c r="R97">
        <v>2004</v>
      </c>
      <c r="S97" t="s">
        <v>26</v>
      </c>
    </row>
    <row r="98" spans="1:19" x14ac:dyDescent="0.25">
      <c r="A98">
        <v>10101</v>
      </c>
      <c r="B98" t="s">
        <v>250</v>
      </c>
      <c r="C98" t="s">
        <v>187</v>
      </c>
      <c r="D98" t="s">
        <v>188</v>
      </c>
      <c r="E98" t="s">
        <v>180</v>
      </c>
      <c r="F98" t="s">
        <v>30</v>
      </c>
      <c r="G98" t="s">
        <v>33</v>
      </c>
      <c r="H98">
        <v>1</v>
      </c>
      <c r="I98">
        <v>26</v>
      </c>
      <c r="J98">
        <v>100</v>
      </c>
      <c r="K98">
        <v>168</v>
      </c>
      <c r="L98">
        <v>3773.38</v>
      </c>
      <c r="M98">
        <v>-594.62</v>
      </c>
      <c r="N98" s="1">
        <v>37630</v>
      </c>
      <c r="O98" t="s">
        <v>25</v>
      </c>
      <c r="P98">
        <v>1</v>
      </c>
      <c r="Q98">
        <v>1</v>
      </c>
      <c r="R98">
        <v>2003</v>
      </c>
      <c r="S98" t="s">
        <v>226</v>
      </c>
    </row>
    <row r="99" spans="1:19" x14ac:dyDescent="0.25">
      <c r="A99">
        <v>10110</v>
      </c>
      <c r="B99" t="s">
        <v>250</v>
      </c>
      <c r="C99" t="s">
        <v>197</v>
      </c>
      <c r="D99" t="s">
        <v>198</v>
      </c>
      <c r="E99" t="s">
        <v>77</v>
      </c>
      <c r="F99" t="s">
        <v>30</v>
      </c>
      <c r="G99" t="s">
        <v>33</v>
      </c>
      <c r="H99">
        <v>1</v>
      </c>
      <c r="I99">
        <v>31</v>
      </c>
      <c r="J99">
        <v>100</v>
      </c>
      <c r="K99">
        <v>168</v>
      </c>
      <c r="L99">
        <v>5074.3900000000003</v>
      </c>
      <c r="M99">
        <v>-133.61000000000001</v>
      </c>
      <c r="N99" s="1">
        <v>37698</v>
      </c>
      <c r="O99" t="s">
        <v>25</v>
      </c>
      <c r="P99">
        <v>1</v>
      </c>
      <c r="Q99">
        <v>3</v>
      </c>
      <c r="R99">
        <v>2003</v>
      </c>
      <c r="S99" t="s">
        <v>226</v>
      </c>
    </row>
    <row r="100" spans="1:19" x14ac:dyDescent="0.25">
      <c r="A100">
        <v>10214</v>
      </c>
      <c r="B100" t="s">
        <v>250</v>
      </c>
      <c r="C100" t="s">
        <v>87</v>
      </c>
      <c r="D100" t="s">
        <v>79</v>
      </c>
      <c r="E100" t="s">
        <v>80</v>
      </c>
      <c r="F100" t="s">
        <v>30</v>
      </c>
      <c r="G100" t="s">
        <v>70</v>
      </c>
      <c r="H100">
        <v>1</v>
      </c>
      <c r="I100">
        <v>50</v>
      </c>
      <c r="J100">
        <v>100</v>
      </c>
      <c r="K100">
        <v>168</v>
      </c>
      <c r="L100">
        <v>9534.5</v>
      </c>
      <c r="M100">
        <v>1134.5</v>
      </c>
      <c r="N100" s="1">
        <v>38012</v>
      </c>
      <c r="O100" t="s">
        <v>25</v>
      </c>
      <c r="P100">
        <v>1</v>
      </c>
      <c r="Q100">
        <v>1</v>
      </c>
      <c r="R100">
        <v>2004</v>
      </c>
      <c r="S100" t="s">
        <v>226</v>
      </c>
    </row>
    <row r="101" spans="1:19" x14ac:dyDescent="0.25">
      <c r="A101">
        <v>10255</v>
      </c>
      <c r="B101" t="s">
        <v>250</v>
      </c>
      <c r="C101" t="s">
        <v>217</v>
      </c>
      <c r="D101" t="s">
        <v>218</v>
      </c>
      <c r="E101" t="s">
        <v>29</v>
      </c>
      <c r="F101" t="s">
        <v>30</v>
      </c>
      <c r="G101" t="s">
        <v>33</v>
      </c>
      <c r="H101">
        <v>1</v>
      </c>
      <c r="I101">
        <v>24</v>
      </c>
      <c r="J101">
        <v>100</v>
      </c>
      <c r="K101">
        <v>168</v>
      </c>
      <c r="L101">
        <v>3726</v>
      </c>
      <c r="M101">
        <v>-306</v>
      </c>
      <c r="N101" s="1">
        <v>38142</v>
      </c>
      <c r="O101" t="s">
        <v>25</v>
      </c>
      <c r="P101">
        <v>2</v>
      </c>
      <c r="Q101">
        <v>6</v>
      </c>
      <c r="R101">
        <v>2004</v>
      </c>
      <c r="S101" t="s">
        <v>226</v>
      </c>
    </row>
    <row r="102" spans="1:19" x14ac:dyDescent="0.25">
      <c r="A102">
        <v>10332</v>
      </c>
      <c r="B102" t="s">
        <v>250</v>
      </c>
      <c r="C102" t="s">
        <v>197</v>
      </c>
      <c r="D102" t="s">
        <v>198</v>
      </c>
      <c r="E102" t="s">
        <v>77</v>
      </c>
      <c r="F102" t="s">
        <v>30</v>
      </c>
      <c r="G102" t="s">
        <v>24</v>
      </c>
      <c r="H102">
        <v>1</v>
      </c>
      <c r="I102">
        <v>24</v>
      </c>
      <c r="J102">
        <v>52.67</v>
      </c>
      <c r="K102">
        <v>168</v>
      </c>
      <c r="L102">
        <v>1264.08</v>
      </c>
      <c r="M102">
        <v>-2767.92</v>
      </c>
      <c r="N102" s="1">
        <v>38308</v>
      </c>
      <c r="O102" t="s">
        <v>25</v>
      </c>
      <c r="P102">
        <v>4</v>
      </c>
      <c r="Q102">
        <v>11</v>
      </c>
      <c r="R102">
        <v>2004</v>
      </c>
      <c r="S102" t="s">
        <v>226</v>
      </c>
    </row>
    <row r="103" spans="1:19" x14ac:dyDescent="0.25">
      <c r="A103">
        <v>10356</v>
      </c>
      <c r="B103" t="s">
        <v>250</v>
      </c>
      <c r="C103" t="s">
        <v>31</v>
      </c>
      <c r="D103" t="s">
        <v>32</v>
      </c>
      <c r="E103" t="s">
        <v>29</v>
      </c>
      <c r="F103" t="s">
        <v>30</v>
      </c>
      <c r="G103" t="s">
        <v>33</v>
      </c>
      <c r="H103">
        <v>1</v>
      </c>
      <c r="I103">
        <v>30</v>
      </c>
      <c r="J103">
        <v>100</v>
      </c>
      <c r="K103">
        <v>168</v>
      </c>
      <c r="L103">
        <v>4462.2</v>
      </c>
      <c r="M103">
        <v>-577.79999999999995</v>
      </c>
      <c r="N103" s="1">
        <v>38330</v>
      </c>
      <c r="O103" t="s">
        <v>25</v>
      </c>
      <c r="P103">
        <v>4</v>
      </c>
      <c r="Q103">
        <v>12</v>
      </c>
      <c r="R103">
        <v>2004</v>
      </c>
      <c r="S103" t="s">
        <v>226</v>
      </c>
    </row>
    <row r="104" spans="1:19" x14ac:dyDescent="0.25">
      <c r="A104">
        <v>10421</v>
      </c>
      <c r="B104" t="s">
        <v>250</v>
      </c>
      <c r="C104" t="s">
        <v>115</v>
      </c>
      <c r="D104" t="s">
        <v>116</v>
      </c>
      <c r="E104" t="s">
        <v>22</v>
      </c>
      <c r="F104" t="s">
        <v>23</v>
      </c>
      <c r="G104" t="s">
        <v>33</v>
      </c>
      <c r="H104">
        <v>1</v>
      </c>
      <c r="I104">
        <v>35</v>
      </c>
      <c r="J104">
        <v>100</v>
      </c>
      <c r="K104">
        <v>168</v>
      </c>
      <c r="L104">
        <v>5433.75</v>
      </c>
      <c r="M104">
        <v>-446.25</v>
      </c>
      <c r="N104" s="1">
        <v>38501</v>
      </c>
      <c r="O104" t="s">
        <v>125</v>
      </c>
      <c r="P104">
        <v>2</v>
      </c>
      <c r="Q104">
        <v>5</v>
      </c>
      <c r="R104">
        <v>2005</v>
      </c>
      <c r="S104" t="s">
        <v>226</v>
      </c>
    </row>
    <row r="105" spans="1:19" x14ac:dyDescent="0.25">
      <c r="A105">
        <v>10109</v>
      </c>
      <c r="B105" t="s">
        <v>251</v>
      </c>
      <c r="C105" t="s">
        <v>129</v>
      </c>
      <c r="D105" t="s">
        <v>94</v>
      </c>
      <c r="E105" t="s">
        <v>22</v>
      </c>
      <c r="F105" t="s">
        <v>23</v>
      </c>
      <c r="G105" t="s">
        <v>33</v>
      </c>
      <c r="H105">
        <v>1</v>
      </c>
      <c r="I105">
        <v>26</v>
      </c>
      <c r="J105">
        <v>100</v>
      </c>
      <c r="K105">
        <v>132</v>
      </c>
      <c r="L105">
        <v>3157.44</v>
      </c>
      <c r="M105">
        <v>-274.56</v>
      </c>
      <c r="N105" s="1">
        <v>37690</v>
      </c>
      <c r="O105" t="s">
        <v>25</v>
      </c>
      <c r="P105">
        <v>1</v>
      </c>
      <c r="Q105">
        <v>3</v>
      </c>
      <c r="R105">
        <v>2003</v>
      </c>
      <c r="S105" t="s">
        <v>83</v>
      </c>
    </row>
    <row r="106" spans="1:19" x14ac:dyDescent="0.25">
      <c r="A106">
        <v>10287</v>
      </c>
      <c r="B106" t="s">
        <v>251</v>
      </c>
      <c r="C106" t="s">
        <v>181</v>
      </c>
      <c r="D106" t="s">
        <v>182</v>
      </c>
      <c r="E106" t="s">
        <v>183</v>
      </c>
      <c r="F106" t="s">
        <v>30</v>
      </c>
      <c r="G106" t="s">
        <v>33</v>
      </c>
      <c r="H106">
        <v>1</v>
      </c>
      <c r="I106">
        <v>44</v>
      </c>
      <c r="J106">
        <v>100</v>
      </c>
      <c r="K106">
        <v>132</v>
      </c>
      <c r="L106">
        <v>5052.96</v>
      </c>
      <c r="M106">
        <v>-755.04</v>
      </c>
      <c r="N106" s="1">
        <v>38229</v>
      </c>
      <c r="O106" t="s">
        <v>25</v>
      </c>
      <c r="P106">
        <v>3</v>
      </c>
      <c r="Q106">
        <v>8</v>
      </c>
      <c r="R106">
        <v>2004</v>
      </c>
      <c r="S106" t="s">
        <v>83</v>
      </c>
    </row>
    <row r="107" spans="1:19" x14ac:dyDescent="0.25">
      <c r="A107">
        <v>10139</v>
      </c>
      <c r="B107" t="s">
        <v>252</v>
      </c>
      <c r="C107" t="s">
        <v>71</v>
      </c>
      <c r="D107" t="s">
        <v>72</v>
      </c>
      <c r="E107" t="s">
        <v>49</v>
      </c>
      <c r="F107" t="s">
        <v>50</v>
      </c>
      <c r="G107" t="s">
        <v>33</v>
      </c>
      <c r="H107">
        <v>1</v>
      </c>
      <c r="I107">
        <v>46</v>
      </c>
      <c r="J107">
        <v>100</v>
      </c>
      <c r="K107">
        <v>101</v>
      </c>
      <c r="L107">
        <v>5545.76</v>
      </c>
      <c r="M107">
        <v>899.76</v>
      </c>
      <c r="N107" s="1">
        <v>37818</v>
      </c>
      <c r="O107" t="s">
        <v>25</v>
      </c>
      <c r="P107">
        <v>3</v>
      </c>
      <c r="Q107">
        <v>7</v>
      </c>
      <c r="R107">
        <v>2003</v>
      </c>
      <c r="S107" t="s">
        <v>226</v>
      </c>
    </row>
    <row r="108" spans="1:19" x14ac:dyDescent="0.25">
      <c r="A108">
        <v>10193</v>
      </c>
      <c r="B108" t="s">
        <v>252</v>
      </c>
      <c r="C108" t="s">
        <v>229</v>
      </c>
      <c r="D108" t="s">
        <v>230</v>
      </c>
      <c r="E108" t="s">
        <v>49</v>
      </c>
      <c r="F108" t="s">
        <v>50</v>
      </c>
      <c r="G108" t="s">
        <v>24</v>
      </c>
      <c r="H108">
        <v>1</v>
      </c>
      <c r="I108">
        <v>28</v>
      </c>
      <c r="J108">
        <v>93.21</v>
      </c>
      <c r="K108">
        <v>101</v>
      </c>
      <c r="L108">
        <v>2609.88</v>
      </c>
      <c r="M108">
        <v>-218.12</v>
      </c>
      <c r="N108" s="1">
        <v>37946</v>
      </c>
      <c r="O108" t="s">
        <v>25</v>
      </c>
      <c r="P108">
        <v>4</v>
      </c>
      <c r="Q108">
        <v>11</v>
      </c>
      <c r="R108">
        <v>2003</v>
      </c>
      <c r="S108" t="s">
        <v>226</v>
      </c>
    </row>
    <row r="109" spans="1:19" x14ac:dyDescent="0.25">
      <c r="A109">
        <v>10244</v>
      </c>
      <c r="B109" t="s">
        <v>252</v>
      </c>
      <c r="C109" t="s">
        <v>78</v>
      </c>
      <c r="D109" t="s">
        <v>79</v>
      </c>
      <c r="E109" t="s">
        <v>80</v>
      </c>
      <c r="F109" t="s">
        <v>30</v>
      </c>
      <c r="G109" t="s">
        <v>33</v>
      </c>
      <c r="H109">
        <v>1</v>
      </c>
      <c r="I109">
        <v>30</v>
      </c>
      <c r="J109">
        <v>100</v>
      </c>
      <c r="K109">
        <v>101</v>
      </c>
      <c r="L109">
        <v>3525.6</v>
      </c>
      <c r="M109">
        <v>495.6</v>
      </c>
      <c r="N109" s="1">
        <v>38106</v>
      </c>
      <c r="O109" t="s">
        <v>25</v>
      </c>
      <c r="P109">
        <v>2</v>
      </c>
      <c r="Q109">
        <v>4</v>
      </c>
      <c r="R109">
        <v>2004</v>
      </c>
      <c r="S109" t="s">
        <v>226</v>
      </c>
    </row>
    <row r="110" spans="1:19" x14ac:dyDescent="0.25">
      <c r="A110">
        <v>10257</v>
      </c>
      <c r="B110" t="s">
        <v>252</v>
      </c>
      <c r="C110" t="s">
        <v>162</v>
      </c>
      <c r="D110" t="s">
        <v>163</v>
      </c>
      <c r="E110" t="s">
        <v>22</v>
      </c>
      <c r="F110" t="s">
        <v>23</v>
      </c>
      <c r="G110" t="s">
        <v>33</v>
      </c>
      <c r="H110">
        <v>1</v>
      </c>
      <c r="I110">
        <v>50</v>
      </c>
      <c r="J110">
        <v>88.14</v>
      </c>
      <c r="K110">
        <v>101</v>
      </c>
      <c r="L110">
        <v>4407</v>
      </c>
      <c r="M110">
        <v>-643</v>
      </c>
      <c r="N110" s="1">
        <v>38152</v>
      </c>
      <c r="O110" t="s">
        <v>25</v>
      </c>
      <c r="P110">
        <v>2</v>
      </c>
      <c r="Q110">
        <v>6</v>
      </c>
      <c r="R110">
        <v>2004</v>
      </c>
      <c r="S110" t="s">
        <v>226</v>
      </c>
    </row>
    <row r="111" spans="1:19" x14ac:dyDescent="0.25">
      <c r="A111">
        <v>10369</v>
      </c>
      <c r="B111" t="s">
        <v>252</v>
      </c>
      <c r="C111" t="s">
        <v>119</v>
      </c>
      <c r="D111" t="s">
        <v>120</v>
      </c>
      <c r="E111" t="s">
        <v>22</v>
      </c>
      <c r="F111" t="s">
        <v>23</v>
      </c>
      <c r="G111" t="s">
        <v>33</v>
      </c>
      <c r="H111">
        <v>1</v>
      </c>
      <c r="I111">
        <v>42</v>
      </c>
      <c r="J111">
        <v>100</v>
      </c>
      <c r="K111">
        <v>101</v>
      </c>
      <c r="L111">
        <v>4581.3599999999997</v>
      </c>
      <c r="M111">
        <v>339.36</v>
      </c>
      <c r="N111" s="1">
        <v>38372</v>
      </c>
      <c r="O111" t="s">
        <v>25</v>
      </c>
      <c r="P111">
        <v>1</v>
      </c>
      <c r="Q111">
        <v>1</v>
      </c>
      <c r="R111">
        <v>2005</v>
      </c>
      <c r="S111" t="s">
        <v>226</v>
      </c>
    </row>
    <row r="112" spans="1:19" x14ac:dyDescent="0.25">
      <c r="A112">
        <v>10423</v>
      </c>
      <c r="B112" t="s">
        <v>252</v>
      </c>
      <c r="C112" t="s">
        <v>151</v>
      </c>
      <c r="D112" t="s">
        <v>152</v>
      </c>
      <c r="E112" t="s">
        <v>153</v>
      </c>
      <c r="F112" t="s">
        <v>30</v>
      </c>
      <c r="G112" t="s">
        <v>24</v>
      </c>
      <c r="H112">
        <v>1</v>
      </c>
      <c r="I112">
        <v>10</v>
      </c>
      <c r="J112">
        <v>88.14</v>
      </c>
      <c r="K112">
        <v>101</v>
      </c>
      <c r="L112">
        <v>881.4</v>
      </c>
      <c r="M112">
        <v>-128.6</v>
      </c>
      <c r="N112" s="1">
        <v>38502</v>
      </c>
      <c r="O112" t="s">
        <v>125</v>
      </c>
      <c r="P112">
        <v>2</v>
      </c>
      <c r="Q112">
        <v>5</v>
      </c>
      <c r="R112">
        <v>2005</v>
      </c>
      <c r="S112" t="s">
        <v>226</v>
      </c>
    </row>
    <row r="113" spans="1:19" x14ac:dyDescent="0.25">
      <c r="A113">
        <v>10269</v>
      </c>
      <c r="B113" t="s">
        <v>253</v>
      </c>
      <c r="C113" t="s">
        <v>67</v>
      </c>
      <c r="D113" t="s">
        <v>68</v>
      </c>
      <c r="E113" t="s">
        <v>69</v>
      </c>
      <c r="F113" t="s">
        <v>30</v>
      </c>
      <c r="G113" t="s">
        <v>24</v>
      </c>
      <c r="H113">
        <v>1</v>
      </c>
      <c r="I113">
        <v>32</v>
      </c>
      <c r="J113">
        <v>63.08</v>
      </c>
      <c r="K113">
        <v>62</v>
      </c>
      <c r="L113">
        <v>2018.56</v>
      </c>
      <c r="M113">
        <v>34.56</v>
      </c>
      <c r="N113" s="1">
        <v>38184</v>
      </c>
      <c r="O113" t="s">
        <v>25</v>
      </c>
      <c r="P113">
        <v>3</v>
      </c>
      <c r="Q113">
        <v>7</v>
      </c>
      <c r="R113">
        <v>2004</v>
      </c>
      <c r="S113" t="s">
        <v>226</v>
      </c>
    </row>
    <row r="114" spans="1:19" x14ac:dyDescent="0.25">
      <c r="A114">
        <v>10248</v>
      </c>
      <c r="B114" t="s">
        <v>254</v>
      </c>
      <c r="C114" t="s">
        <v>20</v>
      </c>
      <c r="D114" t="s">
        <v>21</v>
      </c>
      <c r="E114" t="s">
        <v>22</v>
      </c>
      <c r="F114" t="s">
        <v>23</v>
      </c>
      <c r="G114" t="s">
        <v>24</v>
      </c>
      <c r="H114">
        <v>1</v>
      </c>
      <c r="I114">
        <v>21</v>
      </c>
      <c r="J114">
        <v>73.98</v>
      </c>
      <c r="K114">
        <v>86</v>
      </c>
      <c r="L114">
        <v>1553.58</v>
      </c>
      <c r="M114">
        <v>-252.42</v>
      </c>
      <c r="N114" s="1">
        <v>38114</v>
      </c>
      <c r="O114" t="s">
        <v>141</v>
      </c>
      <c r="P114">
        <v>2</v>
      </c>
      <c r="Q114">
        <v>5</v>
      </c>
      <c r="R114">
        <v>2004</v>
      </c>
      <c r="S114" t="s">
        <v>255</v>
      </c>
    </row>
    <row r="115" spans="1:19" x14ac:dyDescent="0.25">
      <c r="A115">
        <v>10414</v>
      </c>
      <c r="B115" t="s">
        <v>254</v>
      </c>
      <c r="C115" t="s">
        <v>156</v>
      </c>
      <c r="D115" t="s">
        <v>157</v>
      </c>
      <c r="E115" t="s">
        <v>22</v>
      </c>
      <c r="F115" t="s">
        <v>23</v>
      </c>
      <c r="G115" t="s">
        <v>33</v>
      </c>
      <c r="H115">
        <v>1</v>
      </c>
      <c r="I115">
        <v>44</v>
      </c>
      <c r="J115">
        <v>73.98</v>
      </c>
      <c r="K115">
        <v>86</v>
      </c>
      <c r="L115">
        <v>3255.12</v>
      </c>
      <c r="M115">
        <v>-528.88</v>
      </c>
      <c r="N115" s="1">
        <v>38478</v>
      </c>
      <c r="O115" t="s">
        <v>164</v>
      </c>
      <c r="P115">
        <v>2</v>
      </c>
      <c r="Q115">
        <v>5</v>
      </c>
      <c r="R115">
        <v>2005</v>
      </c>
      <c r="S115" t="s">
        <v>255</v>
      </c>
    </row>
    <row r="116" spans="1:19" x14ac:dyDescent="0.25">
      <c r="A116">
        <v>10111</v>
      </c>
      <c r="B116" t="s">
        <v>257</v>
      </c>
      <c r="C116" t="s">
        <v>45</v>
      </c>
      <c r="D116" t="s">
        <v>37</v>
      </c>
      <c r="E116" t="s">
        <v>22</v>
      </c>
      <c r="F116" t="s">
        <v>23</v>
      </c>
      <c r="G116" t="s">
        <v>33</v>
      </c>
      <c r="H116">
        <v>1</v>
      </c>
      <c r="I116">
        <v>43</v>
      </c>
      <c r="J116">
        <v>100</v>
      </c>
      <c r="K116">
        <v>104</v>
      </c>
      <c r="L116">
        <v>4818.1499999999996</v>
      </c>
      <c r="M116">
        <v>346.15</v>
      </c>
      <c r="N116" s="1">
        <v>37705</v>
      </c>
      <c r="O116" t="s">
        <v>25</v>
      </c>
      <c r="P116">
        <v>1</v>
      </c>
      <c r="Q116">
        <v>3</v>
      </c>
      <c r="R116">
        <v>2003</v>
      </c>
      <c r="S116" t="s">
        <v>226</v>
      </c>
    </row>
    <row r="117" spans="1:19" x14ac:dyDescent="0.25">
      <c r="A117">
        <v>10173</v>
      </c>
      <c r="B117" t="s">
        <v>257</v>
      </c>
      <c r="C117" t="s">
        <v>227</v>
      </c>
      <c r="D117" t="s">
        <v>228</v>
      </c>
      <c r="E117" t="s">
        <v>110</v>
      </c>
      <c r="F117" t="s">
        <v>30</v>
      </c>
      <c r="G117" t="s">
        <v>24</v>
      </c>
      <c r="H117">
        <v>1</v>
      </c>
      <c r="I117">
        <v>31</v>
      </c>
      <c r="J117">
        <v>89.01</v>
      </c>
      <c r="K117">
        <v>104</v>
      </c>
      <c r="L117">
        <v>2759.31</v>
      </c>
      <c r="M117">
        <v>-464.69</v>
      </c>
      <c r="N117" s="1">
        <v>37930</v>
      </c>
      <c r="O117" t="s">
        <v>25</v>
      </c>
      <c r="P117">
        <v>4</v>
      </c>
      <c r="Q117">
        <v>11</v>
      </c>
      <c r="R117">
        <v>2003</v>
      </c>
      <c r="S117" t="s">
        <v>226</v>
      </c>
    </row>
    <row r="118" spans="1:19" x14ac:dyDescent="0.25">
      <c r="A118">
        <v>10196</v>
      </c>
      <c r="B118" t="s">
        <v>258</v>
      </c>
      <c r="C118" t="s">
        <v>103</v>
      </c>
      <c r="D118" t="s">
        <v>104</v>
      </c>
      <c r="E118" t="s">
        <v>22</v>
      </c>
      <c r="F118" t="s">
        <v>23</v>
      </c>
      <c r="G118" t="s">
        <v>33</v>
      </c>
      <c r="H118">
        <v>1</v>
      </c>
      <c r="I118">
        <v>49</v>
      </c>
      <c r="J118">
        <v>100</v>
      </c>
      <c r="K118">
        <v>136</v>
      </c>
      <c r="L118">
        <v>6893.81</v>
      </c>
      <c r="M118">
        <v>229.81</v>
      </c>
      <c r="N118" s="1">
        <v>37951</v>
      </c>
      <c r="O118" t="s">
        <v>25</v>
      </c>
      <c r="P118">
        <v>4</v>
      </c>
      <c r="Q118">
        <v>11</v>
      </c>
      <c r="R118">
        <v>2003</v>
      </c>
      <c r="S118" t="s">
        <v>226</v>
      </c>
    </row>
    <row r="119" spans="1:19" x14ac:dyDescent="0.25">
      <c r="A119">
        <v>10282</v>
      </c>
      <c r="B119" t="s">
        <v>258</v>
      </c>
      <c r="C119" t="s">
        <v>115</v>
      </c>
      <c r="D119" t="s">
        <v>116</v>
      </c>
      <c r="E119" t="s">
        <v>22</v>
      </c>
      <c r="F119" t="s">
        <v>23</v>
      </c>
      <c r="G119" t="s">
        <v>33</v>
      </c>
      <c r="H119">
        <v>1</v>
      </c>
      <c r="I119">
        <v>43</v>
      </c>
      <c r="J119">
        <v>100</v>
      </c>
      <c r="K119">
        <v>136</v>
      </c>
      <c r="L119">
        <v>6695.53</v>
      </c>
      <c r="M119">
        <v>847.53</v>
      </c>
      <c r="N119" s="1">
        <v>38219</v>
      </c>
      <c r="O119" t="s">
        <v>25</v>
      </c>
      <c r="P119">
        <v>3</v>
      </c>
      <c r="Q119">
        <v>8</v>
      </c>
      <c r="R119">
        <v>2004</v>
      </c>
      <c r="S119" t="s">
        <v>226</v>
      </c>
    </row>
    <row r="120" spans="1:19" x14ac:dyDescent="0.25">
      <c r="A120">
        <v>10314</v>
      </c>
      <c r="B120" t="s">
        <v>258</v>
      </c>
      <c r="C120" t="s">
        <v>199</v>
      </c>
      <c r="D120" t="s">
        <v>200</v>
      </c>
      <c r="E120" t="s">
        <v>137</v>
      </c>
      <c r="F120" t="s">
        <v>30</v>
      </c>
      <c r="G120" t="s">
        <v>24</v>
      </c>
      <c r="H120">
        <v>1</v>
      </c>
      <c r="I120">
        <v>20</v>
      </c>
      <c r="J120">
        <v>100</v>
      </c>
      <c r="K120">
        <v>136</v>
      </c>
      <c r="L120">
        <v>2731.8</v>
      </c>
      <c r="M120">
        <v>11.8</v>
      </c>
      <c r="N120" s="1">
        <v>38282</v>
      </c>
      <c r="O120" t="s">
        <v>25</v>
      </c>
      <c r="P120">
        <v>4</v>
      </c>
      <c r="Q120">
        <v>10</v>
      </c>
      <c r="R120">
        <v>2004</v>
      </c>
      <c r="S120" t="s">
        <v>226</v>
      </c>
    </row>
    <row r="121" spans="1:19" x14ac:dyDescent="0.25">
      <c r="A121">
        <v>10350</v>
      </c>
      <c r="B121" t="s">
        <v>258</v>
      </c>
      <c r="C121" t="s">
        <v>78</v>
      </c>
      <c r="D121" t="s">
        <v>79</v>
      </c>
      <c r="E121" t="s">
        <v>80</v>
      </c>
      <c r="F121" t="s">
        <v>30</v>
      </c>
      <c r="G121" t="s">
        <v>33</v>
      </c>
      <c r="H121">
        <v>1</v>
      </c>
      <c r="I121">
        <v>44</v>
      </c>
      <c r="J121">
        <v>100</v>
      </c>
      <c r="K121">
        <v>136</v>
      </c>
      <c r="L121">
        <v>5191.12</v>
      </c>
      <c r="M121">
        <v>-792.88</v>
      </c>
      <c r="N121" s="1">
        <v>38323</v>
      </c>
      <c r="O121" t="s">
        <v>25</v>
      </c>
      <c r="P121">
        <v>4</v>
      </c>
      <c r="Q121">
        <v>12</v>
      </c>
      <c r="R121">
        <v>2004</v>
      </c>
      <c r="S121" t="s">
        <v>226</v>
      </c>
    </row>
    <row r="122" spans="1:19" x14ac:dyDescent="0.25">
      <c r="A122">
        <v>10160</v>
      </c>
      <c r="B122" t="s">
        <v>259</v>
      </c>
      <c r="C122" t="s">
        <v>147</v>
      </c>
      <c r="D122" t="s">
        <v>148</v>
      </c>
      <c r="E122" t="s">
        <v>22</v>
      </c>
      <c r="F122" t="s">
        <v>23</v>
      </c>
      <c r="G122" t="s">
        <v>33</v>
      </c>
      <c r="H122">
        <v>1</v>
      </c>
      <c r="I122">
        <v>20</v>
      </c>
      <c r="J122">
        <v>100</v>
      </c>
      <c r="K122">
        <v>169</v>
      </c>
      <c r="L122">
        <v>3996.4</v>
      </c>
      <c r="M122">
        <v>616.4</v>
      </c>
      <c r="N122" s="1">
        <v>37905</v>
      </c>
      <c r="O122" t="s">
        <v>25</v>
      </c>
      <c r="P122">
        <v>4</v>
      </c>
      <c r="Q122">
        <v>10</v>
      </c>
      <c r="R122">
        <v>2003</v>
      </c>
      <c r="S122" t="s">
        <v>83</v>
      </c>
    </row>
    <row r="123" spans="1:19" x14ac:dyDescent="0.25">
      <c r="A123">
        <v>10203</v>
      </c>
      <c r="B123" t="s">
        <v>259</v>
      </c>
      <c r="C123" t="s">
        <v>78</v>
      </c>
      <c r="D123" t="s">
        <v>79</v>
      </c>
      <c r="E123" t="s">
        <v>80</v>
      </c>
      <c r="F123" t="s">
        <v>30</v>
      </c>
      <c r="G123" t="s">
        <v>70</v>
      </c>
      <c r="H123">
        <v>1</v>
      </c>
      <c r="I123">
        <v>48</v>
      </c>
      <c r="J123">
        <v>100</v>
      </c>
      <c r="K123">
        <v>169</v>
      </c>
      <c r="L123">
        <v>8291.0400000000009</v>
      </c>
      <c r="M123">
        <v>179.04</v>
      </c>
      <c r="N123" s="1">
        <v>37957</v>
      </c>
      <c r="O123" t="s">
        <v>25</v>
      </c>
      <c r="P123">
        <v>4</v>
      </c>
      <c r="Q123">
        <v>12</v>
      </c>
      <c r="R123">
        <v>2003</v>
      </c>
      <c r="S123" t="s">
        <v>83</v>
      </c>
    </row>
    <row r="124" spans="1:19" x14ac:dyDescent="0.25">
      <c r="A124">
        <v>10239</v>
      </c>
      <c r="B124" t="s">
        <v>259</v>
      </c>
      <c r="C124" t="s">
        <v>160</v>
      </c>
      <c r="D124" t="s">
        <v>161</v>
      </c>
      <c r="E124" t="s">
        <v>62</v>
      </c>
      <c r="F124" t="s">
        <v>30</v>
      </c>
      <c r="G124" t="s">
        <v>70</v>
      </c>
      <c r="H124">
        <v>1</v>
      </c>
      <c r="I124">
        <v>47</v>
      </c>
      <c r="J124">
        <v>100</v>
      </c>
      <c r="K124">
        <v>169</v>
      </c>
      <c r="L124">
        <v>7083.37</v>
      </c>
      <c r="M124">
        <v>-859.63</v>
      </c>
      <c r="N124" s="1">
        <v>38089</v>
      </c>
      <c r="O124" t="s">
        <v>25</v>
      </c>
      <c r="P124">
        <v>2</v>
      </c>
      <c r="Q124">
        <v>4</v>
      </c>
      <c r="R124">
        <v>2004</v>
      </c>
      <c r="S124" t="s">
        <v>83</v>
      </c>
    </row>
    <row r="125" spans="1:19" x14ac:dyDescent="0.25">
      <c r="A125">
        <v>10366</v>
      </c>
      <c r="B125" t="s">
        <v>259</v>
      </c>
      <c r="C125" t="s">
        <v>238</v>
      </c>
      <c r="D125" t="s">
        <v>239</v>
      </c>
      <c r="E125" t="s">
        <v>153</v>
      </c>
      <c r="F125" t="s">
        <v>30</v>
      </c>
      <c r="G125" t="s">
        <v>33</v>
      </c>
      <c r="H125">
        <v>1</v>
      </c>
      <c r="I125">
        <v>34</v>
      </c>
      <c r="J125">
        <v>100</v>
      </c>
      <c r="K125">
        <v>169</v>
      </c>
      <c r="L125">
        <v>6275.72</v>
      </c>
      <c r="M125">
        <v>529.72</v>
      </c>
      <c r="N125" s="1">
        <v>38362</v>
      </c>
      <c r="O125" t="s">
        <v>25</v>
      </c>
      <c r="P125">
        <v>1</v>
      </c>
      <c r="Q125">
        <v>1</v>
      </c>
      <c r="R125">
        <v>2005</v>
      </c>
      <c r="S125" t="s">
        <v>83</v>
      </c>
    </row>
    <row r="126" spans="1:19" x14ac:dyDescent="0.25">
      <c r="A126">
        <v>10405</v>
      </c>
      <c r="B126" t="s">
        <v>259</v>
      </c>
      <c r="C126" t="s">
        <v>217</v>
      </c>
      <c r="D126" t="s">
        <v>218</v>
      </c>
      <c r="E126" t="s">
        <v>29</v>
      </c>
      <c r="F126" t="s">
        <v>30</v>
      </c>
      <c r="G126" t="s">
        <v>70</v>
      </c>
      <c r="H126">
        <v>1</v>
      </c>
      <c r="I126">
        <v>55</v>
      </c>
      <c r="J126">
        <v>100</v>
      </c>
      <c r="K126">
        <v>169</v>
      </c>
      <c r="L126">
        <v>8289.0499999999993</v>
      </c>
      <c r="M126">
        <v>-1005.95</v>
      </c>
      <c r="N126" s="1">
        <v>38456</v>
      </c>
      <c r="O126" t="s">
        <v>25</v>
      </c>
      <c r="P126">
        <v>2</v>
      </c>
      <c r="Q126">
        <v>4</v>
      </c>
      <c r="R126">
        <v>2005</v>
      </c>
      <c r="S126" t="s">
        <v>83</v>
      </c>
    </row>
    <row r="127" spans="1:19" x14ac:dyDescent="0.25">
      <c r="A127">
        <v>10165</v>
      </c>
      <c r="B127" t="s">
        <v>260</v>
      </c>
      <c r="C127" t="s">
        <v>88</v>
      </c>
      <c r="D127" t="s">
        <v>89</v>
      </c>
      <c r="E127" t="s">
        <v>89</v>
      </c>
      <c r="F127" t="s">
        <v>50</v>
      </c>
      <c r="G127" t="s">
        <v>33</v>
      </c>
      <c r="H127">
        <v>1</v>
      </c>
      <c r="I127">
        <v>50</v>
      </c>
      <c r="J127">
        <v>100</v>
      </c>
      <c r="K127">
        <v>100</v>
      </c>
      <c r="L127">
        <v>5344.5</v>
      </c>
      <c r="M127">
        <v>344.5</v>
      </c>
      <c r="N127" s="1">
        <v>37916</v>
      </c>
      <c r="O127" t="s">
        <v>25</v>
      </c>
      <c r="P127">
        <v>4</v>
      </c>
      <c r="Q127">
        <v>10</v>
      </c>
      <c r="R127">
        <v>2003</v>
      </c>
      <c r="S127" t="s">
        <v>261</v>
      </c>
    </row>
    <row r="128" spans="1:19" x14ac:dyDescent="0.25">
      <c r="A128">
        <v>10319</v>
      </c>
      <c r="B128" t="s">
        <v>262</v>
      </c>
      <c r="C128" t="s">
        <v>204</v>
      </c>
      <c r="D128" t="s">
        <v>21</v>
      </c>
      <c r="E128" t="s">
        <v>22</v>
      </c>
      <c r="F128" t="s">
        <v>23</v>
      </c>
      <c r="G128" t="s">
        <v>33</v>
      </c>
      <c r="H128">
        <v>1</v>
      </c>
      <c r="I128">
        <v>46</v>
      </c>
      <c r="J128">
        <v>73.98</v>
      </c>
      <c r="K128">
        <v>80</v>
      </c>
      <c r="L128">
        <v>3403.08</v>
      </c>
      <c r="M128">
        <v>-276.92</v>
      </c>
      <c r="N128" s="1">
        <v>38294</v>
      </c>
      <c r="O128" t="s">
        <v>25</v>
      </c>
      <c r="P128">
        <v>4</v>
      </c>
      <c r="Q128">
        <v>11</v>
      </c>
      <c r="R128">
        <v>2004</v>
      </c>
      <c r="S128" t="s">
        <v>83</v>
      </c>
    </row>
    <row r="129" spans="1:19" x14ac:dyDescent="0.25">
      <c r="A129">
        <v>10182</v>
      </c>
      <c r="B129" t="s">
        <v>263</v>
      </c>
      <c r="C129" t="s">
        <v>115</v>
      </c>
      <c r="D129" t="s">
        <v>116</v>
      </c>
      <c r="E129" t="s">
        <v>22</v>
      </c>
      <c r="F129" t="s">
        <v>23</v>
      </c>
      <c r="G129" t="s">
        <v>24</v>
      </c>
      <c r="H129">
        <v>1</v>
      </c>
      <c r="I129">
        <v>33</v>
      </c>
      <c r="J129">
        <v>86.31</v>
      </c>
      <c r="K129">
        <v>99</v>
      </c>
      <c r="L129">
        <v>2848.23</v>
      </c>
      <c r="M129">
        <v>-418.77</v>
      </c>
      <c r="N129" s="1">
        <v>37937</v>
      </c>
      <c r="O129" t="s">
        <v>25</v>
      </c>
      <c r="P129">
        <v>4</v>
      </c>
      <c r="Q129">
        <v>11</v>
      </c>
      <c r="R129">
        <v>2003</v>
      </c>
      <c r="S129" t="s">
        <v>226</v>
      </c>
    </row>
    <row r="130" spans="1:19" x14ac:dyDescent="0.25">
      <c r="A130">
        <v>10227</v>
      </c>
      <c r="B130" t="s">
        <v>263</v>
      </c>
      <c r="C130" t="s">
        <v>95</v>
      </c>
      <c r="D130" t="s">
        <v>96</v>
      </c>
      <c r="E130" t="s">
        <v>29</v>
      </c>
      <c r="F130" t="s">
        <v>30</v>
      </c>
      <c r="G130" t="s">
        <v>33</v>
      </c>
      <c r="H130">
        <v>1</v>
      </c>
      <c r="I130">
        <v>33</v>
      </c>
      <c r="J130">
        <v>100</v>
      </c>
      <c r="K130">
        <v>99</v>
      </c>
      <c r="L130">
        <v>3666.96</v>
      </c>
      <c r="M130">
        <v>399.96</v>
      </c>
      <c r="N130" s="1">
        <v>38048</v>
      </c>
      <c r="O130" t="s">
        <v>25</v>
      </c>
      <c r="P130">
        <v>1</v>
      </c>
      <c r="Q130">
        <v>3</v>
      </c>
      <c r="R130">
        <v>2004</v>
      </c>
      <c r="S130" t="s">
        <v>226</v>
      </c>
    </row>
    <row r="131" spans="1:19" x14ac:dyDescent="0.25">
      <c r="A131">
        <v>10392</v>
      </c>
      <c r="B131" t="s">
        <v>263</v>
      </c>
      <c r="C131" t="s">
        <v>167</v>
      </c>
      <c r="D131" t="s">
        <v>168</v>
      </c>
      <c r="E131" t="s">
        <v>69</v>
      </c>
      <c r="F131" t="s">
        <v>30</v>
      </c>
      <c r="G131" t="s">
        <v>33</v>
      </c>
      <c r="H131">
        <v>1</v>
      </c>
      <c r="I131">
        <v>36</v>
      </c>
      <c r="J131">
        <v>100</v>
      </c>
      <c r="K131">
        <v>99</v>
      </c>
      <c r="L131">
        <v>4035.96</v>
      </c>
      <c r="M131">
        <v>471.96</v>
      </c>
      <c r="N131" s="1">
        <v>38421</v>
      </c>
      <c r="O131" t="s">
        <v>25</v>
      </c>
      <c r="P131">
        <v>1</v>
      </c>
      <c r="Q131">
        <v>3</v>
      </c>
      <c r="R131">
        <v>2005</v>
      </c>
      <c r="S131" t="s">
        <v>226</v>
      </c>
    </row>
    <row r="132" spans="1:19" x14ac:dyDescent="0.25">
      <c r="A132">
        <v>10252</v>
      </c>
      <c r="B132" t="s">
        <v>264</v>
      </c>
      <c r="C132" t="s">
        <v>46</v>
      </c>
      <c r="D132" t="s">
        <v>32</v>
      </c>
      <c r="E132" t="s">
        <v>29</v>
      </c>
      <c r="F132" t="s">
        <v>30</v>
      </c>
      <c r="G132" t="s">
        <v>33</v>
      </c>
      <c r="H132">
        <v>1</v>
      </c>
      <c r="I132">
        <v>41</v>
      </c>
      <c r="J132">
        <v>100</v>
      </c>
      <c r="K132">
        <v>146</v>
      </c>
      <c r="L132">
        <v>6749.83</v>
      </c>
      <c r="M132">
        <v>763.83</v>
      </c>
      <c r="N132" s="1">
        <v>38133</v>
      </c>
      <c r="O132" t="s">
        <v>25</v>
      </c>
      <c r="P132">
        <v>2</v>
      </c>
      <c r="Q132">
        <v>5</v>
      </c>
      <c r="R132">
        <v>2004</v>
      </c>
      <c r="S132" t="s">
        <v>83</v>
      </c>
    </row>
    <row r="133" spans="1:19" x14ac:dyDescent="0.25">
      <c r="A133">
        <v>10265</v>
      </c>
      <c r="B133" t="s">
        <v>264</v>
      </c>
      <c r="C133" t="s">
        <v>229</v>
      </c>
      <c r="D133" t="s">
        <v>230</v>
      </c>
      <c r="E133" t="s">
        <v>49</v>
      </c>
      <c r="F133" t="s">
        <v>50</v>
      </c>
      <c r="G133" t="s">
        <v>70</v>
      </c>
      <c r="H133">
        <v>1</v>
      </c>
      <c r="I133">
        <v>49</v>
      </c>
      <c r="J133">
        <v>100</v>
      </c>
      <c r="K133">
        <v>146</v>
      </c>
      <c r="L133">
        <v>8427.02</v>
      </c>
      <c r="M133">
        <v>1273.02</v>
      </c>
      <c r="N133" s="1">
        <v>38170</v>
      </c>
      <c r="O133" t="s">
        <v>25</v>
      </c>
      <c r="P133">
        <v>3</v>
      </c>
      <c r="Q133">
        <v>7</v>
      </c>
      <c r="R133">
        <v>2004</v>
      </c>
      <c r="S133" t="s">
        <v>83</v>
      </c>
    </row>
    <row r="134" spans="1:19" x14ac:dyDescent="0.25">
      <c r="A134">
        <v>10390</v>
      </c>
      <c r="B134" t="s">
        <v>264</v>
      </c>
      <c r="C134" t="s">
        <v>115</v>
      </c>
      <c r="D134" t="s">
        <v>116</v>
      </c>
      <c r="E134" t="s">
        <v>22</v>
      </c>
      <c r="F134" t="s">
        <v>23</v>
      </c>
      <c r="G134" t="s">
        <v>70</v>
      </c>
      <c r="H134">
        <v>1</v>
      </c>
      <c r="I134">
        <v>50</v>
      </c>
      <c r="J134">
        <v>100</v>
      </c>
      <c r="K134">
        <v>146</v>
      </c>
      <c r="L134">
        <v>7397</v>
      </c>
      <c r="M134">
        <v>97</v>
      </c>
      <c r="N134" s="1">
        <v>38415</v>
      </c>
      <c r="O134" t="s">
        <v>25</v>
      </c>
      <c r="P134">
        <v>1</v>
      </c>
      <c r="Q134">
        <v>3</v>
      </c>
      <c r="R134">
        <v>2005</v>
      </c>
      <c r="S134" t="s">
        <v>83</v>
      </c>
    </row>
    <row r="135" spans="1:19" x14ac:dyDescent="0.25">
      <c r="A135">
        <v>10240</v>
      </c>
      <c r="B135" t="s">
        <v>265</v>
      </c>
      <c r="C135" t="s">
        <v>127</v>
      </c>
      <c r="D135" t="s">
        <v>128</v>
      </c>
      <c r="E135" t="s">
        <v>107</v>
      </c>
      <c r="F135" t="s">
        <v>50</v>
      </c>
      <c r="G135" t="s">
        <v>33</v>
      </c>
      <c r="H135">
        <v>1</v>
      </c>
      <c r="I135">
        <v>37</v>
      </c>
      <c r="J135">
        <v>100</v>
      </c>
      <c r="K135">
        <v>141</v>
      </c>
      <c r="L135">
        <v>5959.22</v>
      </c>
      <c r="M135">
        <v>742.22</v>
      </c>
      <c r="N135" s="1">
        <v>38090</v>
      </c>
      <c r="O135" t="s">
        <v>25</v>
      </c>
      <c r="P135">
        <v>2</v>
      </c>
      <c r="Q135">
        <v>4</v>
      </c>
      <c r="R135">
        <v>2004</v>
      </c>
      <c r="S135" t="s">
        <v>83</v>
      </c>
    </row>
    <row r="136" spans="1:19" x14ac:dyDescent="0.25">
      <c r="A136">
        <v>10406</v>
      </c>
      <c r="B136" t="s">
        <v>265</v>
      </c>
      <c r="C136" t="s">
        <v>135</v>
      </c>
      <c r="D136" t="s">
        <v>136</v>
      </c>
      <c r="E136" t="s">
        <v>137</v>
      </c>
      <c r="F136" t="s">
        <v>30</v>
      </c>
      <c r="G136" t="s">
        <v>70</v>
      </c>
      <c r="H136">
        <v>1</v>
      </c>
      <c r="I136">
        <v>65</v>
      </c>
      <c r="J136">
        <v>100</v>
      </c>
      <c r="K136">
        <v>141</v>
      </c>
      <c r="L136">
        <v>10468.9</v>
      </c>
      <c r="M136">
        <v>1303.9000000000001</v>
      </c>
      <c r="N136" s="1">
        <v>38457</v>
      </c>
      <c r="O136" t="s">
        <v>81</v>
      </c>
      <c r="P136">
        <v>2</v>
      </c>
      <c r="Q136">
        <v>4</v>
      </c>
      <c r="R136">
        <v>2005</v>
      </c>
      <c r="S136" t="s">
        <v>83</v>
      </c>
    </row>
    <row r="137" spans="1:19" x14ac:dyDescent="0.25">
      <c r="A137">
        <v>10224</v>
      </c>
      <c r="B137" t="s">
        <v>266</v>
      </c>
      <c r="C137" t="s">
        <v>40</v>
      </c>
      <c r="D137" t="s">
        <v>41</v>
      </c>
      <c r="E137" t="s">
        <v>29</v>
      </c>
      <c r="F137" t="s">
        <v>30</v>
      </c>
      <c r="G137" t="s">
        <v>24</v>
      </c>
      <c r="H137">
        <v>1</v>
      </c>
      <c r="I137">
        <v>38</v>
      </c>
      <c r="J137">
        <v>58.44</v>
      </c>
      <c r="K137">
        <v>62</v>
      </c>
      <c r="L137">
        <v>2220.7199999999998</v>
      </c>
      <c r="M137">
        <v>-135.28</v>
      </c>
      <c r="N137" s="1">
        <v>38038</v>
      </c>
      <c r="O137" t="s">
        <v>25</v>
      </c>
      <c r="P137">
        <v>1</v>
      </c>
      <c r="Q137">
        <v>2</v>
      </c>
      <c r="R137">
        <v>2004</v>
      </c>
      <c r="S137" t="s">
        <v>26</v>
      </c>
    </row>
    <row r="138" spans="1:19" x14ac:dyDescent="0.25">
      <c r="A138">
        <v>10237</v>
      </c>
      <c r="B138" t="s">
        <v>266</v>
      </c>
      <c r="C138" t="s">
        <v>51</v>
      </c>
      <c r="D138" t="s">
        <v>21</v>
      </c>
      <c r="E138" t="s">
        <v>22</v>
      </c>
      <c r="F138" t="s">
        <v>23</v>
      </c>
      <c r="G138" t="s">
        <v>24</v>
      </c>
      <c r="H138">
        <v>1</v>
      </c>
      <c r="I138">
        <v>26</v>
      </c>
      <c r="J138">
        <v>52.22</v>
      </c>
      <c r="K138">
        <v>62</v>
      </c>
      <c r="L138">
        <v>1357.72</v>
      </c>
      <c r="M138">
        <v>-254.28</v>
      </c>
      <c r="N138" s="1">
        <v>38082</v>
      </c>
      <c r="O138" t="s">
        <v>25</v>
      </c>
      <c r="P138">
        <v>2</v>
      </c>
      <c r="Q138">
        <v>4</v>
      </c>
      <c r="R138">
        <v>2004</v>
      </c>
      <c r="S138" t="s">
        <v>26</v>
      </c>
    </row>
    <row r="139" spans="1:19" x14ac:dyDescent="0.25">
      <c r="A139">
        <v>10286</v>
      </c>
      <c r="B139" t="s">
        <v>266</v>
      </c>
      <c r="C139" t="s">
        <v>166</v>
      </c>
      <c r="D139" t="s">
        <v>32</v>
      </c>
      <c r="E139" t="s">
        <v>29</v>
      </c>
      <c r="F139" t="s">
        <v>30</v>
      </c>
      <c r="G139" t="s">
        <v>24</v>
      </c>
      <c r="H139">
        <v>1</v>
      </c>
      <c r="I139">
        <v>38</v>
      </c>
      <c r="J139">
        <v>57.2</v>
      </c>
      <c r="K139">
        <v>62</v>
      </c>
      <c r="L139">
        <v>2173.6</v>
      </c>
      <c r="M139">
        <v>-182.4</v>
      </c>
      <c r="N139" s="1">
        <v>38227</v>
      </c>
      <c r="O139" t="s">
        <v>25</v>
      </c>
      <c r="P139">
        <v>3</v>
      </c>
      <c r="Q139">
        <v>8</v>
      </c>
      <c r="R139">
        <v>2004</v>
      </c>
      <c r="S139" t="s">
        <v>26</v>
      </c>
    </row>
    <row r="140" spans="1:19" x14ac:dyDescent="0.25">
      <c r="A140">
        <v>10355</v>
      </c>
      <c r="B140" t="s">
        <v>266</v>
      </c>
      <c r="C140" t="s">
        <v>78</v>
      </c>
      <c r="D140" t="s">
        <v>79</v>
      </c>
      <c r="E140" t="s">
        <v>80</v>
      </c>
      <c r="F140" t="s">
        <v>30</v>
      </c>
      <c r="G140" t="s">
        <v>24</v>
      </c>
      <c r="H140">
        <v>1</v>
      </c>
      <c r="I140">
        <v>31</v>
      </c>
      <c r="J140">
        <v>53.47</v>
      </c>
      <c r="K140">
        <v>62</v>
      </c>
      <c r="L140">
        <v>1657.57</v>
      </c>
      <c r="M140">
        <v>-264.43</v>
      </c>
      <c r="N140" s="1">
        <v>38328</v>
      </c>
      <c r="O140" t="s">
        <v>25</v>
      </c>
      <c r="P140">
        <v>4</v>
      </c>
      <c r="Q140">
        <v>12</v>
      </c>
      <c r="R140">
        <v>2004</v>
      </c>
      <c r="S140" t="s">
        <v>26</v>
      </c>
    </row>
    <row r="141" spans="1:19" x14ac:dyDescent="0.25">
      <c r="A141">
        <v>10403</v>
      </c>
      <c r="B141" t="s">
        <v>266</v>
      </c>
      <c r="C141" t="s">
        <v>75</v>
      </c>
      <c r="D141" t="s">
        <v>76</v>
      </c>
      <c r="E141" t="s">
        <v>77</v>
      </c>
      <c r="F141" t="s">
        <v>30</v>
      </c>
      <c r="G141" t="s">
        <v>24</v>
      </c>
      <c r="H141">
        <v>1</v>
      </c>
      <c r="I141">
        <v>36</v>
      </c>
      <c r="J141">
        <v>52.22</v>
      </c>
      <c r="K141">
        <v>62</v>
      </c>
      <c r="L141">
        <v>1879.92</v>
      </c>
      <c r="M141">
        <v>-352.08</v>
      </c>
      <c r="N141" s="1">
        <v>38450</v>
      </c>
      <c r="O141" t="s">
        <v>25</v>
      </c>
      <c r="P141">
        <v>2</v>
      </c>
      <c r="Q141">
        <v>4</v>
      </c>
      <c r="R141">
        <v>2005</v>
      </c>
      <c r="S141" t="s">
        <v>26</v>
      </c>
    </row>
    <row r="142" spans="1:19" x14ac:dyDescent="0.25">
      <c r="A142">
        <v>10130</v>
      </c>
      <c r="B142" t="s">
        <v>267</v>
      </c>
      <c r="C142" t="s">
        <v>256</v>
      </c>
      <c r="D142" t="s">
        <v>120</v>
      </c>
      <c r="E142" t="s">
        <v>22</v>
      </c>
      <c r="F142" t="s">
        <v>23</v>
      </c>
      <c r="G142" t="s">
        <v>33</v>
      </c>
      <c r="H142">
        <v>1</v>
      </c>
      <c r="I142">
        <v>33</v>
      </c>
      <c r="J142">
        <v>100</v>
      </c>
      <c r="K142">
        <v>105</v>
      </c>
      <c r="L142">
        <v>3423.75</v>
      </c>
      <c r="M142">
        <v>-41.25</v>
      </c>
      <c r="N142" s="1">
        <v>37788</v>
      </c>
      <c r="O142" t="s">
        <v>25</v>
      </c>
      <c r="P142">
        <v>2</v>
      </c>
      <c r="Q142">
        <v>6</v>
      </c>
      <c r="R142">
        <v>2003</v>
      </c>
      <c r="S142" t="s">
        <v>226</v>
      </c>
    </row>
    <row r="143" spans="1:19" x14ac:dyDescent="0.25">
      <c r="A143">
        <v>10273</v>
      </c>
      <c r="B143" t="s">
        <v>267</v>
      </c>
      <c r="C143" t="s">
        <v>151</v>
      </c>
      <c r="D143" t="s">
        <v>152</v>
      </c>
      <c r="E143" t="s">
        <v>153</v>
      </c>
      <c r="F143" t="s">
        <v>30</v>
      </c>
      <c r="G143" t="s">
        <v>33</v>
      </c>
      <c r="H143">
        <v>1</v>
      </c>
      <c r="I143">
        <v>50</v>
      </c>
      <c r="J143">
        <v>85.75</v>
      </c>
      <c r="K143">
        <v>105</v>
      </c>
      <c r="L143">
        <v>4287.5</v>
      </c>
      <c r="M143">
        <v>-962.5</v>
      </c>
      <c r="N143" s="1">
        <v>38189</v>
      </c>
      <c r="O143" t="s">
        <v>25</v>
      </c>
      <c r="P143">
        <v>3</v>
      </c>
      <c r="Q143">
        <v>7</v>
      </c>
      <c r="R143">
        <v>2004</v>
      </c>
      <c r="S143" t="s">
        <v>226</v>
      </c>
    </row>
    <row r="144" spans="1:19" x14ac:dyDescent="0.25">
      <c r="A144">
        <v>10152</v>
      </c>
      <c r="B144" t="s">
        <v>268</v>
      </c>
      <c r="C144" t="s">
        <v>91</v>
      </c>
      <c r="D144" t="s">
        <v>92</v>
      </c>
      <c r="E144" t="s">
        <v>49</v>
      </c>
      <c r="F144" t="s">
        <v>50</v>
      </c>
      <c r="G144" t="s">
        <v>33</v>
      </c>
      <c r="H144">
        <v>1</v>
      </c>
      <c r="I144">
        <v>35</v>
      </c>
      <c r="J144">
        <v>100</v>
      </c>
      <c r="K144">
        <v>143</v>
      </c>
      <c r="L144">
        <v>4524.1000000000004</v>
      </c>
      <c r="M144">
        <v>-480.9</v>
      </c>
      <c r="N144" s="1">
        <v>37889</v>
      </c>
      <c r="O144" t="s">
        <v>25</v>
      </c>
      <c r="P144">
        <v>3</v>
      </c>
      <c r="Q144">
        <v>9</v>
      </c>
      <c r="R144">
        <v>2003</v>
      </c>
      <c r="S144" t="s">
        <v>83</v>
      </c>
    </row>
    <row r="145" spans="1:19" x14ac:dyDescent="0.25">
      <c r="A145">
        <v>10207</v>
      </c>
      <c r="B145" t="s">
        <v>268</v>
      </c>
      <c r="C145" t="s">
        <v>170</v>
      </c>
      <c r="D145" t="s">
        <v>157</v>
      </c>
      <c r="E145" t="s">
        <v>22</v>
      </c>
      <c r="F145" t="s">
        <v>23</v>
      </c>
      <c r="G145" t="s">
        <v>33</v>
      </c>
      <c r="H145">
        <v>1</v>
      </c>
      <c r="I145">
        <v>40</v>
      </c>
      <c r="J145">
        <v>100</v>
      </c>
      <c r="K145">
        <v>143</v>
      </c>
      <c r="L145">
        <v>6146.8</v>
      </c>
      <c r="M145">
        <v>426.8</v>
      </c>
      <c r="N145" s="1">
        <v>37964</v>
      </c>
      <c r="O145" t="s">
        <v>25</v>
      </c>
      <c r="P145">
        <v>4</v>
      </c>
      <c r="Q145">
        <v>12</v>
      </c>
      <c r="R145">
        <v>2003</v>
      </c>
      <c r="S145" t="s">
        <v>83</v>
      </c>
    </row>
    <row r="146" spans="1:19" x14ac:dyDescent="0.25">
      <c r="A146">
        <v>10383</v>
      </c>
      <c r="B146" t="s">
        <v>268</v>
      </c>
      <c r="C146" t="s">
        <v>78</v>
      </c>
      <c r="D146" t="s">
        <v>79</v>
      </c>
      <c r="E146" t="s">
        <v>80</v>
      </c>
      <c r="F146" t="s">
        <v>30</v>
      </c>
      <c r="G146" t="s">
        <v>33</v>
      </c>
      <c r="H146">
        <v>1</v>
      </c>
      <c r="I146">
        <v>38</v>
      </c>
      <c r="J146">
        <v>100</v>
      </c>
      <c r="K146">
        <v>143</v>
      </c>
      <c r="L146">
        <v>5340.9</v>
      </c>
      <c r="M146">
        <v>-93.1</v>
      </c>
      <c r="N146" s="1">
        <v>38405</v>
      </c>
      <c r="O146" t="s">
        <v>25</v>
      </c>
      <c r="P146">
        <v>1</v>
      </c>
      <c r="Q146">
        <v>2</v>
      </c>
      <c r="R146">
        <v>2005</v>
      </c>
      <c r="S146" t="s">
        <v>83</v>
      </c>
    </row>
    <row r="147" spans="1:19" x14ac:dyDescent="0.25">
      <c r="A147">
        <v>10394</v>
      </c>
      <c r="B147" t="s">
        <v>268</v>
      </c>
      <c r="C147" t="s">
        <v>78</v>
      </c>
      <c r="D147" t="s">
        <v>79</v>
      </c>
      <c r="E147" t="s">
        <v>80</v>
      </c>
      <c r="F147" t="s">
        <v>30</v>
      </c>
      <c r="G147" t="s">
        <v>33</v>
      </c>
      <c r="H147">
        <v>1</v>
      </c>
      <c r="I147">
        <v>37</v>
      </c>
      <c r="J147">
        <v>100</v>
      </c>
      <c r="K147">
        <v>143</v>
      </c>
      <c r="L147">
        <v>6376.58</v>
      </c>
      <c r="M147">
        <v>1085.58</v>
      </c>
      <c r="N147" s="1">
        <v>38426</v>
      </c>
      <c r="O147" t="s">
        <v>25</v>
      </c>
      <c r="P147">
        <v>1</v>
      </c>
      <c r="Q147">
        <v>3</v>
      </c>
      <c r="R147">
        <v>2005</v>
      </c>
      <c r="S147" t="s">
        <v>83</v>
      </c>
    </row>
    <row r="148" spans="1:19" x14ac:dyDescent="0.25">
      <c r="A148">
        <v>10148</v>
      </c>
      <c r="B148" t="s">
        <v>269</v>
      </c>
      <c r="C148" t="s">
        <v>121</v>
      </c>
      <c r="D148" t="s">
        <v>122</v>
      </c>
      <c r="E148" t="s">
        <v>49</v>
      </c>
      <c r="F148" t="s">
        <v>50</v>
      </c>
      <c r="G148" t="s">
        <v>33</v>
      </c>
      <c r="H148">
        <v>1</v>
      </c>
      <c r="I148">
        <v>34</v>
      </c>
      <c r="J148">
        <v>100</v>
      </c>
      <c r="K148">
        <v>92</v>
      </c>
      <c r="L148">
        <v>3598.22</v>
      </c>
      <c r="M148">
        <v>470.22</v>
      </c>
      <c r="N148" s="1">
        <v>37875</v>
      </c>
      <c r="O148" t="s">
        <v>25</v>
      </c>
      <c r="P148">
        <v>3</v>
      </c>
      <c r="Q148">
        <v>9</v>
      </c>
      <c r="R148">
        <v>2003</v>
      </c>
      <c r="S148" t="s">
        <v>226</v>
      </c>
    </row>
    <row r="149" spans="1:19" x14ac:dyDescent="0.25">
      <c r="A149">
        <v>10213</v>
      </c>
      <c r="B149" t="s">
        <v>269</v>
      </c>
      <c r="C149" t="s">
        <v>144</v>
      </c>
      <c r="D149" t="s">
        <v>139</v>
      </c>
      <c r="E149" t="s">
        <v>77</v>
      </c>
      <c r="F149" t="s">
        <v>30</v>
      </c>
      <c r="G149" t="s">
        <v>33</v>
      </c>
      <c r="H149">
        <v>1</v>
      </c>
      <c r="I149">
        <v>38</v>
      </c>
      <c r="J149">
        <v>94.79</v>
      </c>
      <c r="K149">
        <v>92</v>
      </c>
      <c r="L149">
        <v>3602.02</v>
      </c>
      <c r="M149">
        <v>106.02</v>
      </c>
      <c r="N149" s="1">
        <v>38008</v>
      </c>
      <c r="O149" t="s">
        <v>25</v>
      </c>
      <c r="P149">
        <v>1</v>
      </c>
      <c r="Q149">
        <v>1</v>
      </c>
      <c r="R149">
        <v>2004</v>
      </c>
      <c r="S149" t="s">
        <v>226</v>
      </c>
    </row>
    <row r="150" spans="1:19" x14ac:dyDescent="0.25">
      <c r="A150">
        <v>10311</v>
      </c>
      <c r="B150" t="s">
        <v>269</v>
      </c>
      <c r="C150" t="s">
        <v>78</v>
      </c>
      <c r="D150" t="s">
        <v>79</v>
      </c>
      <c r="E150" t="s">
        <v>80</v>
      </c>
      <c r="F150" t="s">
        <v>30</v>
      </c>
      <c r="G150" t="s">
        <v>33</v>
      </c>
      <c r="H150">
        <v>1</v>
      </c>
      <c r="I150">
        <v>41</v>
      </c>
      <c r="J150">
        <v>81.91</v>
      </c>
      <c r="K150">
        <v>92</v>
      </c>
      <c r="L150">
        <v>3358.31</v>
      </c>
      <c r="M150">
        <v>-413.69</v>
      </c>
      <c r="N150" s="1">
        <v>38276</v>
      </c>
      <c r="O150" t="s">
        <v>25</v>
      </c>
      <c r="P150">
        <v>4</v>
      </c>
      <c r="Q150">
        <v>10</v>
      </c>
      <c r="R150">
        <v>2004</v>
      </c>
      <c r="S150" t="s">
        <v>226</v>
      </c>
    </row>
    <row r="151" spans="1:19" x14ac:dyDescent="0.25">
      <c r="A151">
        <v>10380</v>
      </c>
      <c r="B151" t="s">
        <v>269</v>
      </c>
      <c r="C151" t="s">
        <v>78</v>
      </c>
      <c r="D151" t="s">
        <v>79</v>
      </c>
      <c r="E151" t="s">
        <v>80</v>
      </c>
      <c r="F151" t="s">
        <v>30</v>
      </c>
      <c r="G151" t="s">
        <v>33</v>
      </c>
      <c r="H151">
        <v>1</v>
      </c>
      <c r="I151">
        <v>32</v>
      </c>
      <c r="J151">
        <v>100</v>
      </c>
      <c r="K151">
        <v>92</v>
      </c>
      <c r="L151">
        <v>3376.64</v>
      </c>
      <c r="M151">
        <v>432.64</v>
      </c>
      <c r="N151" s="1">
        <v>38399</v>
      </c>
      <c r="O151" t="s">
        <v>25</v>
      </c>
      <c r="P151">
        <v>1</v>
      </c>
      <c r="Q151">
        <v>2</v>
      </c>
      <c r="R151">
        <v>2005</v>
      </c>
      <c r="S151" t="s">
        <v>226</v>
      </c>
    </row>
    <row r="152" spans="1:19" x14ac:dyDescent="0.25">
      <c r="A152">
        <v>10128</v>
      </c>
      <c r="B152" t="s">
        <v>270</v>
      </c>
      <c r="C152" t="s">
        <v>78</v>
      </c>
      <c r="D152" t="s">
        <v>79</v>
      </c>
      <c r="E152" t="s">
        <v>80</v>
      </c>
      <c r="F152" t="s">
        <v>30</v>
      </c>
      <c r="G152" t="s">
        <v>33</v>
      </c>
      <c r="H152">
        <v>1</v>
      </c>
      <c r="I152">
        <v>43</v>
      </c>
      <c r="J152">
        <v>92.16</v>
      </c>
      <c r="K152">
        <v>87</v>
      </c>
      <c r="L152">
        <v>3962.88</v>
      </c>
      <c r="M152">
        <v>221.88</v>
      </c>
      <c r="N152" s="1">
        <v>37778</v>
      </c>
      <c r="O152" t="s">
        <v>25</v>
      </c>
      <c r="P152">
        <v>2</v>
      </c>
      <c r="Q152">
        <v>6</v>
      </c>
      <c r="R152">
        <v>2003</v>
      </c>
      <c r="S152" t="s">
        <v>226</v>
      </c>
    </row>
    <row r="153" spans="1:19" x14ac:dyDescent="0.25">
      <c r="A153">
        <v>10166</v>
      </c>
      <c r="B153" t="s">
        <v>270</v>
      </c>
      <c r="C153" t="s">
        <v>73</v>
      </c>
      <c r="D153" t="s">
        <v>74</v>
      </c>
      <c r="E153" t="s">
        <v>22</v>
      </c>
      <c r="F153" t="s">
        <v>23</v>
      </c>
      <c r="G153" t="s">
        <v>24</v>
      </c>
      <c r="H153">
        <v>1</v>
      </c>
      <c r="I153">
        <v>26</v>
      </c>
      <c r="J153">
        <v>73.73</v>
      </c>
      <c r="K153">
        <v>87</v>
      </c>
      <c r="L153">
        <v>1916.98</v>
      </c>
      <c r="M153">
        <v>-345.02</v>
      </c>
      <c r="N153" s="1">
        <v>37915</v>
      </c>
      <c r="O153" t="s">
        <v>25</v>
      </c>
      <c r="P153">
        <v>4</v>
      </c>
      <c r="Q153">
        <v>10</v>
      </c>
      <c r="R153">
        <v>2003</v>
      </c>
      <c r="S153" t="s">
        <v>226</v>
      </c>
    </row>
    <row r="154" spans="1:19" x14ac:dyDescent="0.25">
      <c r="A154">
        <v>10323</v>
      </c>
      <c r="B154" t="s">
        <v>271</v>
      </c>
      <c r="C154" t="s">
        <v>187</v>
      </c>
      <c r="D154" t="s">
        <v>188</v>
      </c>
      <c r="E154" t="s">
        <v>180</v>
      </c>
      <c r="F154" t="s">
        <v>30</v>
      </c>
      <c r="G154" t="s">
        <v>33</v>
      </c>
      <c r="H154">
        <v>1</v>
      </c>
      <c r="I154">
        <v>47</v>
      </c>
      <c r="J154">
        <v>100</v>
      </c>
      <c r="K154">
        <v>121</v>
      </c>
      <c r="L154">
        <v>6203.06</v>
      </c>
      <c r="M154">
        <v>516.05999999999995</v>
      </c>
      <c r="N154" s="1">
        <v>38296</v>
      </c>
      <c r="O154" t="s">
        <v>25</v>
      </c>
      <c r="P154">
        <v>4</v>
      </c>
      <c r="Q154">
        <v>11</v>
      </c>
      <c r="R154">
        <v>2004</v>
      </c>
      <c r="S154" t="s">
        <v>202</v>
      </c>
    </row>
    <row r="155" spans="1:19" x14ac:dyDescent="0.25">
      <c r="A155">
        <v>10382</v>
      </c>
      <c r="B155" t="s">
        <v>271</v>
      </c>
      <c r="C155" t="s">
        <v>115</v>
      </c>
      <c r="D155" t="s">
        <v>116</v>
      </c>
      <c r="E155" t="s">
        <v>22</v>
      </c>
      <c r="F155" t="s">
        <v>23</v>
      </c>
      <c r="G155" t="s">
        <v>33</v>
      </c>
      <c r="H155">
        <v>1</v>
      </c>
      <c r="I155">
        <v>39</v>
      </c>
      <c r="J155">
        <v>100</v>
      </c>
      <c r="K155">
        <v>121</v>
      </c>
      <c r="L155">
        <v>4890.6000000000004</v>
      </c>
      <c r="M155">
        <v>171.6</v>
      </c>
      <c r="N155" s="1">
        <v>38400</v>
      </c>
      <c r="O155" t="s">
        <v>25</v>
      </c>
      <c r="P155">
        <v>1</v>
      </c>
      <c r="Q155">
        <v>2</v>
      </c>
      <c r="R155">
        <v>2005</v>
      </c>
      <c r="S155" t="s">
        <v>202</v>
      </c>
    </row>
    <row r="156" spans="1:19" x14ac:dyDescent="0.25">
      <c r="A156">
        <v>10215</v>
      </c>
      <c r="B156" t="s">
        <v>272</v>
      </c>
      <c r="C156" t="s">
        <v>100</v>
      </c>
      <c r="D156" t="s">
        <v>101</v>
      </c>
      <c r="E156" t="s">
        <v>22</v>
      </c>
      <c r="F156" t="s">
        <v>23</v>
      </c>
      <c r="G156" t="s">
        <v>24</v>
      </c>
      <c r="H156">
        <v>1</v>
      </c>
      <c r="I156">
        <v>46</v>
      </c>
      <c r="J156">
        <v>45.28</v>
      </c>
      <c r="K156">
        <v>50</v>
      </c>
      <c r="L156">
        <v>2082.88</v>
      </c>
      <c r="M156">
        <v>-217.12</v>
      </c>
      <c r="N156" s="1">
        <v>38015</v>
      </c>
      <c r="O156" t="s">
        <v>25</v>
      </c>
      <c r="P156">
        <v>1</v>
      </c>
      <c r="Q156">
        <v>1</v>
      </c>
      <c r="R156">
        <v>2004</v>
      </c>
      <c r="S156" t="s">
        <v>226</v>
      </c>
    </row>
    <row r="157" spans="1:19" x14ac:dyDescent="0.25">
      <c r="A157">
        <v>10312</v>
      </c>
      <c r="B157" t="s">
        <v>272</v>
      </c>
      <c r="C157" t="s">
        <v>115</v>
      </c>
      <c r="D157" t="s">
        <v>116</v>
      </c>
      <c r="E157" t="s">
        <v>22</v>
      </c>
      <c r="F157" t="s">
        <v>23</v>
      </c>
      <c r="G157" t="s">
        <v>24</v>
      </c>
      <c r="H157">
        <v>1</v>
      </c>
      <c r="I157">
        <v>39</v>
      </c>
      <c r="J157">
        <v>56.85</v>
      </c>
      <c r="K157">
        <v>50</v>
      </c>
      <c r="L157">
        <v>2217.15</v>
      </c>
      <c r="M157">
        <v>267.14999999999998</v>
      </c>
      <c r="N157" s="1">
        <v>38281</v>
      </c>
      <c r="O157" t="s">
        <v>25</v>
      </c>
      <c r="P157">
        <v>4</v>
      </c>
      <c r="Q157">
        <v>10</v>
      </c>
      <c r="R157">
        <v>2004</v>
      </c>
      <c r="S157" t="s">
        <v>226</v>
      </c>
    </row>
    <row r="158" spans="1:19" x14ac:dyDescent="0.25">
      <c r="A158">
        <v>10146</v>
      </c>
      <c r="B158" t="s">
        <v>273</v>
      </c>
      <c r="C158" t="s">
        <v>235</v>
      </c>
      <c r="D158" t="s">
        <v>208</v>
      </c>
      <c r="E158" t="s">
        <v>22</v>
      </c>
      <c r="F158" t="s">
        <v>23</v>
      </c>
      <c r="G158" t="s">
        <v>33</v>
      </c>
      <c r="H158">
        <v>1</v>
      </c>
      <c r="I158">
        <v>29</v>
      </c>
      <c r="J158">
        <v>100</v>
      </c>
      <c r="K158">
        <v>148</v>
      </c>
      <c r="L158">
        <v>4444.54</v>
      </c>
      <c r="M158">
        <v>152.54</v>
      </c>
      <c r="N158" s="1">
        <v>37867</v>
      </c>
      <c r="O158" t="s">
        <v>25</v>
      </c>
      <c r="P158">
        <v>3</v>
      </c>
      <c r="Q158">
        <v>9</v>
      </c>
      <c r="R158">
        <v>2003</v>
      </c>
      <c r="S158" t="s">
        <v>83</v>
      </c>
    </row>
    <row r="159" spans="1:19" x14ac:dyDescent="0.25">
      <c r="A159">
        <v>10161</v>
      </c>
      <c r="B159" t="s">
        <v>274</v>
      </c>
      <c r="C159" t="s">
        <v>199</v>
      </c>
      <c r="D159" t="s">
        <v>200</v>
      </c>
      <c r="E159" t="s">
        <v>137</v>
      </c>
      <c r="F159" t="s">
        <v>30</v>
      </c>
      <c r="G159" t="s">
        <v>24</v>
      </c>
      <c r="H159">
        <v>1</v>
      </c>
      <c r="I159">
        <v>25</v>
      </c>
      <c r="J159">
        <v>80.540000000000006</v>
      </c>
      <c r="K159">
        <v>71</v>
      </c>
      <c r="L159">
        <v>2013.5</v>
      </c>
      <c r="M159">
        <v>238.5</v>
      </c>
      <c r="N159" s="1">
        <v>37911</v>
      </c>
      <c r="O159" t="s">
        <v>25</v>
      </c>
      <c r="P159">
        <v>4</v>
      </c>
      <c r="Q159">
        <v>10</v>
      </c>
      <c r="R159">
        <v>2003</v>
      </c>
      <c r="S159" t="s">
        <v>83</v>
      </c>
    </row>
    <row r="160" spans="1:19" x14ac:dyDescent="0.25">
      <c r="A160">
        <v>10267</v>
      </c>
      <c r="B160" t="s">
        <v>274</v>
      </c>
      <c r="C160" t="s">
        <v>192</v>
      </c>
      <c r="D160" t="s">
        <v>21</v>
      </c>
      <c r="E160" t="s">
        <v>22</v>
      </c>
      <c r="F160" t="s">
        <v>23</v>
      </c>
      <c r="G160" t="s">
        <v>24</v>
      </c>
      <c r="H160">
        <v>1</v>
      </c>
      <c r="I160">
        <v>36</v>
      </c>
      <c r="J160">
        <v>75.55</v>
      </c>
      <c r="K160">
        <v>71</v>
      </c>
      <c r="L160">
        <v>2719.8</v>
      </c>
      <c r="M160">
        <v>163.80000000000001</v>
      </c>
      <c r="N160" s="1">
        <v>38175</v>
      </c>
      <c r="O160" t="s">
        <v>25</v>
      </c>
      <c r="P160">
        <v>3</v>
      </c>
      <c r="Q160">
        <v>7</v>
      </c>
      <c r="R160">
        <v>2004</v>
      </c>
      <c r="S160" t="s">
        <v>83</v>
      </c>
    </row>
    <row r="161" spans="1:19" x14ac:dyDescent="0.25">
      <c r="A161">
        <v>10279</v>
      </c>
      <c r="B161" t="s">
        <v>274</v>
      </c>
      <c r="C161" t="s">
        <v>78</v>
      </c>
      <c r="D161" t="s">
        <v>79</v>
      </c>
      <c r="E161" t="s">
        <v>80</v>
      </c>
      <c r="F161" t="s">
        <v>30</v>
      </c>
      <c r="G161" t="s">
        <v>24</v>
      </c>
      <c r="H161">
        <v>1</v>
      </c>
      <c r="I161">
        <v>26</v>
      </c>
      <c r="J161">
        <v>60.58</v>
      </c>
      <c r="K161">
        <v>71</v>
      </c>
      <c r="L161">
        <v>1575.08</v>
      </c>
      <c r="M161">
        <v>-270.92</v>
      </c>
      <c r="N161" s="1">
        <v>38208</v>
      </c>
      <c r="O161" t="s">
        <v>25</v>
      </c>
      <c r="P161">
        <v>3</v>
      </c>
      <c r="Q161">
        <v>8</v>
      </c>
      <c r="R161">
        <v>2004</v>
      </c>
      <c r="S161" t="s">
        <v>83</v>
      </c>
    </row>
    <row r="162" spans="1:19" x14ac:dyDescent="0.25">
      <c r="A162">
        <v>10226</v>
      </c>
      <c r="B162" t="s">
        <v>275</v>
      </c>
      <c r="C162" t="s">
        <v>149</v>
      </c>
      <c r="D162" t="s">
        <v>150</v>
      </c>
      <c r="E162" t="s">
        <v>22</v>
      </c>
      <c r="F162" t="s">
        <v>23</v>
      </c>
      <c r="G162" t="s">
        <v>24</v>
      </c>
      <c r="H162">
        <v>1</v>
      </c>
      <c r="I162">
        <v>21</v>
      </c>
      <c r="J162">
        <v>60.26</v>
      </c>
      <c r="K162">
        <v>73</v>
      </c>
      <c r="L162">
        <v>1265.46</v>
      </c>
      <c r="M162">
        <v>-267.54000000000002</v>
      </c>
      <c r="N162" s="1">
        <v>38043</v>
      </c>
      <c r="O162" t="s">
        <v>25</v>
      </c>
      <c r="P162">
        <v>1</v>
      </c>
      <c r="Q162">
        <v>2</v>
      </c>
      <c r="R162">
        <v>2004</v>
      </c>
      <c r="S162" t="s">
        <v>83</v>
      </c>
    </row>
    <row r="163" spans="1:19" x14ac:dyDescent="0.25">
      <c r="A163">
        <v>10301</v>
      </c>
      <c r="B163" t="s">
        <v>275</v>
      </c>
      <c r="C163" t="s">
        <v>223</v>
      </c>
      <c r="D163" t="s">
        <v>224</v>
      </c>
      <c r="E163" t="s">
        <v>44</v>
      </c>
      <c r="F163" t="s">
        <v>30</v>
      </c>
      <c r="G163" t="s">
        <v>24</v>
      </c>
      <c r="H163">
        <v>1</v>
      </c>
      <c r="I163">
        <v>27</v>
      </c>
      <c r="J163">
        <v>72.02</v>
      </c>
      <c r="K163">
        <v>73</v>
      </c>
      <c r="L163">
        <v>1944.54</v>
      </c>
      <c r="M163">
        <v>-26.46</v>
      </c>
      <c r="N163" s="1">
        <v>37899</v>
      </c>
      <c r="O163" t="s">
        <v>25</v>
      </c>
      <c r="P163">
        <v>4</v>
      </c>
      <c r="Q163">
        <v>10</v>
      </c>
      <c r="R163">
        <v>2003</v>
      </c>
      <c r="S163" t="s">
        <v>83</v>
      </c>
    </row>
    <row r="164" spans="1:19" x14ac:dyDescent="0.25">
      <c r="A164">
        <v>10259</v>
      </c>
      <c r="B164" t="s">
        <v>276</v>
      </c>
      <c r="C164" t="s">
        <v>171</v>
      </c>
      <c r="D164" t="s">
        <v>89</v>
      </c>
      <c r="E164" t="s">
        <v>89</v>
      </c>
      <c r="F164" t="s">
        <v>50</v>
      </c>
      <c r="G164" t="s">
        <v>24</v>
      </c>
      <c r="H164">
        <v>1</v>
      </c>
      <c r="I164">
        <v>28</v>
      </c>
      <c r="J164">
        <v>46.82</v>
      </c>
      <c r="K164">
        <v>57</v>
      </c>
      <c r="L164">
        <v>1310.96</v>
      </c>
      <c r="M164">
        <v>-285.04000000000002</v>
      </c>
      <c r="N164" s="1">
        <v>38153</v>
      </c>
      <c r="O164" t="s">
        <v>25</v>
      </c>
      <c r="P164">
        <v>2</v>
      </c>
      <c r="Q164">
        <v>6</v>
      </c>
      <c r="R164">
        <v>2004</v>
      </c>
      <c r="S164" t="s">
        <v>83</v>
      </c>
    </row>
    <row r="165" spans="1:19" x14ac:dyDescent="0.25">
      <c r="A165">
        <v>10425</v>
      </c>
      <c r="B165" t="s">
        <v>276</v>
      </c>
      <c r="C165" t="s">
        <v>56</v>
      </c>
      <c r="D165" t="s">
        <v>57</v>
      </c>
      <c r="E165" t="s">
        <v>29</v>
      </c>
      <c r="F165" t="s">
        <v>30</v>
      </c>
      <c r="G165" t="s">
        <v>24</v>
      </c>
      <c r="H165">
        <v>1</v>
      </c>
      <c r="I165">
        <v>55</v>
      </c>
      <c r="J165">
        <v>46.82</v>
      </c>
      <c r="K165">
        <v>57</v>
      </c>
      <c r="L165">
        <v>2575.1</v>
      </c>
      <c r="M165">
        <v>-559.9</v>
      </c>
      <c r="N165" s="1">
        <v>38503</v>
      </c>
      <c r="O165" t="s">
        <v>125</v>
      </c>
      <c r="P165">
        <v>2</v>
      </c>
      <c r="Q165">
        <v>5</v>
      </c>
      <c r="R165">
        <v>2005</v>
      </c>
      <c r="S165" t="s">
        <v>83</v>
      </c>
    </row>
    <row r="166" spans="1:19" x14ac:dyDescent="0.25">
      <c r="A166">
        <v>10120</v>
      </c>
      <c r="B166" t="s">
        <v>277</v>
      </c>
      <c r="C166" t="s">
        <v>47</v>
      </c>
      <c r="D166" t="s">
        <v>48</v>
      </c>
      <c r="E166" t="s">
        <v>49</v>
      </c>
      <c r="F166" t="s">
        <v>50</v>
      </c>
      <c r="G166" t="s">
        <v>33</v>
      </c>
      <c r="H166">
        <v>1</v>
      </c>
      <c r="I166">
        <v>35</v>
      </c>
      <c r="J166">
        <v>98.05</v>
      </c>
      <c r="K166">
        <v>112</v>
      </c>
      <c r="L166">
        <v>3431.75</v>
      </c>
      <c r="M166">
        <v>-488.25</v>
      </c>
      <c r="N166" s="1">
        <v>37740</v>
      </c>
      <c r="O166" t="s">
        <v>25</v>
      </c>
      <c r="P166">
        <v>2</v>
      </c>
      <c r="Q166">
        <v>4</v>
      </c>
      <c r="R166">
        <v>2003</v>
      </c>
      <c r="S166" t="s">
        <v>26</v>
      </c>
    </row>
    <row r="167" spans="1:19" x14ac:dyDescent="0.25">
      <c r="A167">
        <v>10389</v>
      </c>
      <c r="B167" t="s">
        <v>277</v>
      </c>
      <c r="C167" t="s">
        <v>111</v>
      </c>
      <c r="D167" t="s">
        <v>112</v>
      </c>
      <c r="E167" t="s">
        <v>86</v>
      </c>
      <c r="F167" t="s">
        <v>30</v>
      </c>
      <c r="G167" t="s">
        <v>33</v>
      </c>
      <c r="H167">
        <v>1</v>
      </c>
      <c r="I167">
        <v>45</v>
      </c>
      <c r="J167">
        <v>100</v>
      </c>
      <c r="K167">
        <v>112</v>
      </c>
      <c r="L167">
        <v>4597.6499999999996</v>
      </c>
      <c r="M167">
        <v>-442.35</v>
      </c>
      <c r="N167" s="1">
        <v>38414</v>
      </c>
      <c r="O167" t="s">
        <v>25</v>
      </c>
      <c r="P167">
        <v>1</v>
      </c>
      <c r="Q167">
        <v>3</v>
      </c>
      <c r="R167">
        <v>2005</v>
      </c>
      <c r="S167" t="s">
        <v>26</v>
      </c>
    </row>
    <row r="168" spans="1:19" x14ac:dyDescent="0.25">
      <c r="A168">
        <v>10123</v>
      </c>
      <c r="B168" t="s">
        <v>278</v>
      </c>
      <c r="C168" t="s">
        <v>130</v>
      </c>
      <c r="D168" t="s">
        <v>57</v>
      </c>
      <c r="E168" t="s">
        <v>29</v>
      </c>
      <c r="F168" t="s">
        <v>30</v>
      </c>
      <c r="G168" t="s">
        <v>24</v>
      </c>
      <c r="H168">
        <v>1</v>
      </c>
      <c r="I168">
        <v>50</v>
      </c>
      <c r="J168">
        <v>59.87</v>
      </c>
      <c r="K168">
        <v>50</v>
      </c>
      <c r="L168">
        <v>2993.5</v>
      </c>
      <c r="M168">
        <v>493.5</v>
      </c>
      <c r="N168" s="1">
        <v>37761</v>
      </c>
      <c r="O168" t="s">
        <v>25</v>
      </c>
      <c r="P168">
        <v>2</v>
      </c>
      <c r="Q168">
        <v>5</v>
      </c>
      <c r="R168">
        <v>2003</v>
      </c>
      <c r="S168" t="s">
        <v>83</v>
      </c>
    </row>
    <row r="169" spans="1:19" x14ac:dyDescent="0.25">
      <c r="A169">
        <v>10137</v>
      </c>
      <c r="B169" t="s">
        <v>278</v>
      </c>
      <c r="C169" t="s">
        <v>27</v>
      </c>
      <c r="D169" t="s">
        <v>28</v>
      </c>
      <c r="E169" t="s">
        <v>29</v>
      </c>
      <c r="F169" t="s">
        <v>30</v>
      </c>
      <c r="G169" t="s">
        <v>24</v>
      </c>
      <c r="H169">
        <v>1</v>
      </c>
      <c r="I169">
        <v>26</v>
      </c>
      <c r="J169">
        <v>49.81</v>
      </c>
      <c r="K169">
        <v>50</v>
      </c>
      <c r="L169">
        <v>1295.06</v>
      </c>
      <c r="M169">
        <v>-4.9400000000000004</v>
      </c>
      <c r="N169" s="1">
        <v>37812</v>
      </c>
      <c r="O169" t="s">
        <v>25</v>
      </c>
      <c r="P169">
        <v>3</v>
      </c>
      <c r="Q169">
        <v>7</v>
      </c>
      <c r="R169">
        <v>2003</v>
      </c>
      <c r="S169" t="s">
        <v>83</v>
      </c>
    </row>
    <row r="170" spans="1:19" x14ac:dyDescent="0.25">
      <c r="A170">
        <v>10181</v>
      </c>
      <c r="B170" t="s">
        <v>278</v>
      </c>
      <c r="C170" t="s">
        <v>42</v>
      </c>
      <c r="D170" t="s">
        <v>43</v>
      </c>
      <c r="E170" t="s">
        <v>44</v>
      </c>
      <c r="F170" t="s">
        <v>30</v>
      </c>
      <c r="G170" t="s">
        <v>24</v>
      </c>
      <c r="H170">
        <v>1</v>
      </c>
      <c r="I170">
        <v>34</v>
      </c>
      <c r="J170">
        <v>53.83</v>
      </c>
      <c r="K170">
        <v>50</v>
      </c>
      <c r="L170">
        <v>1830.22</v>
      </c>
      <c r="M170">
        <v>130.22</v>
      </c>
      <c r="N170" s="1">
        <v>37937</v>
      </c>
      <c r="O170" t="s">
        <v>25</v>
      </c>
      <c r="P170">
        <v>4</v>
      </c>
      <c r="Q170">
        <v>11</v>
      </c>
      <c r="R170">
        <v>2003</v>
      </c>
      <c r="S170" t="s">
        <v>83</v>
      </c>
    </row>
    <row r="171" spans="1:19" x14ac:dyDescent="0.25">
      <c r="A171">
        <v>10266</v>
      </c>
      <c r="B171" t="s">
        <v>278</v>
      </c>
      <c r="C171" t="s">
        <v>184</v>
      </c>
      <c r="D171" t="s">
        <v>185</v>
      </c>
      <c r="E171" t="s">
        <v>110</v>
      </c>
      <c r="F171" t="s">
        <v>30</v>
      </c>
      <c r="G171" t="s">
        <v>24</v>
      </c>
      <c r="H171">
        <v>1</v>
      </c>
      <c r="I171">
        <v>28</v>
      </c>
      <c r="J171">
        <v>48.3</v>
      </c>
      <c r="K171">
        <v>50</v>
      </c>
      <c r="L171">
        <v>1352.4</v>
      </c>
      <c r="M171">
        <v>-47.6</v>
      </c>
      <c r="N171" s="1">
        <v>38174</v>
      </c>
      <c r="O171" t="s">
        <v>25</v>
      </c>
      <c r="P171">
        <v>3</v>
      </c>
      <c r="Q171">
        <v>7</v>
      </c>
      <c r="R171">
        <v>2004</v>
      </c>
      <c r="S171" t="s">
        <v>83</v>
      </c>
    </row>
    <row r="172" spans="1:19" x14ac:dyDescent="0.25">
      <c r="A172">
        <v>10278</v>
      </c>
      <c r="B172" t="s">
        <v>278</v>
      </c>
      <c r="C172" t="s">
        <v>221</v>
      </c>
      <c r="D172" t="s">
        <v>222</v>
      </c>
      <c r="E172" t="s">
        <v>22</v>
      </c>
      <c r="F172" t="s">
        <v>23</v>
      </c>
      <c r="G172" t="s">
        <v>24</v>
      </c>
      <c r="H172">
        <v>1</v>
      </c>
      <c r="I172">
        <v>35</v>
      </c>
      <c r="J172">
        <v>45.28</v>
      </c>
      <c r="K172">
        <v>50</v>
      </c>
      <c r="L172">
        <v>1584.8</v>
      </c>
      <c r="M172">
        <v>-165.2</v>
      </c>
      <c r="N172" s="1">
        <v>38205</v>
      </c>
      <c r="O172" t="s">
        <v>25</v>
      </c>
      <c r="P172">
        <v>3</v>
      </c>
      <c r="Q172">
        <v>8</v>
      </c>
      <c r="R172">
        <v>2004</v>
      </c>
      <c r="S172" t="s">
        <v>83</v>
      </c>
    </row>
    <row r="173" spans="1:19" x14ac:dyDescent="0.25">
      <c r="A173">
        <v>10262</v>
      </c>
      <c r="B173" t="s">
        <v>279</v>
      </c>
      <c r="C173" t="s">
        <v>78</v>
      </c>
      <c r="D173" t="s">
        <v>79</v>
      </c>
      <c r="E173" t="s">
        <v>80</v>
      </c>
      <c r="F173" t="s">
        <v>30</v>
      </c>
      <c r="G173" t="s">
        <v>33</v>
      </c>
      <c r="H173">
        <v>1</v>
      </c>
      <c r="I173">
        <v>34</v>
      </c>
      <c r="J173">
        <v>97.38</v>
      </c>
      <c r="K173">
        <v>109</v>
      </c>
      <c r="L173">
        <v>3310.92</v>
      </c>
      <c r="M173">
        <v>-395.08</v>
      </c>
      <c r="N173" s="1">
        <v>38162</v>
      </c>
      <c r="O173" t="s">
        <v>141</v>
      </c>
      <c r="P173">
        <v>2</v>
      </c>
      <c r="Q173">
        <v>6</v>
      </c>
      <c r="R173">
        <v>2004</v>
      </c>
      <c r="S173" t="s">
        <v>234</v>
      </c>
    </row>
    <row r="174" spans="1:19" x14ac:dyDescent="0.25">
      <c r="A174">
        <v>10316</v>
      </c>
      <c r="B174" t="s">
        <v>279</v>
      </c>
      <c r="C174" t="s">
        <v>158</v>
      </c>
      <c r="D174" t="s">
        <v>159</v>
      </c>
      <c r="E174" t="s">
        <v>77</v>
      </c>
      <c r="F174" t="s">
        <v>30</v>
      </c>
      <c r="G174" t="s">
        <v>24</v>
      </c>
      <c r="H174">
        <v>1</v>
      </c>
      <c r="I174">
        <v>25</v>
      </c>
      <c r="J174">
        <v>100</v>
      </c>
      <c r="K174">
        <v>109</v>
      </c>
      <c r="L174">
        <v>2872.25</v>
      </c>
      <c r="M174">
        <v>147.25</v>
      </c>
      <c r="N174" s="1">
        <v>38292</v>
      </c>
      <c r="O174" t="s">
        <v>25</v>
      </c>
      <c r="P174">
        <v>4</v>
      </c>
      <c r="Q174">
        <v>11</v>
      </c>
      <c r="R174">
        <v>2004</v>
      </c>
      <c r="S174" t="s">
        <v>234</v>
      </c>
    </row>
    <row r="175" spans="1:19" x14ac:dyDescent="0.25">
      <c r="A175">
        <v>10243</v>
      </c>
      <c r="B175" t="s">
        <v>280</v>
      </c>
      <c r="C175" t="s">
        <v>170</v>
      </c>
      <c r="D175" t="s">
        <v>157</v>
      </c>
      <c r="E175" t="s">
        <v>22</v>
      </c>
      <c r="F175" t="s">
        <v>23</v>
      </c>
      <c r="G175" t="s">
        <v>24</v>
      </c>
      <c r="H175">
        <v>1</v>
      </c>
      <c r="I175">
        <v>33</v>
      </c>
      <c r="J175">
        <v>29.54</v>
      </c>
      <c r="K175">
        <v>33</v>
      </c>
      <c r="L175">
        <v>974.82</v>
      </c>
      <c r="M175">
        <v>-114.18</v>
      </c>
      <c r="N175" s="1">
        <v>38103</v>
      </c>
      <c r="O175" t="s">
        <v>25</v>
      </c>
      <c r="P175">
        <v>2</v>
      </c>
      <c r="Q175">
        <v>4</v>
      </c>
      <c r="R175">
        <v>2004</v>
      </c>
      <c r="S175" t="s">
        <v>226</v>
      </c>
    </row>
    <row r="176" spans="1:19" x14ac:dyDescent="0.25">
      <c r="A176">
        <v>10288</v>
      </c>
      <c r="B176" t="s">
        <v>280</v>
      </c>
      <c r="C176" t="s">
        <v>171</v>
      </c>
      <c r="D176" t="s">
        <v>89</v>
      </c>
      <c r="E176" t="s">
        <v>89</v>
      </c>
      <c r="F176" t="s">
        <v>50</v>
      </c>
      <c r="G176" t="s">
        <v>24</v>
      </c>
      <c r="H176">
        <v>1</v>
      </c>
      <c r="I176">
        <v>29</v>
      </c>
      <c r="J176">
        <v>38.17</v>
      </c>
      <c r="K176">
        <v>33</v>
      </c>
      <c r="L176">
        <v>1106.93</v>
      </c>
      <c r="M176">
        <v>149.93</v>
      </c>
      <c r="N176" s="1">
        <v>38231</v>
      </c>
      <c r="O176" t="s">
        <v>25</v>
      </c>
      <c r="P176">
        <v>3</v>
      </c>
      <c r="Q176">
        <v>9</v>
      </c>
      <c r="R176">
        <v>2004</v>
      </c>
      <c r="S176" t="s">
        <v>226</v>
      </c>
    </row>
    <row r="177" spans="1:19" x14ac:dyDescent="0.25">
      <c r="A177">
        <v>10409</v>
      </c>
      <c r="B177" t="s">
        <v>280</v>
      </c>
      <c r="C177" t="s">
        <v>171</v>
      </c>
      <c r="D177" t="s">
        <v>89</v>
      </c>
      <c r="E177" t="s">
        <v>89</v>
      </c>
      <c r="F177" t="s">
        <v>50</v>
      </c>
      <c r="G177" t="s">
        <v>24</v>
      </c>
      <c r="H177">
        <v>1</v>
      </c>
      <c r="I177">
        <v>61</v>
      </c>
      <c r="J177">
        <v>29.54</v>
      </c>
      <c r="K177">
        <v>33</v>
      </c>
      <c r="L177">
        <v>1801.94</v>
      </c>
      <c r="M177">
        <v>-211.06</v>
      </c>
      <c r="N177" s="1">
        <v>38465</v>
      </c>
      <c r="O177" t="s">
        <v>25</v>
      </c>
      <c r="P177">
        <v>2</v>
      </c>
      <c r="Q177">
        <v>4</v>
      </c>
      <c r="R177">
        <v>2005</v>
      </c>
      <c r="S177" t="s">
        <v>226</v>
      </c>
    </row>
    <row r="178" spans="1:19" x14ac:dyDescent="0.25">
      <c r="A178">
        <v>10420</v>
      </c>
      <c r="B178" t="s">
        <v>280</v>
      </c>
      <c r="C178" t="s">
        <v>71</v>
      </c>
      <c r="D178" t="s">
        <v>72</v>
      </c>
      <c r="E178" t="s">
        <v>49</v>
      </c>
      <c r="F178" t="s">
        <v>50</v>
      </c>
      <c r="G178" t="s">
        <v>24</v>
      </c>
      <c r="H178">
        <v>1</v>
      </c>
      <c r="I178">
        <v>45</v>
      </c>
      <c r="J178">
        <v>26.88</v>
      </c>
      <c r="K178">
        <v>33</v>
      </c>
      <c r="L178">
        <v>1209.5999999999999</v>
      </c>
      <c r="M178">
        <v>-275.39999999999998</v>
      </c>
      <c r="N178" s="1">
        <v>38501</v>
      </c>
      <c r="O178" t="s">
        <v>125</v>
      </c>
      <c r="P178">
        <v>2</v>
      </c>
      <c r="Q178">
        <v>5</v>
      </c>
      <c r="R178">
        <v>2005</v>
      </c>
      <c r="S178" t="s">
        <v>226</v>
      </c>
    </row>
    <row r="179" spans="1:19" x14ac:dyDescent="0.25">
      <c r="A179">
        <v>10158</v>
      </c>
      <c r="B179" t="s">
        <v>281</v>
      </c>
      <c r="C179" t="s">
        <v>63</v>
      </c>
      <c r="D179" t="s">
        <v>64</v>
      </c>
      <c r="E179" t="s">
        <v>44</v>
      </c>
      <c r="F179" t="s">
        <v>30</v>
      </c>
      <c r="G179" t="s">
        <v>24</v>
      </c>
      <c r="H179">
        <v>1</v>
      </c>
      <c r="I179">
        <v>22</v>
      </c>
      <c r="J179">
        <v>67.03</v>
      </c>
      <c r="K179">
        <v>76</v>
      </c>
      <c r="L179">
        <v>1474.66</v>
      </c>
      <c r="M179">
        <v>-197.34</v>
      </c>
      <c r="N179" s="1">
        <v>37904</v>
      </c>
      <c r="O179" t="s">
        <v>25</v>
      </c>
      <c r="P179">
        <v>4</v>
      </c>
      <c r="Q179">
        <v>10</v>
      </c>
      <c r="R179">
        <v>2003</v>
      </c>
      <c r="S179" t="s">
        <v>26</v>
      </c>
    </row>
    <row r="180" spans="1:19" x14ac:dyDescent="0.25">
      <c r="A180">
        <v>10250</v>
      </c>
      <c r="B180" t="s">
        <v>281</v>
      </c>
      <c r="C180" t="s">
        <v>162</v>
      </c>
      <c r="D180" t="s">
        <v>163</v>
      </c>
      <c r="E180" t="s">
        <v>22</v>
      </c>
      <c r="F180" t="s">
        <v>23</v>
      </c>
      <c r="G180" t="s">
        <v>24</v>
      </c>
      <c r="H180">
        <v>1</v>
      </c>
      <c r="I180">
        <v>32</v>
      </c>
      <c r="J180">
        <v>87.6</v>
      </c>
      <c r="K180">
        <v>76</v>
      </c>
      <c r="L180">
        <v>2803.2</v>
      </c>
      <c r="M180">
        <v>371.2</v>
      </c>
      <c r="N180" s="1">
        <v>38118</v>
      </c>
      <c r="O180" t="s">
        <v>25</v>
      </c>
      <c r="P180">
        <v>2</v>
      </c>
      <c r="Q180">
        <v>5</v>
      </c>
      <c r="R180">
        <v>2004</v>
      </c>
      <c r="S180" t="s">
        <v>26</v>
      </c>
    </row>
    <row r="181" spans="1:19" x14ac:dyDescent="0.25">
      <c r="A181">
        <v>10297</v>
      </c>
      <c r="B181" t="s">
        <v>281</v>
      </c>
      <c r="C181" t="s">
        <v>193</v>
      </c>
      <c r="D181" t="s">
        <v>194</v>
      </c>
      <c r="E181" t="s">
        <v>195</v>
      </c>
      <c r="F181" t="s">
        <v>30</v>
      </c>
      <c r="G181" t="s">
        <v>24</v>
      </c>
      <c r="H181">
        <v>1</v>
      </c>
      <c r="I181">
        <v>32</v>
      </c>
      <c r="J181">
        <v>65.510000000000005</v>
      </c>
      <c r="K181">
        <v>76</v>
      </c>
      <c r="L181">
        <v>2096.3200000000002</v>
      </c>
      <c r="M181">
        <v>-335.68</v>
      </c>
      <c r="N181" s="1">
        <v>38246</v>
      </c>
      <c r="O181" t="s">
        <v>25</v>
      </c>
      <c r="P181">
        <v>3</v>
      </c>
      <c r="Q181">
        <v>9</v>
      </c>
      <c r="R181">
        <v>2004</v>
      </c>
      <c r="S181" t="s">
        <v>26</v>
      </c>
    </row>
    <row r="182" spans="1:19" x14ac:dyDescent="0.25">
      <c r="A182">
        <v>10416</v>
      </c>
      <c r="B182" t="s">
        <v>281</v>
      </c>
      <c r="C182" t="s">
        <v>184</v>
      </c>
      <c r="D182" t="s">
        <v>185</v>
      </c>
      <c r="E182" t="s">
        <v>110</v>
      </c>
      <c r="F182" t="s">
        <v>30</v>
      </c>
      <c r="G182" t="s">
        <v>24</v>
      </c>
      <c r="H182">
        <v>1</v>
      </c>
      <c r="I182">
        <v>32</v>
      </c>
      <c r="J182">
        <v>87.6</v>
      </c>
      <c r="K182">
        <v>76</v>
      </c>
      <c r="L182">
        <v>2803.2</v>
      </c>
      <c r="M182">
        <v>371.2</v>
      </c>
      <c r="N182" s="1">
        <v>38482</v>
      </c>
      <c r="O182" t="s">
        <v>25</v>
      </c>
      <c r="P182">
        <v>2</v>
      </c>
      <c r="Q182">
        <v>5</v>
      </c>
      <c r="R182">
        <v>2005</v>
      </c>
      <c r="S182" t="s">
        <v>26</v>
      </c>
    </row>
    <row r="183" spans="1:19" x14ac:dyDescent="0.25">
      <c r="A183">
        <v>10221</v>
      </c>
      <c r="B183" t="s">
        <v>282</v>
      </c>
      <c r="C183" t="s">
        <v>151</v>
      </c>
      <c r="D183" t="s">
        <v>152</v>
      </c>
      <c r="E183" t="s">
        <v>153</v>
      </c>
      <c r="F183" t="s">
        <v>30</v>
      </c>
      <c r="G183" t="s">
        <v>33</v>
      </c>
      <c r="H183">
        <v>1</v>
      </c>
      <c r="I183">
        <v>49</v>
      </c>
      <c r="J183">
        <v>100</v>
      </c>
      <c r="K183">
        <v>122</v>
      </c>
      <c r="L183">
        <v>6804.63</v>
      </c>
      <c r="M183">
        <v>826.63</v>
      </c>
      <c r="N183" s="1">
        <v>38035</v>
      </c>
      <c r="O183" t="s">
        <v>25</v>
      </c>
      <c r="P183">
        <v>1</v>
      </c>
      <c r="Q183">
        <v>2</v>
      </c>
      <c r="R183">
        <v>2004</v>
      </c>
      <c r="S183" t="s">
        <v>255</v>
      </c>
    </row>
    <row r="184" spans="1:19" x14ac:dyDescent="0.25">
      <c r="A184">
        <v>10124</v>
      </c>
      <c r="B184" t="s">
        <v>283</v>
      </c>
      <c r="C184" t="s">
        <v>221</v>
      </c>
      <c r="D184" t="s">
        <v>222</v>
      </c>
      <c r="E184" t="s">
        <v>22</v>
      </c>
      <c r="F184" t="s">
        <v>23</v>
      </c>
      <c r="G184" t="s">
        <v>24</v>
      </c>
      <c r="H184">
        <v>1</v>
      </c>
      <c r="I184">
        <v>22</v>
      </c>
      <c r="J184">
        <v>45.25</v>
      </c>
      <c r="K184">
        <v>44</v>
      </c>
      <c r="L184">
        <v>995.5</v>
      </c>
      <c r="M184">
        <v>27.5</v>
      </c>
      <c r="N184" s="1">
        <v>37762</v>
      </c>
      <c r="O184" t="s">
        <v>25</v>
      </c>
      <c r="P184">
        <v>2</v>
      </c>
      <c r="Q184">
        <v>5</v>
      </c>
      <c r="R184">
        <v>2003</v>
      </c>
      <c r="S184" t="s">
        <v>226</v>
      </c>
    </row>
    <row r="185" spans="1:19" x14ac:dyDescent="0.25">
      <c r="A185">
        <v>10345</v>
      </c>
      <c r="B185" t="s">
        <v>283</v>
      </c>
      <c r="C185" t="s">
        <v>130</v>
      </c>
      <c r="D185" t="s">
        <v>57</v>
      </c>
      <c r="E185" t="s">
        <v>29</v>
      </c>
      <c r="F185" t="s">
        <v>30</v>
      </c>
      <c r="G185" t="s">
        <v>24</v>
      </c>
      <c r="H185">
        <v>1</v>
      </c>
      <c r="I185">
        <v>43</v>
      </c>
      <c r="J185">
        <v>53.76</v>
      </c>
      <c r="K185">
        <v>44</v>
      </c>
      <c r="L185">
        <v>2311.6799999999998</v>
      </c>
      <c r="M185">
        <v>419.68</v>
      </c>
      <c r="N185" s="1">
        <v>38316</v>
      </c>
      <c r="O185" t="s">
        <v>25</v>
      </c>
      <c r="P185">
        <v>4</v>
      </c>
      <c r="Q185">
        <v>11</v>
      </c>
      <c r="R185">
        <v>2004</v>
      </c>
      <c r="S185" t="s">
        <v>226</v>
      </c>
    </row>
    <row r="186" spans="1:19" x14ac:dyDescent="0.25">
      <c r="A186">
        <v>10391</v>
      </c>
      <c r="B186" t="s">
        <v>283</v>
      </c>
      <c r="C186" t="s">
        <v>121</v>
      </c>
      <c r="D186" t="s">
        <v>122</v>
      </c>
      <c r="E186" t="s">
        <v>49</v>
      </c>
      <c r="F186" t="s">
        <v>50</v>
      </c>
      <c r="G186" t="s">
        <v>33</v>
      </c>
      <c r="H186">
        <v>1</v>
      </c>
      <c r="I186">
        <v>24</v>
      </c>
      <c r="J186">
        <v>100</v>
      </c>
      <c r="K186">
        <v>44</v>
      </c>
      <c r="L186">
        <v>4042.08</v>
      </c>
      <c r="M186">
        <v>2986.08</v>
      </c>
      <c r="N186" s="1">
        <v>38420</v>
      </c>
      <c r="O186" t="s">
        <v>25</v>
      </c>
      <c r="P186">
        <v>1</v>
      </c>
      <c r="Q186">
        <v>3</v>
      </c>
      <c r="R186">
        <v>2005</v>
      </c>
      <c r="S186" t="s">
        <v>226</v>
      </c>
    </row>
    <row r="187" spans="1:19" x14ac:dyDescent="0.25">
      <c r="A187">
        <v>10103</v>
      </c>
      <c r="B187" t="s">
        <v>284</v>
      </c>
      <c r="C187" t="s">
        <v>63</v>
      </c>
      <c r="D187" t="s">
        <v>64</v>
      </c>
      <c r="E187" t="s">
        <v>44</v>
      </c>
      <c r="F187" t="s">
        <v>30</v>
      </c>
      <c r="G187" t="s">
        <v>33</v>
      </c>
      <c r="H187">
        <v>1</v>
      </c>
      <c r="I187">
        <v>36</v>
      </c>
      <c r="J187">
        <v>100</v>
      </c>
      <c r="K187">
        <v>127</v>
      </c>
      <c r="L187">
        <v>3680.28</v>
      </c>
      <c r="M187">
        <v>-891.72</v>
      </c>
      <c r="N187" s="1">
        <v>37650</v>
      </c>
      <c r="O187" t="s">
        <v>25</v>
      </c>
      <c r="P187">
        <v>1</v>
      </c>
      <c r="Q187">
        <v>1</v>
      </c>
      <c r="R187">
        <v>2003</v>
      </c>
      <c r="S187" t="s">
        <v>202</v>
      </c>
    </row>
    <row r="188" spans="1:19" x14ac:dyDescent="0.25">
      <c r="A188">
        <v>10126</v>
      </c>
      <c r="B188" t="s">
        <v>284</v>
      </c>
      <c r="C188" t="s">
        <v>87</v>
      </c>
      <c r="D188" t="s">
        <v>79</v>
      </c>
      <c r="E188" t="s">
        <v>80</v>
      </c>
      <c r="F188" t="s">
        <v>30</v>
      </c>
      <c r="G188" t="s">
        <v>33</v>
      </c>
      <c r="H188">
        <v>1</v>
      </c>
      <c r="I188">
        <v>27</v>
      </c>
      <c r="J188">
        <v>100</v>
      </c>
      <c r="K188">
        <v>127</v>
      </c>
      <c r="L188">
        <v>3415.77</v>
      </c>
      <c r="M188">
        <v>-13.23</v>
      </c>
      <c r="N188" s="1">
        <v>37769</v>
      </c>
      <c r="O188" t="s">
        <v>25</v>
      </c>
      <c r="P188">
        <v>2</v>
      </c>
      <c r="Q188">
        <v>5</v>
      </c>
      <c r="R188">
        <v>2003</v>
      </c>
      <c r="S188" t="s">
        <v>202</v>
      </c>
    </row>
    <row r="189" spans="1:19" x14ac:dyDescent="0.25">
      <c r="A189">
        <v>10140</v>
      </c>
      <c r="B189" t="s">
        <v>284</v>
      </c>
      <c r="C189" t="s">
        <v>38</v>
      </c>
      <c r="D189" t="s">
        <v>39</v>
      </c>
      <c r="E189" t="s">
        <v>22</v>
      </c>
      <c r="F189" t="s">
        <v>23</v>
      </c>
      <c r="G189" t="s">
        <v>33</v>
      </c>
      <c r="H189">
        <v>1</v>
      </c>
      <c r="I189">
        <v>47</v>
      </c>
      <c r="J189">
        <v>100</v>
      </c>
      <c r="K189">
        <v>127</v>
      </c>
      <c r="L189">
        <v>5105.1400000000003</v>
      </c>
      <c r="M189">
        <v>-863.86</v>
      </c>
      <c r="N189" s="1">
        <v>37826</v>
      </c>
      <c r="O189" t="s">
        <v>25</v>
      </c>
      <c r="P189">
        <v>3</v>
      </c>
      <c r="Q189">
        <v>7</v>
      </c>
      <c r="R189">
        <v>2003</v>
      </c>
      <c r="S189" t="s">
        <v>202</v>
      </c>
    </row>
    <row r="190" spans="1:19" x14ac:dyDescent="0.25">
      <c r="A190">
        <v>10194</v>
      </c>
      <c r="B190" t="s">
        <v>284</v>
      </c>
      <c r="C190" t="s">
        <v>95</v>
      </c>
      <c r="D190" t="s">
        <v>96</v>
      </c>
      <c r="E190" t="s">
        <v>29</v>
      </c>
      <c r="F190" t="s">
        <v>30</v>
      </c>
      <c r="G190" t="s">
        <v>33</v>
      </c>
      <c r="H190">
        <v>1</v>
      </c>
      <c r="I190">
        <v>49</v>
      </c>
      <c r="J190">
        <v>100</v>
      </c>
      <c r="K190">
        <v>127</v>
      </c>
      <c r="L190">
        <v>5760.93</v>
      </c>
      <c r="M190">
        <v>-462.07</v>
      </c>
      <c r="N190" s="1">
        <v>37950</v>
      </c>
      <c r="O190" t="s">
        <v>25</v>
      </c>
      <c r="P190">
        <v>4</v>
      </c>
      <c r="Q190">
        <v>11</v>
      </c>
      <c r="R190">
        <v>2003</v>
      </c>
      <c r="S190" t="s">
        <v>202</v>
      </c>
    </row>
    <row r="191" spans="1:19" x14ac:dyDescent="0.25">
      <c r="A191">
        <v>10217</v>
      </c>
      <c r="B191" t="s">
        <v>284</v>
      </c>
      <c r="C191" t="s">
        <v>171</v>
      </c>
      <c r="D191" t="s">
        <v>89</v>
      </c>
      <c r="E191" t="s">
        <v>89</v>
      </c>
      <c r="F191" t="s">
        <v>50</v>
      </c>
      <c r="G191" t="s">
        <v>33</v>
      </c>
      <c r="H191">
        <v>1</v>
      </c>
      <c r="I191">
        <v>28</v>
      </c>
      <c r="J191">
        <v>100</v>
      </c>
      <c r="K191">
        <v>127</v>
      </c>
      <c r="L191">
        <v>3148.88</v>
      </c>
      <c r="M191">
        <v>-407.12</v>
      </c>
      <c r="N191" s="1">
        <v>38021</v>
      </c>
      <c r="O191" t="s">
        <v>25</v>
      </c>
      <c r="P191">
        <v>1</v>
      </c>
      <c r="Q191">
        <v>2</v>
      </c>
      <c r="R191">
        <v>2004</v>
      </c>
      <c r="S191" t="s">
        <v>202</v>
      </c>
    </row>
    <row r="192" spans="1:19" x14ac:dyDescent="0.25">
      <c r="A192">
        <v>10291</v>
      </c>
      <c r="B192" t="s">
        <v>284</v>
      </c>
      <c r="C192" t="s">
        <v>111</v>
      </c>
      <c r="D192" t="s">
        <v>112</v>
      </c>
      <c r="E192" t="s">
        <v>86</v>
      </c>
      <c r="F192" t="s">
        <v>30</v>
      </c>
      <c r="G192" t="s">
        <v>33</v>
      </c>
      <c r="H192">
        <v>1</v>
      </c>
      <c r="I192">
        <v>48</v>
      </c>
      <c r="J192">
        <v>100</v>
      </c>
      <c r="K192">
        <v>127</v>
      </c>
      <c r="L192">
        <v>5398.08</v>
      </c>
      <c r="M192">
        <v>-697.92</v>
      </c>
      <c r="N192" s="1">
        <v>38238</v>
      </c>
      <c r="O192" t="s">
        <v>25</v>
      </c>
      <c r="P192">
        <v>3</v>
      </c>
      <c r="Q192">
        <v>9</v>
      </c>
      <c r="R192">
        <v>2004</v>
      </c>
      <c r="S192" t="s">
        <v>202</v>
      </c>
    </row>
    <row r="193" spans="1:19" x14ac:dyDescent="0.25">
      <c r="A193">
        <v>10348</v>
      </c>
      <c r="B193" t="s">
        <v>284</v>
      </c>
      <c r="C193" t="s">
        <v>87</v>
      </c>
      <c r="D193" t="s">
        <v>79</v>
      </c>
      <c r="E193" t="s">
        <v>80</v>
      </c>
      <c r="F193" t="s">
        <v>30</v>
      </c>
      <c r="G193" t="s">
        <v>33</v>
      </c>
      <c r="H193">
        <v>1</v>
      </c>
      <c r="I193">
        <v>37</v>
      </c>
      <c r="J193">
        <v>100</v>
      </c>
      <c r="K193">
        <v>127</v>
      </c>
      <c r="L193">
        <v>5981.42</v>
      </c>
      <c r="M193">
        <v>1282.42</v>
      </c>
      <c r="N193" s="1">
        <v>38292</v>
      </c>
      <c r="O193" t="s">
        <v>25</v>
      </c>
      <c r="P193">
        <v>4</v>
      </c>
      <c r="Q193">
        <v>11</v>
      </c>
      <c r="R193">
        <v>2004</v>
      </c>
      <c r="S193" t="s">
        <v>202</v>
      </c>
    </row>
    <row r="194" spans="1:19" x14ac:dyDescent="0.25">
      <c r="A194">
        <v>10330</v>
      </c>
      <c r="B194" t="s">
        <v>285</v>
      </c>
      <c r="C194" t="s">
        <v>173</v>
      </c>
      <c r="D194" t="s">
        <v>174</v>
      </c>
      <c r="E194" t="s">
        <v>175</v>
      </c>
      <c r="F194" t="s">
        <v>50</v>
      </c>
      <c r="G194" t="s">
        <v>33</v>
      </c>
      <c r="H194">
        <v>1</v>
      </c>
      <c r="I194">
        <v>42</v>
      </c>
      <c r="J194">
        <v>81.03</v>
      </c>
      <c r="K194">
        <v>69</v>
      </c>
      <c r="L194">
        <v>3403.26</v>
      </c>
      <c r="M194">
        <v>505.26</v>
      </c>
      <c r="N194" s="1">
        <v>38307</v>
      </c>
      <c r="O194" t="s">
        <v>25</v>
      </c>
      <c r="P194">
        <v>4</v>
      </c>
      <c r="Q194">
        <v>11</v>
      </c>
      <c r="R194">
        <v>2004</v>
      </c>
      <c r="S194" t="s">
        <v>26</v>
      </c>
    </row>
    <row r="195" spans="1:19" x14ac:dyDescent="0.25">
      <c r="A195">
        <v>10172</v>
      </c>
      <c r="B195" t="s">
        <v>286</v>
      </c>
      <c r="C195" t="s">
        <v>54</v>
      </c>
      <c r="D195" t="s">
        <v>55</v>
      </c>
      <c r="E195" t="s">
        <v>22</v>
      </c>
      <c r="F195" t="s">
        <v>23</v>
      </c>
      <c r="G195" t="s">
        <v>24</v>
      </c>
      <c r="H195">
        <v>1</v>
      </c>
      <c r="I195">
        <v>22</v>
      </c>
      <c r="J195">
        <v>74.510000000000005</v>
      </c>
      <c r="K195">
        <v>90</v>
      </c>
      <c r="L195">
        <v>1639.22</v>
      </c>
      <c r="M195">
        <v>-340.78</v>
      </c>
      <c r="N195" s="1">
        <v>37930</v>
      </c>
      <c r="O195" t="s">
        <v>25</v>
      </c>
      <c r="P195">
        <v>4</v>
      </c>
      <c r="Q195">
        <v>11</v>
      </c>
      <c r="R195">
        <v>2003</v>
      </c>
      <c r="S195" t="s">
        <v>83</v>
      </c>
    </row>
    <row r="196" spans="1:19" x14ac:dyDescent="0.25">
      <c r="A196">
        <v>10212</v>
      </c>
      <c r="B196" t="s">
        <v>286</v>
      </c>
      <c r="C196" t="s">
        <v>78</v>
      </c>
      <c r="D196" t="s">
        <v>79</v>
      </c>
      <c r="E196" t="s">
        <v>80</v>
      </c>
      <c r="F196" t="s">
        <v>30</v>
      </c>
      <c r="G196" t="s">
        <v>33</v>
      </c>
      <c r="H196">
        <v>1</v>
      </c>
      <c r="I196">
        <v>45</v>
      </c>
      <c r="J196">
        <v>88.14</v>
      </c>
      <c r="K196">
        <v>90</v>
      </c>
      <c r="L196">
        <v>3966.3</v>
      </c>
      <c r="M196">
        <v>-83.7</v>
      </c>
      <c r="N196" s="1">
        <v>38002</v>
      </c>
      <c r="O196" t="s">
        <v>25</v>
      </c>
      <c r="P196">
        <v>1</v>
      </c>
      <c r="Q196">
        <v>1</v>
      </c>
      <c r="R196">
        <v>2004</v>
      </c>
      <c r="S196" t="s">
        <v>83</v>
      </c>
    </row>
    <row r="197" spans="1:19" x14ac:dyDescent="0.25">
      <c r="A197">
        <v>10321</v>
      </c>
      <c r="B197" t="s">
        <v>286</v>
      </c>
      <c r="C197" t="s">
        <v>73</v>
      </c>
      <c r="D197" t="s">
        <v>74</v>
      </c>
      <c r="E197" t="s">
        <v>22</v>
      </c>
      <c r="F197" t="s">
        <v>23</v>
      </c>
      <c r="G197" t="s">
        <v>24</v>
      </c>
      <c r="H197">
        <v>1</v>
      </c>
      <c r="I197">
        <v>30</v>
      </c>
      <c r="J197">
        <v>72.7</v>
      </c>
      <c r="K197">
        <v>90</v>
      </c>
      <c r="L197">
        <v>2181</v>
      </c>
      <c r="M197">
        <v>-519</v>
      </c>
      <c r="N197" s="1">
        <v>38295</v>
      </c>
      <c r="O197" t="s">
        <v>25</v>
      </c>
      <c r="P197">
        <v>4</v>
      </c>
      <c r="Q197">
        <v>11</v>
      </c>
      <c r="R197">
        <v>2004</v>
      </c>
      <c r="S197" t="s">
        <v>83</v>
      </c>
    </row>
    <row r="198" spans="1:19" x14ac:dyDescent="0.25">
      <c r="A198">
        <v>10346</v>
      </c>
      <c r="B198" t="s">
        <v>286</v>
      </c>
      <c r="C198" t="s">
        <v>221</v>
      </c>
      <c r="D198" t="s">
        <v>222</v>
      </c>
      <c r="E198" t="s">
        <v>22</v>
      </c>
      <c r="F198" t="s">
        <v>23</v>
      </c>
      <c r="G198" t="s">
        <v>24</v>
      </c>
      <c r="H198">
        <v>1</v>
      </c>
      <c r="I198">
        <v>25</v>
      </c>
      <c r="J198">
        <v>100</v>
      </c>
      <c r="K198">
        <v>90</v>
      </c>
      <c r="L198">
        <v>2876.75</v>
      </c>
      <c r="M198">
        <v>626.75</v>
      </c>
      <c r="N198" s="1">
        <v>38320</v>
      </c>
      <c r="O198" t="s">
        <v>25</v>
      </c>
      <c r="P198">
        <v>4</v>
      </c>
      <c r="Q198">
        <v>11</v>
      </c>
      <c r="R198">
        <v>2004</v>
      </c>
      <c r="S198" t="s">
        <v>83</v>
      </c>
    </row>
    <row r="199" spans="1:19" x14ac:dyDescent="0.25">
      <c r="A199">
        <v>10114</v>
      </c>
      <c r="B199" t="s">
        <v>287</v>
      </c>
      <c r="C199" t="s">
        <v>166</v>
      </c>
      <c r="D199" t="s">
        <v>32</v>
      </c>
      <c r="E199" t="s">
        <v>29</v>
      </c>
      <c r="F199" t="s">
        <v>30</v>
      </c>
      <c r="G199" t="s">
        <v>24</v>
      </c>
      <c r="H199">
        <v>1</v>
      </c>
      <c r="I199">
        <v>24</v>
      </c>
      <c r="J199">
        <v>30.06</v>
      </c>
      <c r="K199">
        <v>35</v>
      </c>
      <c r="L199">
        <v>721.44</v>
      </c>
      <c r="M199">
        <v>-118.56</v>
      </c>
      <c r="N199" s="1">
        <v>37712</v>
      </c>
      <c r="O199" t="s">
        <v>25</v>
      </c>
      <c r="P199">
        <v>2</v>
      </c>
      <c r="Q199">
        <v>4</v>
      </c>
      <c r="R199">
        <v>2003</v>
      </c>
      <c r="S199" t="s">
        <v>83</v>
      </c>
    </row>
    <row r="200" spans="1:19" x14ac:dyDescent="0.25">
      <c r="A200">
        <v>10209</v>
      </c>
      <c r="B200" t="s">
        <v>288</v>
      </c>
      <c r="C200" t="s">
        <v>147</v>
      </c>
      <c r="D200" t="s">
        <v>148</v>
      </c>
      <c r="E200" t="s">
        <v>22</v>
      </c>
      <c r="F200" t="s">
        <v>23</v>
      </c>
      <c r="G200" t="s">
        <v>33</v>
      </c>
      <c r="H200">
        <v>1</v>
      </c>
      <c r="I200">
        <v>43</v>
      </c>
      <c r="J200">
        <v>82.21</v>
      </c>
      <c r="K200">
        <v>68</v>
      </c>
      <c r="L200">
        <v>3535.03</v>
      </c>
      <c r="M200">
        <v>611.03</v>
      </c>
      <c r="N200" s="1">
        <v>37995</v>
      </c>
      <c r="O200" t="s">
        <v>25</v>
      </c>
      <c r="P200">
        <v>1</v>
      </c>
      <c r="Q200">
        <v>1</v>
      </c>
      <c r="R200">
        <v>2004</v>
      </c>
      <c r="S200" t="s">
        <v>234</v>
      </c>
    </row>
    <row r="201" spans="1:19" x14ac:dyDescent="0.25">
      <c r="A201">
        <v>10249</v>
      </c>
      <c r="B201" t="s">
        <v>288</v>
      </c>
      <c r="C201" t="s">
        <v>102</v>
      </c>
      <c r="D201" t="s">
        <v>59</v>
      </c>
      <c r="E201" t="s">
        <v>22</v>
      </c>
      <c r="F201" t="s">
        <v>23</v>
      </c>
      <c r="G201" t="s">
        <v>24</v>
      </c>
      <c r="H201">
        <v>1</v>
      </c>
      <c r="I201">
        <v>20</v>
      </c>
      <c r="J201">
        <v>67.819999999999993</v>
      </c>
      <c r="K201">
        <v>68</v>
      </c>
      <c r="L201">
        <v>1356.4</v>
      </c>
      <c r="M201">
        <v>-3.6</v>
      </c>
      <c r="N201" s="1">
        <v>38115</v>
      </c>
      <c r="O201" t="s">
        <v>25</v>
      </c>
      <c r="P201">
        <v>2</v>
      </c>
      <c r="Q201">
        <v>5</v>
      </c>
      <c r="R201">
        <v>2004</v>
      </c>
      <c r="S201" t="s">
        <v>234</v>
      </c>
    </row>
    <row r="202" spans="1:19" x14ac:dyDescent="0.25">
      <c r="A202">
        <v>10328</v>
      </c>
      <c r="B202" t="s">
        <v>288</v>
      </c>
      <c r="C202" t="s">
        <v>227</v>
      </c>
      <c r="D202" t="s">
        <v>228</v>
      </c>
      <c r="E202" t="s">
        <v>110</v>
      </c>
      <c r="F202" t="s">
        <v>30</v>
      </c>
      <c r="G202" t="s">
        <v>24</v>
      </c>
      <c r="H202">
        <v>1</v>
      </c>
      <c r="I202">
        <v>48</v>
      </c>
      <c r="J202">
        <v>58.92</v>
      </c>
      <c r="K202">
        <v>68</v>
      </c>
      <c r="L202">
        <v>2828.16</v>
      </c>
      <c r="M202">
        <v>-435.84</v>
      </c>
      <c r="N202" s="1">
        <v>38303</v>
      </c>
      <c r="O202" t="s">
        <v>25</v>
      </c>
      <c r="P202">
        <v>4</v>
      </c>
      <c r="Q202">
        <v>11</v>
      </c>
      <c r="R202">
        <v>2004</v>
      </c>
      <c r="S202" t="s">
        <v>234</v>
      </c>
    </row>
    <row r="203" spans="1:19" x14ac:dyDescent="0.25">
      <c r="A203">
        <v>10386</v>
      </c>
      <c r="B203" t="s">
        <v>288</v>
      </c>
      <c r="C203" t="s">
        <v>78</v>
      </c>
      <c r="D203" t="s">
        <v>79</v>
      </c>
      <c r="E203" t="s">
        <v>80</v>
      </c>
      <c r="F203" t="s">
        <v>30</v>
      </c>
      <c r="G203" t="s">
        <v>24</v>
      </c>
      <c r="H203">
        <v>1</v>
      </c>
      <c r="I203">
        <v>39</v>
      </c>
      <c r="J203">
        <v>55.96</v>
      </c>
      <c r="K203">
        <v>68</v>
      </c>
      <c r="L203">
        <v>2182.44</v>
      </c>
      <c r="M203">
        <v>-469.56</v>
      </c>
      <c r="N203" s="1">
        <v>38412</v>
      </c>
      <c r="O203" t="s">
        <v>169</v>
      </c>
      <c r="P203">
        <v>1</v>
      </c>
      <c r="Q203">
        <v>3</v>
      </c>
      <c r="R203">
        <v>2005</v>
      </c>
      <c r="S203" t="s">
        <v>234</v>
      </c>
    </row>
    <row r="204" spans="1:19" x14ac:dyDescent="0.25">
      <c r="A204">
        <v>10415</v>
      </c>
      <c r="B204" t="s">
        <v>288</v>
      </c>
      <c r="C204" t="s">
        <v>229</v>
      </c>
      <c r="D204" t="s">
        <v>230</v>
      </c>
      <c r="E204" t="s">
        <v>49</v>
      </c>
      <c r="F204" t="s">
        <v>50</v>
      </c>
      <c r="G204" t="s">
        <v>24</v>
      </c>
      <c r="H204">
        <v>1</v>
      </c>
      <c r="I204">
        <v>21</v>
      </c>
      <c r="J204">
        <v>67.819999999999993</v>
      </c>
      <c r="K204">
        <v>68</v>
      </c>
      <c r="L204">
        <v>1424.22</v>
      </c>
      <c r="M204">
        <v>-3.78</v>
      </c>
      <c r="N204" s="1">
        <v>38481</v>
      </c>
      <c r="O204" t="s">
        <v>81</v>
      </c>
      <c r="P204">
        <v>2</v>
      </c>
      <c r="Q204">
        <v>5</v>
      </c>
      <c r="R204">
        <v>2005</v>
      </c>
      <c r="S204" t="s">
        <v>234</v>
      </c>
    </row>
    <row r="205" spans="1:19" x14ac:dyDescent="0.25">
      <c r="A205">
        <v>10192</v>
      </c>
      <c r="B205" t="s">
        <v>289</v>
      </c>
      <c r="C205" t="s">
        <v>117</v>
      </c>
      <c r="D205" t="s">
        <v>118</v>
      </c>
      <c r="E205" t="s">
        <v>22</v>
      </c>
      <c r="F205" t="s">
        <v>23</v>
      </c>
      <c r="G205" t="s">
        <v>33</v>
      </c>
      <c r="H205">
        <v>1</v>
      </c>
      <c r="I205">
        <v>23</v>
      </c>
      <c r="J205">
        <v>100</v>
      </c>
      <c r="K205">
        <v>117</v>
      </c>
      <c r="L205">
        <v>3052.33</v>
      </c>
      <c r="M205">
        <v>361.33</v>
      </c>
      <c r="N205" s="1">
        <v>37945</v>
      </c>
      <c r="O205" t="s">
        <v>25</v>
      </c>
      <c r="P205">
        <v>4</v>
      </c>
      <c r="Q205">
        <v>11</v>
      </c>
      <c r="R205">
        <v>2003</v>
      </c>
      <c r="S205" t="s">
        <v>83</v>
      </c>
    </row>
    <row r="206" spans="1:19" x14ac:dyDescent="0.25">
      <c r="A206">
        <v>10135</v>
      </c>
      <c r="B206" t="s">
        <v>290</v>
      </c>
      <c r="C206" t="s">
        <v>115</v>
      </c>
      <c r="D206" t="s">
        <v>116</v>
      </c>
      <c r="E206" t="s">
        <v>22</v>
      </c>
      <c r="F206" t="s">
        <v>23</v>
      </c>
      <c r="G206" t="s">
        <v>24</v>
      </c>
      <c r="H206">
        <v>1</v>
      </c>
      <c r="I206">
        <v>20</v>
      </c>
      <c r="J206">
        <v>35.869999999999997</v>
      </c>
      <c r="K206">
        <v>37</v>
      </c>
      <c r="L206">
        <v>717.4</v>
      </c>
      <c r="M206">
        <v>-22.6</v>
      </c>
      <c r="N206" s="1">
        <v>37804</v>
      </c>
      <c r="O206" t="s">
        <v>25</v>
      </c>
      <c r="P206">
        <v>3</v>
      </c>
      <c r="Q206">
        <v>7</v>
      </c>
      <c r="R206">
        <v>2003</v>
      </c>
      <c r="S206" t="s">
        <v>83</v>
      </c>
    </row>
    <row r="207" spans="1:19" x14ac:dyDescent="0.25">
      <c r="A207">
        <v>10147</v>
      </c>
      <c r="B207" t="s">
        <v>290</v>
      </c>
      <c r="C207" t="s">
        <v>119</v>
      </c>
      <c r="D207" t="s">
        <v>120</v>
      </c>
      <c r="E207" t="s">
        <v>22</v>
      </c>
      <c r="F207" t="s">
        <v>23</v>
      </c>
      <c r="G207" t="s">
        <v>24</v>
      </c>
      <c r="H207">
        <v>1</v>
      </c>
      <c r="I207">
        <v>25</v>
      </c>
      <c r="J207">
        <v>42.67</v>
      </c>
      <c r="K207">
        <v>37</v>
      </c>
      <c r="L207">
        <v>1066.75</v>
      </c>
      <c r="M207">
        <v>141.75</v>
      </c>
      <c r="N207" s="1">
        <v>37869</v>
      </c>
      <c r="O207" t="s">
        <v>25</v>
      </c>
      <c r="P207">
        <v>3</v>
      </c>
      <c r="Q207">
        <v>9</v>
      </c>
      <c r="R207">
        <v>2003</v>
      </c>
      <c r="S207" t="s">
        <v>83</v>
      </c>
    </row>
    <row r="208" spans="1:19" x14ac:dyDescent="0.25">
      <c r="A208">
        <v>10142</v>
      </c>
      <c r="B208" t="s">
        <v>291</v>
      </c>
      <c r="C208" t="s">
        <v>115</v>
      </c>
      <c r="D208" t="s">
        <v>116</v>
      </c>
      <c r="E208" t="s">
        <v>22</v>
      </c>
      <c r="F208" t="s">
        <v>23</v>
      </c>
      <c r="G208" t="s">
        <v>33</v>
      </c>
      <c r="H208">
        <v>1</v>
      </c>
      <c r="I208">
        <v>49</v>
      </c>
      <c r="J208">
        <v>98.25</v>
      </c>
      <c r="K208">
        <v>88</v>
      </c>
      <c r="L208">
        <v>4814.25</v>
      </c>
      <c r="M208">
        <v>502.25</v>
      </c>
      <c r="N208" s="1">
        <v>37841</v>
      </c>
      <c r="O208" t="s">
        <v>25</v>
      </c>
      <c r="P208">
        <v>3</v>
      </c>
      <c r="Q208">
        <v>8</v>
      </c>
      <c r="R208">
        <v>2003</v>
      </c>
      <c r="S208" t="s">
        <v>226</v>
      </c>
    </row>
    <row r="209" spans="1:19" x14ac:dyDescent="0.25">
      <c r="A209">
        <v>10315</v>
      </c>
      <c r="B209" t="s">
        <v>291</v>
      </c>
      <c r="C209" t="s">
        <v>56</v>
      </c>
      <c r="D209" t="s">
        <v>57</v>
      </c>
      <c r="E209" t="s">
        <v>29</v>
      </c>
      <c r="F209" t="s">
        <v>30</v>
      </c>
      <c r="G209" t="s">
        <v>24</v>
      </c>
      <c r="H209">
        <v>1</v>
      </c>
      <c r="I209">
        <v>24</v>
      </c>
      <c r="J209">
        <v>86.74</v>
      </c>
      <c r="K209">
        <v>88</v>
      </c>
      <c r="L209">
        <v>2081.7600000000002</v>
      </c>
      <c r="M209">
        <v>-30.24</v>
      </c>
      <c r="N209" s="1">
        <v>38289</v>
      </c>
      <c r="O209" t="s">
        <v>25</v>
      </c>
      <c r="P209">
        <v>4</v>
      </c>
      <c r="Q209">
        <v>10</v>
      </c>
      <c r="R209">
        <v>2004</v>
      </c>
      <c r="S209" t="s">
        <v>226</v>
      </c>
    </row>
    <row r="210" spans="1:19" x14ac:dyDescent="0.25">
      <c r="A210">
        <v>10368</v>
      </c>
      <c r="B210" t="s">
        <v>292</v>
      </c>
      <c r="C210" t="s">
        <v>115</v>
      </c>
      <c r="D210" t="s">
        <v>116</v>
      </c>
      <c r="E210" t="s">
        <v>22</v>
      </c>
      <c r="F210" t="s">
        <v>23</v>
      </c>
      <c r="G210" t="s">
        <v>33</v>
      </c>
      <c r="H210">
        <v>1</v>
      </c>
      <c r="I210">
        <v>46</v>
      </c>
      <c r="J210">
        <v>79.62</v>
      </c>
      <c r="K210">
        <v>85</v>
      </c>
      <c r="L210">
        <v>3662.52</v>
      </c>
      <c r="M210">
        <v>-247.48</v>
      </c>
      <c r="N210" s="1">
        <v>38371</v>
      </c>
      <c r="O210" t="s">
        <v>25</v>
      </c>
      <c r="P210">
        <v>1</v>
      </c>
      <c r="Q210">
        <v>1</v>
      </c>
      <c r="R210">
        <v>2005</v>
      </c>
      <c r="S210" t="s">
        <v>83</v>
      </c>
    </row>
    <row r="211" spans="1:19" x14ac:dyDescent="0.25">
      <c r="A211">
        <v>10159</v>
      </c>
      <c r="B211" t="s">
        <v>293</v>
      </c>
      <c r="C211" t="s">
        <v>36</v>
      </c>
      <c r="D211" t="s">
        <v>37</v>
      </c>
      <c r="E211" t="s">
        <v>22</v>
      </c>
      <c r="F211" t="s">
        <v>23</v>
      </c>
      <c r="G211" t="s">
        <v>33</v>
      </c>
      <c r="H211">
        <v>1</v>
      </c>
      <c r="I211">
        <v>50</v>
      </c>
      <c r="J211">
        <v>69.8</v>
      </c>
      <c r="K211">
        <v>61</v>
      </c>
      <c r="L211">
        <v>3490</v>
      </c>
      <c r="M211">
        <v>440</v>
      </c>
      <c r="N211" s="1">
        <v>37904</v>
      </c>
      <c r="O211" t="s">
        <v>25</v>
      </c>
      <c r="P211">
        <v>4</v>
      </c>
      <c r="Q211">
        <v>10</v>
      </c>
      <c r="R211">
        <v>2003</v>
      </c>
      <c r="S211" t="s">
        <v>83</v>
      </c>
    </row>
    <row r="212" spans="1:19" x14ac:dyDescent="0.25">
      <c r="A212">
        <v>10169</v>
      </c>
      <c r="B212" t="s">
        <v>293</v>
      </c>
      <c r="C212" t="s">
        <v>121</v>
      </c>
      <c r="D212" t="s">
        <v>122</v>
      </c>
      <c r="E212" t="s">
        <v>49</v>
      </c>
      <c r="F212" t="s">
        <v>50</v>
      </c>
      <c r="G212" t="s">
        <v>24</v>
      </c>
      <c r="H212">
        <v>1</v>
      </c>
      <c r="I212">
        <v>34</v>
      </c>
      <c r="J212">
        <v>50.21</v>
      </c>
      <c r="K212">
        <v>61</v>
      </c>
      <c r="L212">
        <v>1707.14</v>
      </c>
      <c r="M212">
        <v>-366.86</v>
      </c>
      <c r="N212" s="1">
        <v>37929</v>
      </c>
      <c r="O212" t="s">
        <v>25</v>
      </c>
      <c r="P212">
        <v>4</v>
      </c>
      <c r="Q212">
        <v>11</v>
      </c>
      <c r="R212">
        <v>2003</v>
      </c>
      <c r="S212" t="s">
        <v>83</v>
      </c>
    </row>
    <row r="213" spans="1:19" x14ac:dyDescent="0.25">
      <c r="A213">
        <v>10211</v>
      </c>
      <c r="B213" t="s">
        <v>293</v>
      </c>
      <c r="C213" t="s">
        <v>46</v>
      </c>
      <c r="D213" t="s">
        <v>32</v>
      </c>
      <c r="E213" t="s">
        <v>29</v>
      </c>
      <c r="F213" t="s">
        <v>30</v>
      </c>
      <c r="G213" t="s">
        <v>24</v>
      </c>
      <c r="H213">
        <v>1</v>
      </c>
      <c r="I213">
        <v>48</v>
      </c>
      <c r="J213">
        <v>48.98</v>
      </c>
      <c r="K213">
        <v>61</v>
      </c>
      <c r="L213">
        <v>2351.04</v>
      </c>
      <c r="M213">
        <v>-576.96</v>
      </c>
      <c r="N213" s="1">
        <v>38001</v>
      </c>
      <c r="O213" t="s">
        <v>25</v>
      </c>
      <c r="P213">
        <v>1</v>
      </c>
      <c r="Q213">
        <v>1</v>
      </c>
      <c r="R213">
        <v>2004</v>
      </c>
      <c r="S213" t="s">
        <v>83</v>
      </c>
    </row>
    <row r="214" spans="1:19" x14ac:dyDescent="0.25">
      <c r="A214">
        <v>10105</v>
      </c>
      <c r="B214" t="s">
        <v>296</v>
      </c>
      <c r="C214" t="s">
        <v>135</v>
      </c>
      <c r="D214" t="s">
        <v>136</v>
      </c>
      <c r="E214" t="s">
        <v>137</v>
      </c>
      <c r="F214" t="s">
        <v>30</v>
      </c>
      <c r="G214" t="s">
        <v>33</v>
      </c>
      <c r="H214">
        <v>1</v>
      </c>
      <c r="I214">
        <v>50</v>
      </c>
      <c r="J214">
        <v>79.67</v>
      </c>
      <c r="K214">
        <v>83</v>
      </c>
      <c r="L214">
        <v>3983.5</v>
      </c>
      <c r="M214">
        <v>-166.5</v>
      </c>
      <c r="N214" s="1">
        <v>37663</v>
      </c>
      <c r="O214" t="s">
        <v>25</v>
      </c>
      <c r="P214">
        <v>1</v>
      </c>
      <c r="Q214">
        <v>2</v>
      </c>
      <c r="R214">
        <v>2003</v>
      </c>
      <c r="S214" t="s">
        <v>226</v>
      </c>
    </row>
    <row r="215" spans="1:19" x14ac:dyDescent="0.25">
      <c r="A215">
        <v>10129</v>
      </c>
      <c r="B215" t="s">
        <v>296</v>
      </c>
      <c r="C215" t="s">
        <v>138</v>
      </c>
      <c r="D215" t="s">
        <v>139</v>
      </c>
      <c r="E215" t="s">
        <v>77</v>
      </c>
      <c r="F215" t="s">
        <v>30</v>
      </c>
      <c r="G215" t="s">
        <v>33</v>
      </c>
      <c r="H215">
        <v>1</v>
      </c>
      <c r="I215">
        <v>50</v>
      </c>
      <c r="J215">
        <v>77.989999999999995</v>
      </c>
      <c r="K215">
        <v>83</v>
      </c>
      <c r="L215">
        <v>3899.5</v>
      </c>
      <c r="M215">
        <v>-250.5</v>
      </c>
      <c r="N215" s="1">
        <v>37784</v>
      </c>
      <c r="O215" t="s">
        <v>25</v>
      </c>
      <c r="P215">
        <v>2</v>
      </c>
      <c r="Q215">
        <v>6</v>
      </c>
      <c r="R215">
        <v>2003</v>
      </c>
      <c r="S215" t="s">
        <v>226</v>
      </c>
    </row>
    <row r="216" spans="1:19" x14ac:dyDescent="0.25">
      <c r="A216">
        <v>10108</v>
      </c>
      <c r="B216" t="s">
        <v>297</v>
      </c>
      <c r="C216" t="s">
        <v>173</v>
      </c>
      <c r="D216" t="s">
        <v>174</v>
      </c>
      <c r="E216" t="s">
        <v>175</v>
      </c>
      <c r="F216" t="s">
        <v>50</v>
      </c>
      <c r="G216" t="s">
        <v>33</v>
      </c>
      <c r="H216">
        <v>1</v>
      </c>
      <c r="I216">
        <v>40</v>
      </c>
      <c r="J216">
        <v>100</v>
      </c>
      <c r="K216">
        <v>140</v>
      </c>
      <c r="L216">
        <v>5448.8</v>
      </c>
      <c r="M216">
        <v>-151.19999999999999</v>
      </c>
      <c r="N216" s="1">
        <v>37683</v>
      </c>
      <c r="O216" t="s">
        <v>25</v>
      </c>
      <c r="P216">
        <v>1</v>
      </c>
      <c r="Q216">
        <v>3</v>
      </c>
      <c r="R216">
        <v>2003</v>
      </c>
      <c r="S216" t="s">
        <v>83</v>
      </c>
    </row>
    <row r="217" spans="1:19" x14ac:dyDescent="0.25">
      <c r="A217">
        <v>10170</v>
      </c>
      <c r="B217" t="s">
        <v>297</v>
      </c>
      <c r="C217" t="s">
        <v>167</v>
      </c>
      <c r="D217" t="s">
        <v>168</v>
      </c>
      <c r="E217" t="s">
        <v>69</v>
      </c>
      <c r="F217" t="s">
        <v>30</v>
      </c>
      <c r="G217" t="s">
        <v>33</v>
      </c>
      <c r="H217">
        <v>1</v>
      </c>
      <c r="I217">
        <v>34</v>
      </c>
      <c r="J217">
        <v>100</v>
      </c>
      <c r="K217">
        <v>140</v>
      </c>
      <c r="L217">
        <v>3819.56</v>
      </c>
      <c r="M217">
        <v>-940.44</v>
      </c>
      <c r="N217" s="1">
        <v>37929</v>
      </c>
      <c r="O217" t="s">
        <v>25</v>
      </c>
      <c r="P217">
        <v>4</v>
      </c>
      <c r="Q217">
        <v>11</v>
      </c>
      <c r="R217">
        <v>2003</v>
      </c>
      <c r="S217" t="s">
        <v>83</v>
      </c>
    </row>
    <row r="218" spans="1:19" x14ac:dyDescent="0.25">
      <c r="A218">
        <v>10331</v>
      </c>
      <c r="B218" t="s">
        <v>297</v>
      </c>
      <c r="C218" t="s">
        <v>129</v>
      </c>
      <c r="D218" t="s">
        <v>94</v>
      </c>
      <c r="E218" t="s">
        <v>22</v>
      </c>
      <c r="F218" t="s">
        <v>23</v>
      </c>
      <c r="G218" t="s">
        <v>33</v>
      </c>
      <c r="H218">
        <v>1</v>
      </c>
      <c r="I218">
        <v>21</v>
      </c>
      <c r="J218">
        <v>100</v>
      </c>
      <c r="K218">
        <v>140</v>
      </c>
      <c r="L218">
        <v>3135.93</v>
      </c>
      <c r="M218">
        <v>195.93</v>
      </c>
      <c r="N218" s="1">
        <v>38308</v>
      </c>
      <c r="O218" t="s">
        <v>25</v>
      </c>
      <c r="P218">
        <v>4</v>
      </c>
      <c r="Q218">
        <v>11</v>
      </c>
      <c r="R218">
        <v>2004</v>
      </c>
      <c r="S218" t="s">
        <v>83</v>
      </c>
    </row>
    <row r="219" spans="1:19" x14ac:dyDescent="0.25">
      <c r="A219">
        <v>10363</v>
      </c>
      <c r="B219" t="s">
        <v>297</v>
      </c>
      <c r="C219" t="s">
        <v>189</v>
      </c>
      <c r="D219" t="s">
        <v>190</v>
      </c>
      <c r="E219" t="s">
        <v>62</v>
      </c>
      <c r="F219" t="s">
        <v>30</v>
      </c>
      <c r="G219" t="s">
        <v>24</v>
      </c>
      <c r="H219">
        <v>1</v>
      </c>
      <c r="I219">
        <v>31</v>
      </c>
      <c r="J219">
        <v>94.58</v>
      </c>
      <c r="K219">
        <v>140</v>
      </c>
      <c r="L219">
        <v>2931.98</v>
      </c>
      <c r="M219">
        <v>-1408.02</v>
      </c>
      <c r="N219" s="1">
        <v>38358</v>
      </c>
      <c r="O219" t="s">
        <v>25</v>
      </c>
      <c r="P219">
        <v>1</v>
      </c>
      <c r="Q219">
        <v>1</v>
      </c>
      <c r="R219">
        <v>2005</v>
      </c>
      <c r="S219" t="s">
        <v>83</v>
      </c>
    </row>
    <row r="220" spans="1:19" x14ac:dyDescent="0.25">
      <c r="A220">
        <v>10100</v>
      </c>
      <c r="B220" t="s">
        <v>299</v>
      </c>
      <c r="C220" t="s">
        <v>117</v>
      </c>
      <c r="D220" t="s">
        <v>118</v>
      </c>
      <c r="E220" t="s">
        <v>22</v>
      </c>
      <c r="F220" t="s">
        <v>23</v>
      </c>
      <c r="G220" t="s">
        <v>24</v>
      </c>
      <c r="H220">
        <v>1</v>
      </c>
      <c r="I220">
        <v>49</v>
      </c>
      <c r="J220">
        <v>34.47</v>
      </c>
      <c r="K220">
        <v>41</v>
      </c>
      <c r="L220">
        <v>1689.03</v>
      </c>
      <c r="M220">
        <v>-319.97000000000003</v>
      </c>
      <c r="N220" s="1">
        <v>37627</v>
      </c>
      <c r="O220" t="s">
        <v>25</v>
      </c>
      <c r="P220">
        <v>1</v>
      </c>
      <c r="Q220">
        <v>1</v>
      </c>
      <c r="R220">
        <v>2003</v>
      </c>
      <c r="S220" t="s">
        <v>226</v>
      </c>
    </row>
    <row r="221" spans="1:19" x14ac:dyDescent="0.25">
      <c r="A221">
        <v>10242</v>
      </c>
      <c r="B221" t="s">
        <v>299</v>
      </c>
      <c r="C221" t="s">
        <v>204</v>
      </c>
      <c r="D221" t="s">
        <v>21</v>
      </c>
      <c r="E221" t="s">
        <v>22</v>
      </c>
      <c r="F221" t="s">
        <v>23</v>
      </c>
      <c r="G221" t="s">
        <v>24</v>
      </c>
      <c r="H221">
        <v>1</v>
      </c>
      <c r="I221">
        <v>46</v>
      </c>
      <c r="J221">
        <v>36.93</v>
      </c>
      <c r="K221">
        <v>41</v>
      </c>
      <c r="L221">
        <v>1698.78</v>
      </c>
      <c r="M221">
        <v>-187.22</v>
      </c>
      <c r="N221" s="1">
        <v>38097</v>
      </c>
      <c r="O221" t="s">
        <v>25</v>
      </c>
      <c r="P221">
        <v>2</v>
      </c>
      <c r="Q221">
        <v>4</v>
      </c>
      <c r="R221">
        <v>2004</v>
      </c>
      <c r="S221" t="s">
        <v>226</v>
      </c>
    </row>
    <row r="222" spans="1:19" x14ac:dyDescent="0.25">
      <c r="A222">
        <v>10303</v>
      </c>
      <c r="B222" t="s">
        <v>299</v>
      </c>
      <c r="C222" t="s">
        <v>212</v>
      </c>
      <c r="D222" t="s">
        <v>213</v>
      </c>
      <c r="E222" t="s">
        <v>80</v>
      </c>
      <c r="F222" t="s">
        <v>30</v>
      </c>
      <c r="G222" t="s">
        <v>24</v>
      </c>
      <c r="H222">
        <v>1</v>
      </c>
      <c r="I222">
        <v>24</v>
      </c>
      <c r="J222">
        <v>40.21</v>
      </c>
      <c r="K222">
        <v>41</v>
      </c>
      <c r="L222">
        <v>965.04</v>
      </c>
      <c r="M222">
        <v>-18.96</v>
      </c>
      <c r="N222" s="1">
        <v>38266</v>
      </c>
      <c r="O222" t="s">
        <v>25</v>
      </c>
      <c r="P222">
        <v>4</v>
      </c>
      <c r="Q222">
        <v>10</v>
      </c>
      <c r="R222">
        <v>2004</v>
      </c>
      <c r="S222" t="s">
        <v>226</v>
      </c>
    </row>
    <row r="223" spans="1:19" x14ac:dyDescent="0.25">
      <c r="A223">
        <v>10408</v>
      </c>
      <c r="B223" t="s">
        <v>299</v>
      </c>
      <c r="C223" t="s">
        <v>105</v>
      </c>
      <c r="D223" t="s">
        <v>106</v>
      </c>
      <c r="E223" t="s">
        <v>107</v>
      </c>
      <c r="F223" t="s">
        <v>50</v>
      </c>
      <c r="G223" t="s">
        <v>24</v>
      </c>
      <c r="H223">
        <v>1</v>
      </c>
      <c r="I223">
        <v>15</v>
      </c>
      <c r="J223">
        <v>36.93</v>
      </c>
      <c r="K223">
        <v>41</v>
      </c>
      <c r="L223">
        <v>553.95000000000005</v>
      </c>
      <c r="M223">
        <v>-61.05</v>
      </c>
      <c r="N223" s="1">
        <v>38464</v>
      </c>
      <c r="O223" t="s">
        <v>25</v>
      </c>
      <c r="P223">
        <v>2</v>
      </c>
      <c r="Q223">
        <v>4</v>
      </c>
      <c r="R223">
        <v>2005</v>
      </c>
      <c r="S223" t="s">
        <v>226</v>
      </c>
    </row>
    <row r="224" spans="1:19" x14ac:dyDescent="0.25">
      <c r="A224">
        <v>10115</v>
      </c>
      <c r="B224" t="s">
        <v>300</v>
      </c>
      <c r="C224" t="s">
        <v>90</v>
      </c>
      <c r="D224" t="s">
        <v>21</v>
      </c>
      <c r="E224" t="s">
        <v>22</v>
      </c>
      <c r="F224" t="s">
        <v>23</v>
      </c>
      <c r="G224" t="s">
        <v>33</v>
      </c>
      <c r="H224">
        <v>1</v>
      </c>
      <c r="I224">
        <v>44</v>
      </c>
      <c r="J224">
        <v>100</v>
      </c>
      <c r="K224">
        <v>118</v>
      </c>
      <c r="L224">
        <v>5568.64</v>
      </c>
      <c r="M224">
        <v>376.64</v>
      </c>
      <c r="N224" s="1">
        <v>37715</v>
      </c>
      <c r="O224" t="s">
        <v>25</v>
      </c>
      <c r="P224">
        <v>2</v>
      </c>
      <c r="Q224">
        <v>4</v>
      </c>
      <c r="R224">
        <v>2003</v>
      </c>
      <c r="S224" t="s">
        <v>83</v>
      </c>
    </row>
    <row r="225" spans="1:19" x14ac:dyDescent="0.25">
      <c r="A225">
        <v>10141</v>
      </c>
      <c r="B225" t="s">
        <v>300</v>
      </c>
      <c r="C225" t="s">
        <v>189</v>
      </c>
      <c r="D225" t="s">
        <v>190</v>
      </c>
      <c r="E225" t="s">
        <v>62</v>
      </c>
      <c r="F225" t="s">
        <v>30</v>
      </c>
      <c r="G225" t="s">
        <v>33</v>
      </c>
      <c r="H225">
        <v>1</v>
      </c>
      <c r="I225">
        <v>40</v>
      </c>
      <c r="J225">
        <v>94.62</v>
      </c>
      <c r="K225">
        <v>118</v>
      </c>
      <c r="L225">
        <v>3784.8</v>
      </c>
      <c r="M225">
        <v>-935.2</v>
      </c>
      <c r="N225" s="1">
        <v>37834</v>
      </c>
      <c r="O225" t="s">
        <v>25</v>
      </c>
      <c r="P225">
        <v>3</v>
      </c>
      <c r="Q225">
        <v>8</v>
      </c>
      <c r="R225">
        <v>2003</v>
      </c>
      <c r="S225" t="s">
        <v>83</v>
      </c>
    </row>
    <row r="226" spans="1:19" x14ac:dyDescent="0.25">
      <c r="A226">
        <v>10246</v>
      </c>
      <c r="B226" t="s">
        <v>300</v>
      </c>
      <c r="C226" t="s">
        <v>78</v>
      </c>
      <c r="D226" t="s">
        <v>79</v>
      </c>
      <c r="E226" t="s">
        <v>80</v>
      </c>
      <c r="F226" t="s">
        <v>30</v>
      </c>
      <c r="G226" t="s">
        <v>33</v>
      </c>
      <c r="H226">
        <v>1</v>
      </c>
      <c r="I226">
        <v>46</v>
      </c>
      <c r="J226">
        <v>100</v>
      </c>
      <c r="K226">
        <v>118</v>
      </c>
      <c r="L226">
        <v>6311.2</v>
      </c>
      <c r="M226">
        <v>883.2</v>
      </c>
      <c r="N226" s="1">
        <v>38112</v>
      </c>
      <c r="O226" t="s">
        <v>25</v>
      </c>
      <c r="P226">
        <v>2</v>
      </c>
      <c r="Q226">
        <v>5</v>
      </c>
      <c r="R226">
        <v>2004</v>
      </c>
      <c r="S226" t="s">
        <v>83</v>
      </c>
    </row>
    <row r="227" spans="1:19" x14ac:dyDescent="0.25">
      <c r="A227">
        <v>10271</v>
      </c>
      <c r="B227" t="s">
        <v>300</v>
      </c>
      <c r="C227" t="s">
        <v>115</v>
      </c>
      <c r="D227" t="s">
        <v>116</v>
      </c>
      <c r="E227" t="s">
        <v>22</v>
      </c>
      <c r="F227" t="s">
        <v>23</v>
      </c>
      <c r="G227" t="s">
        <v>33</v>
      </c>
      <c r="H227">
        <v>1</v>
      </c>
      <c r="I227">
        <v>22</v>
      </c>
      <c r="J227">
        <v>100</v>
      </c>
      <c r="K227">
        <v>118</v>
      </c>
      <c r="L227">
        <v>3070.54</v>
      </c>
      <c r="M227">
        <v>474.54</v>
      </c>
      <c r="N227" s="1">
        <v>38188</v>
      </c>
      <c r="O227" t="s">
        <v>25</v>
      </c>
      <c r="P227">
        <v>3</v>
      </c>
      <c r="Q227">
        <v>7</v>
      </c>
      <c r="R227">
        <v>2004</v>
      </c>
      <c r="S227" t="s">
        <v>83</v>
      </c>
    </row>
    <row r="228" spans="1:19" x14ac:dyDescent="0.25">
      <c r="A228">
        <v>10305</v>
      </c>
      <c r="B228" t="s">
        <v>300</v>
      </c>
      <c r="C228" t="s">
        <v>58</v>
      </c>
      <c r="D228" t="s">
        <v>59</v>
      </c>
      <c r="E228" t="s">
        <v>22</v>
      </c>
      <c r="F228" t="s">
        <v>23</v>
      </c>
      <c r="G228" t="s">
        <v>33</v>
      </c>
      <c r="H228">
        <v>1</v>
      </c>
      <c r="I228">
        <v>36</v>
      </c>
      <c r="J228">
        <v>100</v>
      </c>
      <c r="K228">
        <v>118</v>
      </c>
      <c r="L228">
        <v>4641.4799999999996</v>
      </c>
      <c r="M228">
        <v>393.48</v>
      </c>
      <c r="N228" s="1">
        <v>38273</v>
      </c>
      <c r="O228" t="s">
        <v>25</v>
      </c>
      <c r="P228">
        <v>4</v>
      </c>
      <c r="Q228">
        <v>10</v>
      </c>
      <c r="R228">
        <v>2004</v>
      </c>
      <c r="S228" t="s">
        <v>83</v>
      </c>
    </row>
    <row r="229" spans="1:19" x14ac:dyDescent="0.25">
      <c r="A229">
        <v>10412</v>
      </c>
      <c r="B229" t="s">
        <v>300</v>
      </c>
      <c r="C229" t="s">
        <v>78</v>
      </c>
      <c r="D229" t="s">
        <v>79</v>
      </c>
      <c r="E229" t="s">
        <v>80</v>
      </c>
      <c r="F229" t="s">
        <v>30</v>
      </c>
      <c r="G229" t="s">
        <v>33</v>
      </c>
      <c r="H229">
        <v>1</v>
      </c>
      <c r="I229">
        <v>31</v>
      </c>
      <c r="J229">
        <v>100</v>
      </c>
      <c r="K229">
        <v>118</v>
      </c>
      <c r="L229">
        <v>4253.2</v>
      </c>
      <c r="M229">
        <v>595.20000000000005</v>
      </c>
      <c r="N229" s="1">
        <v>38475</v>
      </c>
      <c r="O229" t="s">
        <v>25</v>
      </c>
      <c r="P229">
        <v>2</v>
      </c>
      <c r="Q229">
        <v>5</v>
      </c>
      <c r="R229">
        <v>2005</v>
      </c>
      <c r="S229" t="s">
        <v>83</v>
      </c>
    </row>
    <row r="230" spans="1:19" x14ac:dyDescent="0.25">
      <c r="A230">
        <v>10149</v>
      </c>
      <c r="B230" t="s">
        <v>301</v>
      </c>
      <c r="C230" t="s">
        <v>214</v>
      </c>
      <c r="D230" t="s">
        <v>215</v>
      </c>
      <c r="E230" t="s">
        <v>22</v>
      </c>
      <c r="F230" t="s">
        <v>23</v>
      </c>
      <c r="G230" t="s">
        <v>24</v>
      </c>
      <c r="H230">
        <v>1</v>
      </c>
      <c r="I230">
        <v>20</v>
      </c>
      <c r="J230">
        <v>90.57</v>
      </c>
      <c r="K230">
        <v>97</v>
      </c>
      <c r="L230">
        <v>1811.4</v>
      </c>
      <c r="M230">
        <v>-128.6</v>
      </c>
      <c r="N230" s="1">
        <v>37876</v>
      </c>
      <c r="O230" t="s">
        <v>25</v>
      </c>
      <c r="P230">
        <v>3</v>
      </c>
      <c r="Q230">
        <v>9</v>
      </c>
      <c r="R230">
        <v>2003</v>
      </c>
      <c r="S230" t="s">
        <v>226</v>
      </c>
    </row>
    <row r="231" spans="1:19" x14ac:dyDescent="0.25">
      <c r="A231">
        <v>10290</v>
      </c>
      <c r="B231" t="s">
        <v>301</v>
      </c>
      <c r="C231" t="s">
        <v>256</v>
      </c>
      <c r="D231" t="s">
        <v>120</v>
      </c>
      <c r="E231" t="s">
        <v>22</v>
      </c>
      <c r="F231" t="s">
        <v>23</v>
      </c>
      <c r="G231" t="s">
        <v>33</v>
      </c>
      <c r="H231">
        <v>1</v>
      </c>
      <c r="I231">
        <v>45</v>
      </c>
      <c r="J231">
        <v>100</v>
      </c>
      <c r="K231">
        <v>97</v>
      </c>
      <c r="L231">
        <v>5171.3999999999996</v>
      </c>
      <c r="M231">
        <v>806.4</v>
      </c>
      <c r="N231" s="1">
        <v>38237</v>
      </c>
      <c r="O231" t="s">
        <v>25</v>
      </c>
      <c r="P231">
        <v>3</v>
      </c>
      <c r="Q231">
        <v>9</v>
      </c>
      <c r="R231">
        <v>2004</v>
      </c>
      <c r="S231" t="s">
        <v>226</v>
      </c>
    </row>
    <row r="232" spans="1:19" x14ac:dyDescent="0.25">
      <c r="A232">
        <v>10333</v>
      </c>
      <c r="B232" t="s">
        <v>301</v>
      </c>
      <c r="C232" t="s">
        <v>45</v>
      </c>
      <c r="D232" t="s">
        <v>37</v>
      </c>
      <c r="E232" t="s">
        <v>22</v>
      </c>
      <c r="F232" t="s">
        <v>23</v>
      </c>
      <c r="G232" t="s">
        <v>33</v>
      </c>
      <c r="H232">
        <v>1</v>
      </c>
      <c r="I232">
        <v>39</v>
      </c>
      <c r="J232">
        <v>100</v>
      </c>
      <c r="K232">
        <v>97</v>
      </c>
      <c r="L232">
        <v>4424.16</v>
      </c>
      <c r="M232">
        <v>641.16</v>
      </c>
      <c r="N232" s="1">
        <v>38309</v>
      </c>
      <c r="O232" t="s">
        <v>25</v>
      </c>
      <c r="P232">
        <v>4</v>
      </c>
      <c r="Q232">
        <v>11</v>
      </c>
      <c r="R232">
        <v>2004</v>
      </c>
      <c r="S232" t="s">
        <v>226</v>
      </c>
    </row>
    <row r="233" spans="1:19" x14ac:dyDescent="0.25">
      <c r="A233">
        <v>10317</v>
      </c>
      <c r="B233" t="s">
        <v>302</v>
      </c>
      <c r="C233" t="s">
        <v>38</v>
      </c>
      <c r="D233" t="s">
        <v>39</v>
      </c>
      <c r="E233" t="s">
        <v>22</v>
      </c>
      <c r="F233" t="s">
        <v>23</v>
      </c>
      <c r="G233" t="s">
        <v>24</v>
      </c>
      <c r="H233">
        <v>1</v>
      </c>
      <c r="I233">
        <v>35</v>
      </c>
      <c r="J233">
        <v>83.32</v>
      </c>
      <c r="K233">
        <v>72</v>
      </c>
      <c r="L233">
        <v>2916.2</v>
      </c>
      <c r="M233">
        <v>396.2</v>
      </c>
      <c r="N233" s="1">
        <v>38293</v>
      </c>
      <c r="O233" t="s">
        <v>25</v>
      </c>
      <c r="P233">
        <v>4</v>
      </c>
      <c r="Q233">
        <v>11</v>
      </c>
      <c r="R233">
        <v>2004</v>
      </c>
      <c r="S233" t="s">
        <v>234</v>
      </c>
    </row>
    <row r="234" spans="1:19" x14ac:dyDescent="0.25">
      <c r="A234">
        <v>10340</v>
      </c>
      <c r="B234" t="s">
        <v>302</v>
      </c>
      <c r="C234" t="s">
        <v>145</v>
      </c>
      <c r="D234" t="s">
        <v>146</v>
      </c>
      <c r="E234" t="s">
        <v>80</v>
      </c>
      <c r="F234" t="s">
        <v>30</v>
      </c>
      <c r="G234" t="s">
        <v>33</v>
      </c>
      <c r="H234">
        <v>1</v>
      </c>
      <c r="I234">
        <v>40</v>
      </c>
      <c r="J234">
        <v>84.77</v>
      </c>
      <c r="K234">
        <v>72</v>
      </c>
      <c r="L234">
        <v>3390.8</v>
      </c>
      <c r="M234">
        <v>510.8</v>
      </c>
      <c r="N234" s="1">
        <v>38315</v>
      </c>
      <c r="O234" t="s">
        <v>25</v>
      </c>
      <c r="P234">
        <v>4</v>
      </c>
      <c r="Q234">
        <v>11</v>
      </c>
      <c r="R234">
        <v>2004</v>
      </c>
      <c r="S234" t="s">
        <v>234</v>
      </c>
    </row>
    <row r="235" spans="1:19" x14ac:dyDescent="0.25">
      <c r="A235">
        <v>10361</v>
      </c>
      <c r="B235" t="s">
        <v>302</v>
      </c>
      <c r="C235" t="s">
        <v>71</v>
      </c>
      <c r="D235" t="s">
        <v>72</v>
      </c>
      <c r="E235" t="s">
        <v>49</v>
      </c>
      <c r="F235" t="s">
        <v>50</v>
      </c>
      <c r="G235" t="s">
        <v>24</v>
      </c>
      <c r="H235">
        <v>1</v>
      </c>
      <c r="I235">
        <v>25</v>
      </c>
      <c r="J235">
        <v>62.46</v>
      </c>
      <c r="K235">
        <v>72</v>
      </c>
      <c r="L235">
        <v>1561.5</v>
      </c>
      <c r="M235">
        <v>-238.5</v>
      </c>
      <c r="N235" s="1">
        <v>38338</v>
      </c>
      <c r="O235" t="s">
        <v>25</v>
      </c>
      <c r="P235">
        <v>4</v>
      </c>
      <c r="Q235">
        <v>12</v>
      </c>
      <c r="R235">
        <v>2004</v>
      </c>
      <c r="S235" t="s">
        <v>234</v>
      </c>
    </row>
    <row r="236" spans="1:19" x14ac:dyDescent="0.25">
      <c r="A236">
        <v>10180</v>
      </c>
      <c r="B236" t="s">
        <v>303</v>
      </c>
      <c r="C236" t="s">
        <v>40</v>
      </c>
      <c r="D236" t="s">
        <v>41</v>
      </c>
      <c r="E236" t="s">
        <v>29</v>
      </c>
      <c r="F236" t="s">
        <v>30</v>
      </c>
      <c r="G236" t="s">
        <v>24</v>
      </c>
      <c r="H236">
        <v>1</v>
      </c>
      <c r="I236">
        <v>28</v>
      </c>
      <c r="J236">
        <v>71.14</v>
      </c>
      <c r="K236">
        <v>80</v>
      </c>
      <c r="L236">
        <v>1991.92</v>
      </c>
      <c r="M236">
        <v>-248.08</v>
      </c>
      <c r="N236" s="1">
        <v>37936</v>
      </c>
      <c r="O236" t="s">
        <v>25</v>
      </c>
      <c r="P236">
        <v>4</v>
      </c>
      <c r="Q236">
        <v>11</v>
      </c>
      <c r="R236">
        <v>2003</v>
      </c>
      <c r="S236" t="s">
        <v>83</v>
      </c>
    </row>
    <row r="237" spans="1:19" x14ac:dyDescent="0.25">
      <c r="A237">
        <v>10264</v>
      </c>
      <c r="B237" t="s">
        <v>303</v>
      </c>
      <c r="C237" t="s">
        <v>156</v>
      </c>
      <c r="D237" t="s">
        <v>157</v>
      </c>
      <c r="E237" t="s">
        <v>22</v>
      </c>
      <c r="F237" t="s">
        <v>23</v>
      </c>
      <c r="G237" t="s">
        <v>33</v>
      </c>
      <c r="H237">
        <v>1</v>
      </c>
      <c r="I237">
        <v>47</v>
      </c>
      <c r="J237">
        <v>83.27</v>
      </c>
      <c r="K237">
        <v>80</v>
      </c>
      <c r="L237">
        <v>3913.69</v>
      </c>
      <c r="M237">
        <v>153.69</v>
      </c>
      <c r="N237" s="1">
        <v>38168</v>
      </c>
      <c r="O237" t="s">
        <v>25</v>
      </c>
      <c r="P237">
        <v>2</v>
      </c>
      <c r="Q237">
        <v>6</v>
      </c>
      <c r="R237">
        <v>2004</v>
      </c>
      <c r="S237" t="s">
        <v>83</v>
      </c>
    </row>
    <row r="238" spans="1:19" x14ac:dyDescent="0.25">
      <c r="A238">
        <v>10299</v>
      </c>
      <c r="B238" t="s">
        <v>303</v>
      </c>
      <c r="C238" t="s">
        <v>60</v>
      </c>
      <c r="D238" t="s">
        <v>61</v>
      </c>
      <c r="E238" t="s">
        <v>62</v>
      </c>
      <c r="F238" t="s">
        <v>30</v>
      </c>
      <c r="G238" t="s">
        <v>24</v>
      </c>
      <c r="H238">
        <v>1</v>
      </c>
      <c r="I238">
        <v>32</v>
      </c>
      <c r="J238">
        <v>80.84</v>
      </c>
      <c r="K238">
        <v>80</v>
      </c>
      <c r="L238">
        <v>2586.88</v>
      </c>
      <c r="M238">
        <v>26.88</v>
      </c>
      <c r="N238" s="1">
        <v>38260</v>
      </c>
      <c r="O238" t="s">
        <v>25</v>
      </c>
      <c r="P238">
        <v>3</v>
      </c>
      <c r="Q238">
        <v>9</v>
      </c>
      <c r="R238">
        <v>2004</v>
      </c>
      <c r="S238" t="s">
        <v>83</v>
      </c>
    </row>
    <row r="239" spans="1:19" x14ac:dyDescent="0.25">
      <c r="A239">
        <v>10343</v>
      </c>
      <c r="B239" t="s">
        <v>303</v>
      </c>
      <c r="C239" t="s">
        <v>27</v>
      </c>
      <c r="D239" t="s">
        <v>28</v>
      </c>
      <c r="E239" t="s">
        <v>29</v>
      </c>
      <c r="F239" t="s">
        <v>30</v>
      </c>
      <c r="G239" t="s">
        <v>33</v>
      </c>
      <c r="H239">
        <v>1</v>
      </c>
      <c r="I239">
        <v>30</v>
      </c>
      <c r="J239">
        <v>100</v>
      </c>
      <c r="K239">
        <v>80</v>
      </c>
      <c r="L239">
        <v>3098.7</v>
      </c>
      <c r="M239">
        <v>698.7</v>
      </c>
      <c r="N239" s="1">
        <v>38315</v>
      </c>
      <c r="O239" t="s">
        <v>25</v>
      </c>
      <c r="P239">
        <v>4</v>
      </c>
      <c r="Q239">
        <v>11</v>
      </c>
      <c r="R239">
        <v>2004</v>
      </c>
      <c r="S239" t="s">
        <v>83</v>
      </c>
    </row>
    <row r="240" spans="1:19" x14ac:dyDescent="0.25">
      <c r="A240">
        <v>10164</v>
      </c>
      <c r="B240" t="s">
        <v>304</v>
      </c>
      <c r="C240" t="s">
        <v>167</v>
      </c>
      <c r="D240" t="s">
        <v>168</v>
      </c>
      <c r="E240" t="s">
        <v>69</v>
      </c>
      <c r="F240" t="s">
        <v>30</v>
      </c>
      <c r="G240" t="s">
        <v>24</v>
      </c>
      <c r="H240">
        <v>1</v>
      </c>
      <c r="I240">
        <v>24</v>
      </c>
      <c r="J240">
        <v>100</v>
      </c>
      <c r="K240">
        <v>96</v>
      </c>
      <c r="L240">
        <v>2634.96</v>
      </c>
      <c r="M240">
        <v>330.96</v>
      </c>
      <c r="N240" s="1">
        <v>37915</v>
      </c>
      <c r="O240" t="s">
        <v>169</v>
      </c>
      <c r="P240">
        <v>4</v>
      </c>
      <c r="Q240">
        <v>10</v>
      </c>
      <c r="R240">
        <v>2003</v>
      </c>
      <c r="S240" t="s">
        <v>202</v>
      </c>
    </row>
    <row r="241" spans="1:19" x14ac:dyDescent="0.25">
      <c r="A241">
        <v>10245</v>
      </c>
      <c r="B241" t="s">
        <v>304</v>
      </c>
      <c r="C241" t="s">
        <v>103</v>
      </c>
      <c r="D241" t="s">
        <v>104</v>
      </c>
      <c r="E241" t="s">
        <v>22</v>
      </c>
      <c r="F241" t="s">
        <v>23</v>
      </c>
      <c r="G241" t="s">
        <v>33</v>
      </c>
      <c r="H241">
        <v>1</v>
      </c>
      <c r="I241">
        <v>37</v>
      </c>
      <c r="J241">
        <v>100</v>
      </c>
      <c r="K241">
        <v>96</v>
      </c>
      <c r="L241">
        <v>4133.6400000000003</v>
      </c>
      <c r="M241">
        <v>581.64</v>
      </c>
      <c r="N241" s="1">
        <v>38111</v>
      </c>
      <c r="O241" t="s">
        <v>25</v>
      </c>
      <c r="P241">
        <v>2</v>
      </c>
      <c r="Q241">
        <v>5</v>
      </c>
      <c r="R241">
        <v>2004</v>
      </c>
      <c r="S241" t="s">
        <v>202</v>
      </c>
    </row>
    <row r="242" spans="1:19" x14ac:dyDescent="0.25">
      <c r="A242">
        <v>10270</v>
      </c>
      <c r="B242" t="s">
        <v>304</v>
      </c>
      <c r="C242" t="s">
        <v>71</v>
      </c>
      <c r="D242" t="s">
        <v>72</v>
      </c>
      <c r="E242" t="s">
        <v>49</v>
      </c>
      <c r="F242" t="s">
        <v>50</v>
      </c>
      <c r="G242" t="s">
        <v>24</v>
      </c>
      <c r="H242">
        <v>1</v>
      </c>
      <c r="I242">
        <v>32</v>
      </c>
      <c r="J242">
        <v>85.72</v>
      </c>
      <c r="K242">
        <v>96</v>
      </c>
      <c r="L242">
        <v>2743.04</v>
      </c>
      <c r="M242">
        <v>-328.96</v>
      </c>
      <c r="N242" s="1">
        <v>38187</v>
      </c>
      <c r="O242" t="s">
        <v>25</v>
      </c>
      <c r="P242">
        <v>3</v>
      </c>
      <c r="Q242">
        <v>7</v>
      </c>
      <c r="R242">
        <v>2004</v>
      </c>
      <c r="S242" t="s">
        <v>202</v>
      </c>
    </row>
    <row r="243" spans="1:19" x14ac:dyDescent="0.25">
      <c r="A243">
        <v>10335</v>
      </c>
      <c r="B243" t="s">
        <v>304</v>
      </c>
      <c r="C243" t="s">
        <v>115</v>
      </c>
      <c r="D243" t="s">
        <v>116</v>
      </c>
      <c r="E243" t="s">
        <v>22</v>
      </c>
      <c r="F243" t="s">
        <v>23</v>
      </c>
      <c r="G243" t="s">
        <v>33</v>
      </c>
      <c r="H243">
        <v>1</v>
      </c>
      <c r="I243">
        <v>44</v>
      </c>
      <c r="J243">
        <v>100</v>
      </c>
      <c r="K243">
        <v>96</v>
      </c>
      <c r="L243">
        <v>4746.28</v>
      </c>
      <c r="M243">
        <v>522.28</v>
      </c>
      <c r="N243" s="1">
        <v>38310</v>
      </c>
      <c r="O243" t="s">
        <v>25</v>
      </c>
      <c r="P243">
        <v>4</v>
      </c>
      <c r="Q243">
        <v>11</v>
      </c>
      <c r="R243">
        <v>2004</v>
      </c>
      <c r="S243" t="s">
        <v>202</v>
      </c>
    </row>
    <row r="244" spans="1:19" x14ac:dyDescent="0.25">
      <c r="A244">
        <v>10358</v>
      </c>
      <c r="B244" t="s">
        <v>304</v>
      </c>
      <c r="C244" t="s">
        <v>78</v>
      </c>
      <c r="D244" t="s">
        <v>79</v>
      </c>
      <c r="E244" t="s">
        <v>80</v>
      </c>
      <c r="F244" t="s">
        <v>30</v>
      </c>
      <c r="G244" t="s">
        <v>33</v>
      </c>
      <c r="H244">
        <v>1</v>
      </c>
      <c r="I244">
        <v>41</v>
      </c>
      <c r="J244">
        <v>100</v>
      </c>
      <c r="K244">
        <v>96</v>
      </c>
      <c r="L244">
        <v>4428</v>
      </c>
      <c r="M244">
        <v>492</v>
      </c>
      <c r="N244" s="1">
        <v>38331</v>
      </c>
      <c r="O244" t="s">
        <v>25</v>
      </c>
      <c r="P244">
        <v>4</v>
      </c>
      <c r="Q244">
        <v>12</v>
      </c>
      <c r="R244">
        <v>2004</v>
      </c>
      <c r="S244" t="s">
        <v>202</v>
      </c>
    </row>
    <row r="245" spans="1:19" x14ac:dyDescent="0.25">
      <c r="A245">
        <v>10371</v>
      </c>
      <c r="B245" t="s">
        <v>304</v>
      </c>
      <c r="C245" t="s">
        <v>115</v>
      </c>
      <c r="D245" t="s">
        <v>116</v>
      </c>
      <c r="E245" t="s">
        <v>22</v>
      </c>
      <c r="F245" t="s">
        <v>23</v>
      </c>
      <c r="G245" t="s">
        <v>33</v>
      </c>
      <c r="H245">
        <v>1</v>
      </c>
      <c r="I245">
        <v>26</v>
      </c>
      <c r="J245">
        <v>100</v>
      </c>
      <c r="K245">
        <v>96</v>
      </c>
      <c r="L245">
        <v>4044.04</v>
      </c>
      <c r="M245">
        <v>1548.04</v>
      </c>
      <c r="N245" s="1">
        <v>38375</v>
      </c>
      <c r="O245" t="s">
        <v>25</v>
      </c>
      <c r="P245">
        <v>1</v>
      </c>
      <c r="Q245">
        <v>1</v>
      </c>
      <c r="R245">
        <v>2005</v>
      </c>
      <c r="S245" t="s">
        <v>202</v>
      </c>
    </row>
    <row r="246" spans="1:19" x14ac:dyDescent="0.25">
      <c r="A246">
        <v>10411</v>
      </c>
      <c r="B246" t="s">
        <v>304</v>
      </c>
      <c r="C246" t="s">
        <v>123</v>
      </c>
      <c r="D246" t="s">
        <v>124</v>
      </c>
      <c r="E246" t="s">
        <v>99</v>
      </c>
      <c r="F246" t="s">
        <v>23</v>
      </c>
      <c r="G246" t="s">
        <v>24</v>
      </c>
      <c r="H246">
        <v>1</v>
      </c>
      <c r="I246">
        <v>26</v>
      </c>
      <c r="J246">
        <v>100</v>
      </c>
      <c r="K246">
        <v>96</v>
      </c>
      <c r="L246">
        <v>2904.72</v>
      </c>
      <c r="M246">
        <v>408.72</v>
      </c>
      <c r="N246" s="1">
        <v>38473</v>
      </c>
      <c r="O246" t="s">
        <v>25</v>
      </c>
      <c r="P246">
        <v>2</v>
      </c>
      <c r="Q246">
        <v>5</v>
      </c>
      <c r="R246">
        <v>2005</v>
      </c>
      <c r="S246" t="s">
        <v>202</v>
      </c>
    </row>
    <row r="247" spans="1:19" x14ac:dyDescent="0.25">
      <c r="A247">
        <v>10133</v>
      </c>
      <c r="B247" t="s">
        <v>305</v>
      </c>
      <c r="C247" t="s">
        <v>78</v>
      </c>
      <c r="D247" t="s">
        <v>79</v>
      </c>
      <c r="E247" t="s">
        <v>80</v>
      </c>
      <c r="F247" t="s">
        <v>30</v>
      </c>
      <c r="G247" t="s">
        <v>24</v>
      </c>
      <c r="H247">
        <v>1</v>
      </c>
      <c r="I247">
        <v>23</v>
      </c>
      <c r="J247">
        <v>100</v>
      </c>
      <c r="K247">
        <v>99</v>
      </c>
      <c r="L247">
        <v>2642.01</v>
      </c>
      <c r="M247">
        <v>365.01</v>
      </c>
      <c r="N247" s="1">
        <v>37799</v>
      </c>
      <c r="O247" t="s">
        <v>25</v>
      </c>
      <c r="P247">
        <v>2</v>
      </c>
      <c r="Q247">
        <v>6</v>
      </c>
      <c r="R247">
        <v>2003</v>
      </c>
      <c r="S247" t="s">
        <v>26</v>
      </c>
    </row>
    <row r="248" spans="1:19" x14ac:dyDescent="0.25">
      <c r="A248">
        <v>10235</v>
      </c>
      <c r="B248" t="s">
        <v>305</v>
      </c>
      <c r="C248" t="s">
        <v>154</v>
      </c>
      <c r="D248" t="s">
        <v>155</v>
      </c>
      <c r="E248" t="s">
        <v>99</v>
      </c>
      <c r="F248" t="s">
        <v>23</v>
      </c>
      <c r="G248" t="s">
        <v>33</v>
      </c>
      <c r="H248">
        <v>1</v>
      </c>
      <c r="I248">
        <v>41</v>
      </c>
      <c r="J248">
        <v>100</v>
      </c>
      <c r="K248">
        <v>99</v>
      </c>
      <c r="L248">
        <v>4177.49</v>
      </c>
      <c r="M248">
        <v>118.49</v>
      </c>
      <c r="N248" s="1">
        <v>38079</v>
      </c>
      <c r="O248" t="s">
        <v>25</v>
      </c>
      <c r="P248">
        <v>2</v>
      </c>
      <c r="Q248">
        <v>4</v>
      </c>
      <c r="R248">
        <v>2004</v>
      </c>
      <c r="S248" t="s">
        <v>26</v>
      </c>
    </row>
    <row r="249" spans="1:19" x14ac:dyDescent="0.25">
      <c r="A249">
        <v>10387</v>
      </c>
      <c r="B249" t="s">
        <v>305</v>
      </c>
      <c r="C249" t="s">
        <v>88</v>
      </c>
      <c r="D249" t="s">
        <v>89</v>
      </c>
      <c r="E249" t="s">
        <v>89</v>
      </c>
      <c r="F249" t="s">
        <v>50</v>
      </c>
      <c r="G249" t="s">
        <v>33</v>
      </c>
      <c r="H249">
        <v>1</v>
      </c>
      <c r="I249">
        <v>44</v>
      </c>
      <c r="J249">
        <v>94.9</v>
      </c>
      <c r="K249">
        <v>99</v>
      </c>
      <c r="L249">
        <v>4175.6000000000004</v>
      </c>
      <c r="M249">
        <v>-180.4</v>
      </c>
      <c r="N249" s="1">
        <v>38413</v>
      </c>
      <c r="O249" t="s">
        <v>25</v>
      </c>
      <c r="P249">
        <v>1</v>
      </c>
      <c r="Q249">
        <v>3</v>
      </c>
      <c r="R249">
        <v>2005</v>
      </c>
      <c r="S249" t="s">
        <v>26</v>
      </c>
    </row>
    <row r="250" spans="1:19" x14ac:dyDescent="0.25">
      <c r="A250">
        <v>10401</v>
      </c>
      <c r="B250" t="s">
        <v>305</v>
      </c>
      <c r="C250" t="s">
        <v>52</v>
      </c>
      <c r="D250" t="s">
        <v>53</v>
      </c>
      <c r="E250" t="s">
        <v>22</v>
      </c>
      <c r="F250" t="s">
        <v>23</v>
      </c>
      <c r="G250" t="s">
        <v>33</v>
      </c>
      <c r="H250">
        <v>1</v>
      </c>
      <c r="I250">
        <v>49</v>
      </c>
      <c r="J250">
        <v>100</v>
      </c>
      <c r="K250">
        <v>99</v>
      </c>
      <c r="L250">
        <v>4992.6099999999997</v>
      </c>
      <c r="M250">
        <v>141.61000000000001</v>
      </c>
      <c r="N250" s="1">
        <v>38445</v>
      </c>
      <c r="O250" t="s">
        <v>164</v>
      </c>
      <c r="P250">
        <v>2</v>
      </c>
      <c r="Q250">
        <v>4</v>
      </c>
      <c r="R250">
        <v>2005</v>
      </c>
      <c r="S250" t="s">
        <v>26</v>
      </c>
    </row>
    <row r="251" spans="1:19" x14ac:dyDescent="0.25">
      <c r="A251">
        <v>10145</v>
      </c>
      <c r="B251" t="s">
        <v>306</v>
      </c>
      <c r="C251" t="s">
        <v>34</v>
      </c>
      <c r="D251" t="s">
        <v>35</v>
      </c>
      <c r="E251" t="s">
        <v>22</v>
      </c>
      <c r="F251" t="s">
        <v>23</v>
      </c>
      <c r="G251" t="s">
        <v>24</v>
      </c>
      <c r="H251">
        <v>1</v>
      </c>
      <c r="I251">
        <v>31</v>
      </c>
      <c r="J251">
        <v>35.799999999999997</v>
      </c>
      <c r="K251">
        <v>40</v>
      </c>
      <c r="L251">
        <v>1109.8</v>
      </c>
      <c r="M251">
        <v>-130.19999999999999</v>
      </c>
      <c r="N251" s="1">
        <v>37858</v>
      </c>
      <c r="O251" t="s">
        <v>25</v>
      </c>
      <c r="P251">
        <v>3</v>
      </c>
      <c r="Q251">
        <v>8</v>
      </c>
      <c r="R251">
        <v>2003</v>
      </c>
      <c r="S251" t="s">
        <v>26</v>
      </c>
    </row>
    <row r="252" spans="1:19" x14ac:dyDescent="0.25">
      <c r="A252">
        <v>10190</v>
      </c>
      <c r="B252" t="s">
        <v>306</v>
      </c>
      <c r="C252" t="s">
        <v>78</v>
      </c>
      <c r="D252" t="s">
        <v>79</v>
      </c>
      <c r="E252" t="s">
        <v>80</v>
      </c>
      <c r="F252" t="s">
        <v>30</v>
      </c>
      <c r="G252" t="s">
        <v>24</v>
      </c>
      <c r="H252">
        <v>1</v>
      </c>
      <c r="I252">
        <v>46</v>
      </c>
      <c r="J252">
        <v>32.99</v>
      </c>
      <c r="K252">
        <v>40</v>
      </c>
      <c r="L252">
        <v>1517.54</v>
      </c>
      <c r="M252">
        <v>-322.45999999999998</v>
      </c>
      <c r="N252" s="1">
        <v>37944</v>
      </c>
      <c r="O252" t="s">
        <v>25</v>
      </c>
      <c r="P252">
        <v>4</v>
      </c>
      <c r="Q252">
        <v>11</v>
      </c>
      <c r="R252">
        <v>2003</v>
      </c>
      <c r="S252" t="s">
        <v>26</v>
      </c>
    </row>
    <row r="253" spans="1:19" x14ac:dyDescent="0.25">
      <c r="A253">
        <v>10285</v>
      </c>
      <c r="B253" t="s">
        <v>306</v>
      </c>
      <c r="C253" t="s">
        <v>58</v>
      </c>
      <c r="D253" t="s">
        <v>59</v>
      </c>
      <c r="E253" t="s">
        <v>22</v>
      </c>
      <c r="F253" t="s">
        <v>23</v>
      </c>
      <c r="G253" t="s">
        <v>24</v>
      </c>
      <c r="H253">
        <v>1</v>
      </c>
      <c r="I253">
        <v>37</v>
      </c>
      <c r="J253">
        <v>41.03</v>
      </c>
      <c r="K253">
        <v>40</v>
      </c>
      <c r="L253">
        <v>1518.11</v>
      </c>
      <c r="M253">
        <v>38.11</v>
      </c>
      <c r="N253" s="1">
        <v>38226</v>
      </c>
      <c r="O253" t="s">
        <v>25</v>
      </c>
      <c r="P253">
        <v>3</v>
      </c>
      <c r="Q253">
        <v>8</v>
      </c>
      <c r="R253">
        <v>2004</v>
      </c>
      <c r="S253" t="s">
        <v>26</v>
      </c>
    </row>
    <row r="254" spans="1:19" x14ac:dyDescent="0.25">
      <c r="A254">
        <v>10364</v>
      </c>
      <c r="B254" t="s">
        <v>306</v>
      </c>
      <c r="C254" t="s">
        <v>176</v>
      </c>
      <c r="D254" t="s">
        <v>177</v>
      </c>
      <c r="E254" t="s">
        <v>29</v>
      </c>
      <c r="F254" t="s">
        <v>30</v>
      </c>
      <c r="G254" t="s">
        <v>24</v>
      </c>
      <c r="H254">
        <v>1</v>
      </c>
      <c r="I254">
        <v>48</v>
      </c>
      <c r="J254">
        <v>48.28</v>
      </c>
      <c r="K254">
        <v>40</v>
      </c>
      <c r="L254">
        <v>2317.44</v>
      </c>
      <c r="M254">
        <v>397.44</v>
      </c>
      <c r="N254" s="1">
        <v>38358</v>
      </c>
      <c r="O254" t="s">
        <v>25</v>
      </c>
      <c r="P254">
        <v>1</v>
      </c>
      <c r="Q254">
        <v>1</v>
      </c>
      <c r="R254">
        <v>2005</v>
      </c>
      <c r="S254" t="s">
        <v>26</v>
      </c>
    </row>
    <row r="255" spans="1:19" x14ac:dyDescent="0.25">
      <c r="A255">
        <v>10378</v>
      </c>
      <c r="B255" t="s">
        <v>306</v>
      </c>
      <c r="C255" t="s">
        <v>78</v>
      </c>
      <c r="D255" t="s">
        <v>79</v>
      </c>
      <c r="E255" t="s">
        <v>80</v>
      </c>
      <c r="F255" t="s">
        <v>30</v>
      </c>
      <c r="G255" t="s">
        <v>33</v>
      </c>
      <c r="H255">
        <v>1</v>
      </c>
      <c r="I255">
        <v>40</v>
      </c>
      <c r="J255">
        <v>82.46</v>
      </c>
      <c r="K255">
        <v>40</v>
      </c>
      <c r="L255">
        <v>3298.4</v>
      </c>
      <c r="M255">
        <v>1698.4</v>
      </c>
      <c r="N255" s="1">
        <v>38393</v>
      </c>
      <c r="O255" t="s">
        <v>25</v>
      </c>
      <c r="P255">
        <v>1</v>
      </c>
      <c r="Q255">
        <v>2</v>
      </c>
      <c r="R255">
        <v>2005</v>
      </c>
      <c r="S255" t="s">
        <v>26</v>
      </c>
    </row>
    <row r="256" spans="1:19" x14ac:dyDescent="0.25">
      <c r="A256">
        <v>10313</v>
      </c>
      <c r="B256" t="s">
        <v>307</v>
      </c>
      <c r="C256" t="s">
        <v>97</v>
      </c>
      <c r="D256" t="s">
        <v>98</v>
      </c>
      <c r="E256" t="s">
        <v>99</v>
      </c>
      <c r="F256" t="s">
        <v>23</v>
      </c>
      <c r="G256" t="s">
        <v>24</v>
      </c>
      <c r="H256">
        <v>1</v>
      </c>
      <c r="I256">
        <v>38</v>
      </c>
      <c r="J256">
        <v>45.45</v>
      </c>
      <c r="K256">
        <v>54</v>
      </c>
      <c r="L256">
        <v>1727.1</v>
      </c>
      <c r="M256">
        <v>-324.89999999999998</v>
      </c>
      <c r="N256" s="1">
        <v>38282</v>
      </c>
      <c r="O256" t="s">
        <v>25</v>
      </c>
      <c r="P256">
        <v>4</v>
      </c>
      <c r="Q256">
        <v>10</v>
      </c>
      <c r="R256">
        <v>2004</v>
      </c>
      <c r="S256" t="s">
        <v>202</v>
      </c>
    </row>
    <row r="257" spans="1:19" x14ac:dyDescent="0.25">
      <c r="A257">
        <v>10349</v>
      </c>
      <c r="B257" t="s">
        <v>307</v>
      </c>
      <c r="C257" t="s">
        <v>192</v>
      </c>
      <c r="D257" t="s">
        <v>21</v>
      </c>
      <c r="E257" t="s">
        <v>22</v>
      </c>
      <c r="F257" t="s">
        <v>23</v>
      </c>
      <c r="G257" t="s">
        <v>24</v>
      </c>
      <c r="H257">
        <v>1</v>
      </c>
      <c r="I257">
        <v>33</v>
      </c>
      <c r="J257">
        <v>46.53</v>
      </c>
      <c r="K257">
        <v>54</v>
      </c>
      <c r="L257">
        <v>1535.49</v>
      </c>
      <c r="M257">
        <v>-246.51</v>
      </c>
      <c r="N257" s="1">
        <v>38322</v>
      </c>
      <c r="O257" t="s">
        <v>25</v>
      </c>
      <c r="P257">
        <v>4</v>
      </c>
      <c r="Q257">
        <v>12</v>
      </c>
      <c r="R257">
        <v>2004</v>
      </c>
      <c r="S257" t="s">
        <v>202</v>
      </c>
    </row>
    <row r="258" spans="1:19" x14ac:dyDescent="0.25">
      <c r="A258">
        <v>10116</v>
      </c>
      <c r="B258" t="s">
        <v>308</v>
      </c>
      <c r="C258" t="s">
        <v>238</v>
      </c>
      <c r="D258" t="s">
        <v>239</v>
      </c>
      <c r="E258" t="s">
        <v>153</v>
      </c>
      <c r="F258" t="s">
        <v>30</v>
      </c>
      <c r="G258" t="s">
        <v>24</v>
      </c>
      <c r="H258">
        <v>1</v>
      </c>
      <c r="I258">
        <v>27</v>
      </c>
      <c r="J258">
        <v>63.38</v>
      </c>
      <c r="K258">
        <v>62</v>
      </c>
      <c r="L258">
        <v>1711.26</v>
      </c>
      <c r="M258">
        <v>37.26</v>
      </c>
      <c r="N258" s="1">
        <v>37722</v>
      </c>
      <c r="O258" t="s">
        <v>25</v>
      </c>
      <c r="P258">
        <v>2</v>
      </c>
      <c r="Q258">
        <v>4</v>
      </c>
      <c r="R258">
        <v>2003</v>
      </c>
      <c r="S258" t="s">
        <v>261</v>
      </c>
    </row>
    <row r="259" spans="1:19" x14ac:dyDescent="0.25">
      <c r="A259">
        <v>10184</v>
      </c>
      <c r="B259" t="s">
        <v>308</v>
      </c>
      <c r="C259" t="s">
        <v>212</v>
      </c>
      <c r="D259" t="s">
        <v>213</v>
      </c>
      <c r="E259" t="s">
        <v>80</v>
      </c>
      <c r="F259" t="s">
        <v>30</v>
      </c>
      <c r="G259" t="s">
        <v>24</v>
      </c>
      <c r="H259">
        <v>1</v>
      </c>
      <c r="I259">
        <v>48</v>
      </c>
      <c r="J259">
        <v>50.95</v>
      </c>
      <c r="K259">
        <v>62</v>
      </c>
      <c r="L259">
        <v>2445.6</v>
      </c>
      <c r="M259">
        <v>-530.4</v>
      </c>
      <c r="N259" s="1">
        <v>37939</v>
      </c>
      <c r="O259" t="s">
        <v>25</v>
      </c>
      <c r="P259">
        <v>4</v>
      </c>
      <c r="Q259">
        <v>11</v>
      </c>
      <c r="R259">
        <v>2003</v>
      </c>
      <c r="S259" t="s">
        <v>261</v>
      </c>
    </row>
    <row r="260" spans="1:19" x14ac:dyDescent="0.25">
      <c r="A260">
        <v>10195</v>
      </c>
      <c r="B260" t="s">
        <v>308</v>
      </c>
      <c r="C260" t="s">
        <v>131</v>
      </c>
      <c r="D260" t="s">
        <v>132</v>
      </c>
      <c r="E260" t="s">
        <v>22</v>
      </c>
      <c r="F260" t="s">
        <v>23</v>
      </c>
      <c r="G260" t="s">
        <v>24</v>
      </c>
      <c r="H260">
        <v>1</v>
      </c>
      <c r="I260">
        <v>33</v>
      </c>
      <c r="J260">
        <v>54.68</v>
      </c>
      <c r="K260">
        <v>62</v>
      </c>
      <c r="L260">
        <v>1804.44</v>
      </c>
      <c r="M260">
        <v>-241.56</v>
      </c>
      <c r="N260" s="1">
        <v>37950</v>
      </c>
      <c r="O260" t="s">
        <v>25</v>
      </c>
      <c r="P260">
        <v>4</v>
      </c>
      <c r="Q260">
        <v>11</v>
      </c>
      <c r="R260">
        <v>2003</v>
      </c>
      <c r="S260" t="s">
        <v>261</v>
      </c>
    </row>
    <row r="261" spans="1:19" x14ac:dyDescent="0.25">
      <c r="A261">
        <v>10359</v>
      </c>
      <c r="B261" t="s">
        <v>308</v>
      </c>
      <c r="C261" t="s">
        <v>27</v>
      </c>
      <c r="D261" t="s">
        <v>28</v>
      </c>
      <c r="E261" t="s">
        <v>29</v>
      </c>
      <c r="F261" t="s">
        <v>30</v>
      </c>
      <c r="G261" t="s">
        <v>33</v>
      </c>
      <c r="H261">
        <v>1</v>
      </c>
      <c r="I261">
        <v>22</v>
      </c>
      <c r="J261">
        <v>100</v>
      </c>
      <c r="K261">
        <v>62</v>
      </c>
      <c r="L261">
        <v>4301.22</v>
      </c>
      <c r="M261">
        <v>2937.22</v>
      </c>
      <c r="N261" s="1">
        <v>38336</v>
      </c>
      <c r="O261" t="s">
        <v>25</v>
      </c>
      <c r="P261">
        <v>4</v>
      </c>
      <c r="Q261">
        <v>12</v>
      </c>
      <c r="R261">
        <v>2004</v>
      </c>
      <c r="S261" t="s">
        <v>261</v>
      </c>
    </row>
    <row r="262" spans="1:19" x14ac:dyDescent="0.25">
      <c r="A262">
        <v>10113</v>
      </c>
      <c r="B262" t="s">
        <v>309</v>
      </c>
      <c r="C262" t="s">
        <v>115</v>
      </c>
      <c r="D262" t="s">
        <v>116</v>
      </c>
      <c r="E262" t="s">
        <v>22</v>
      </c>
      <c r="F262" t="s">
        <v>23</v>
      </c>
      <c r="G262" t="s">
        <v>24</v>
      </c>
      <c r="H262">
        <v>1</v>
      </c>
      <c r="I262">
        <v>23</v>
      </c>
      <c r="J262">
        <v>68.52</v>
      </c>
      <c r="K262">
        <v>64</v>
      </c>
      <c r="L262">
        <v>1575.96</v>
      </c>
      <c r="M262">
        <v>103.96</v>
      </c>
      <c r="N262" s="1">
        <v>37706</v>
      </c>
      <c r="O262" t="s">
        <v>25</v>
      </c>
      <c r="P262">
        <v>1</v>
      </c>
      <c r="Q262">
        <v>3</v>
      </c>
      <c r="R262">
        <v>2003</v>
      </c>
      <c r="S262" t="s">
        <v>202</v>
      </c>
    </row>
    <row r="263" spans="1:19" x14ac:dyDescent="0.25">
      <c r="A263">
        <v>10144</v>
      </c>
      <c r="B263" t="s">
        <v>310</v>
      </c>
      <c r="C263" t="s">
        <v>238</v>
      </c>
      <c r="D263" t="s">
        <v>239</v>
      </c>
      <c r="E263" t="s">
        <v>153</v>
      </c>
      <c r="F263" t="s">
        <v>30</v>
      </c>
      <c r="G263" t="s">
        <v>24</v>
      </c>
      <c r="H263">
        <v>1</v>
      </c>
      <c r="I263">
        <v>20</v>
      </c>
      <c r="J263">
        <v>81.86</v>
      </c>
      <c r="K263">
        <v>68</v>
      </c>
      <c r="L263">
        <v>1637.2</v>
      </c>
      <c r="M263">
        <v>277.2</v>
      </c>
      <c r="N263" s="1">
        <v>37846</v>
      </c>
      <c r="O263" t="s">
        <v>25</v>
      </c>
      <c r="P263">
        <v>3</v>
      </c>
      <c r="Q263">
        <v>8</v>
      </c>
      <c r="R263">
        <v>2003</v>
      </c>
      <c r="S263" t="s">
        <v>226</v>
      </c>
    </row>
    <row r="264" spans="1:19" x14ac:dyDescent="0.25">
      <c r="A264">
        <v>10143</v>
      </c>
      <c r="B264" t="s">
        <v>312</v>
      </c>
      <c r="C264" t="s">
        <v>140</v>
      </c>
      <c r="D264" t="s">
        <v>74</v>
      </c>
      <c r="E264" t="s">
        <v>22</v>
      </c>
      <c r="F264" t="s">
        <v>23</v>
      </c>
      <c r="G264" t="s">
        <v>24</v>
      </c>
      <c r="H264">
        <v>1</v>
      </c>
      <c r="I264">
        <v>34</v>
      </c>
      <c r="J264">
        <v>36.659999999999997</v>
      </c>
      <c r="K264">
        <v>43</v>
      </c>
      <c r="L264">
        <v>1246.44</v>
      </c>
      <c r="M264">
        <v>-215.56</v>
      </c>
      <c r="N264" s="1">
        <v>37843</v>
      </c>
      <c r="O264" t="s">
        <v>25</v>
      </c>
      <c r="P264">
        <v>3</v>
      </c>
      <c r="Q264">
        <v>8</v>
      </c>
      <c r="R264">
        <v>2003</v>
      </c>
      <c r="S264" t="s">
        <v>226</v>
      </c>
    </row>
    <row r="265" spans="1:19" x14ac:dyDescent="0.25">
      <c r="A265">
        <v>10156</v>
      </c>
      <c r="B265" t="s">
        <v>312</v>
      </c>
      <c r="C265" t="s">
        <v>78</v>
      </c>
      <c r="D265" t="s">
        <v>79</v>
      </c>
      <c r="E265" t="s">
        <v>80</v>
      </c>
      <c r="F265" t="s">
        <v>30</v>
      </c>
      <c r="G265" t="s">
        <v>24</v>
      </c>
      <c r="H265">
        <v>1</v>
      </c>
      <c r="I265">
        <v>20</v>
      </c>
      <c r="J265">
        <v>41.02</v>
      </c>
      <c r="K265">
        <v>43</v>
      </c>
      <c r="L265">
        <v>820.4</v>
      </c>
      <c r="M265">
        <v>-39.6</v>
      </c>
      <c r="N265" s="1">
        <v>37902</v>
      </c>
      <c r="O265" t="s">
        <v>25</v>
      </c>
      <c r="P265">
        <v>4</v>
      </c>
      <c r="Q265">
        <v>10</v>
      </c>
      <c r="R265">
        <v>2003</v>
      </c>
      <c r="S265" t="s">
        <v>226</v>
      </c>
    </row>
    <row r="266" spans="1:19" x14ac:dyDescent="0.25">
      <c r="A266">
        <v>10199</v>
      </c>
      <c r="B266" t="s">
        <v>312</v>
      </c>
      <c r="C266" t="s">
        <v>100</v>
      </c>
      <c r="D266" t="s">
        <v>101</v>
      </c>
      <c r="E266" t="s">
        <v>22</v>
      </c>
      <c r="F266" t="s">
        <v>23</v>
      </c>
      <c r="G266" t="s">
        <v>24</v>
      </c>
      <c r="H266">
        <v>1</v>
      </c>
      <c r="I266">
        <v>29</v>
      </c>
      <c r="J266">
        <v>38.4</v>
      </c>
      <c r="K266">
        <v>43</v>
      </c>
      <c r="L266">
        <v>1113.5999999999999</v>
      </c>
      <c r="M266">
        <v>-133.4</v>
      </c>
      <c r="N266" s="1">
        <v>37956</v>
      </c>
      <c r="O266" t="s">
        <v>25</v>
      </c>
      <c r="P266">
        <v>4</v>
      </c>
      <c r="Q266">
        <v>12</v>
      </c>
      <c r="R266">
        <v>2003</v>
      </c>
      <c r="S266" t="s">
        <v>226</v>
      </c>
    </row>
    <row r="267" spans="1:19" x14ac:dyDescent="0.25">
      <c r="A267">
        <v>10296</v>
      </c>
      <c r="B267" t="s">
        <v>312</v>
      </c>
      <c r="C267" t="s">
        <v>236</v>
      </c>
      <c r="D267" t="s">
        <v>237</v>
      </c>
      <c r="E267" t="s">
        <v>180</v>
      </c>
      <c r="F267" t="s">
        <v>30</v>
      </c>
      <c r="G267" t="s">
        <v>24</v>
      </c>
      <c r="H267">
        <v>1</v>
      </c>
      <c r="I267">
        <v>26</v>
      </c>
      <c r="J267">
        <v>48.44</v>
      </c>
      <c r="K267">
        <v>43</v>
      </c>
      <c r="L267">
        <v>1259.44</v>
      </c>
      <c r="M267">
        <v>141.44</v>
      </c>
      <c r="N267" s="1">
        <v>38245</v>
      </c>
      <c r="O267" t="s">
        <v>25</v>
      </c>
      <c r="P267">
        <v>3</v>
      </c>
      <c r="Q267">
        <v>9</v>
      </c>
      <c r="R267">
        <v>2004</v>
      </c>
      <c r="S267" t="s">
        <v>226</v>
      </c>
    </row>
    <row r="268" spans="1:19" x14ac:dyDescent="0.25">
      <c r="A268">
        <v>10388</v>
      </c>
      <c r="B268" t="s">
        <v>312</v>
      </c>
      <c r="C268" t="s">
        <v>73</v>
      </c>
      <c r="D268" t="s">
        <v>74</v>
      </c>
      <c r="E268" t="s">
        <v>22</v>
      </c>
      <c r="F268" t="s">
        <v>23</v>
      </c>
      <c r="G268" t="s">
        <v>33</v>
      </c>
      <c r="H268">
        <v>1</v>
      </c>
      <c r="I268">
        <v>27</v>
      </c>
      <c r="J268">
        <v>100</v>
      </c>
      <c r="K268">
        <v>43</v>
      </c>
      <c r="L268">
        <v>3211.38</v>
      </c>
      <c r="M268">
        <v>2050.38</v>
      </c>
      <c r="N268" s="1">
        <v>38414</v>
      </c>
      <c r="O268" t="s">
        <v>25</v>
      </c>
      <c r="P268">
        <v>1</v>
      </c>
      <c r="Q268">
        <v>3</v>
      </c>
      <c r="R268">
        <v>2005</v>
      </c>
      <c r="S268" t="s">
        <v>226</v>
      </c>
    </row>
    <row r="269" spans="1:19" x14ac:dyDescent="0.25">
      <c r="A269">
        <v>10151</v>
      </c>
      <c r="B269" t="s">
        <v>313</v>
      </c>
      <c r="C269" t="s">
        <v>160</v>
      </c>
      <c r="D269" t="s">
        <v>161</v>
      </c>
      <c r="E269" t="s">
        <v>62</v>
      </c>
      <c r="F269" t="s">
        <v>30</v>
      </c>
      <c r="G269" t="s">
        <v>33</v>
      </c>
      <c r="H269">
        <v>1</v>
      </c>
      <c r="I269">
        <v>26</v>
      </c>
      <c r="J269">
        <v>100</v>
      </c>
      <c r="K269">
        <v>115</v>
      </c>
      <c r="L269">
        <v>3220.1</v>
      </c>
      <c r="M269">
        <v>230.1</v>
      </c>
      <c r="N269" s="1">
        <v>37885</v>
      </c>
      <c r="O269" t="s">
        <v>25</v>
      </c>
      <c r="P269">
        <v>3</v>
      </c>
      <c r="Q269">
        <v>9</v>
      </c>
      <c r="R269">
        <v>2003</v>
      </c>
      <c r="S269" t="s">
        <v>202</v>
      </c>
    </row>
    <row r="270" spans="1:19" x14ac:dyDescent="0.25">
      <c r="A270">
        <v>10292</v>
      </c>
      <c r="B270" t="s">
        <v>314</v>
      </c>
      <c r="C270" t="s">
        <v>20</v>
      </c>
      <c r="D270" t="s">
        <v>21</v>
      </c>
      <c r="E270" t="s">
        <v>22</v>
      </c>
      <c r="F270" t="s">
        <v>23</v>
      </c>
      <c r="G270" t="s">
        <v>24</v>
      </c>
      <c r="H270">
        <v>1</v>
      </c>
      <c r="I270">
        <v>35</v>
      </c>
      <c r="J270">
        <v>55.07</v>
      </c>
      <c r="K270">
        <v>58</v>
      </c>
      <c r="L270">
        <v>1927.45</v>
      </c>
      <c r="M270">
        <v>-102.55</v>
      </c>
      <c r="N270" s="1">
        <v>38238</v>
      </c>
      <c r="O270" t="s">
        <v>25</v>
      </c>
      <c r="P270">
        <v>3</v>
      </c>
      <c r="Q270">
        <v>9</v>
      </c>
      <c r="R270">
        <v>2004</v>
      </c>
      <c r="S270" t="s">
        <v>261</v>
      </c>
    </row>
    <row r="271" spans="1:19" x14ac:dyDescent="0.25">
      <c r="A271">
        <v>10121</v>
      </c>
      <c r="B271" t="s">
        <v>315</v>
      </c>
      <c r="C271" t="s">
        <v>27</v>
      </c>
      <c r="D271" t="s">
        <v>28</v>
      </c>
      <c r="E271" t="s">
        <v>29</v>
      </c>
      <c r="F271" t="s">
        <v>30</v>
      </c>
      <c r="G271" t="s">
        <v>33</v>
      </c>
      <c r="H271">
        <v>1</v>
      </c>
      <c r="I271">
        <v>44</v>
      </c>
      <c r="J271">
        <v>74.849999999999994</v>
      </c>
      <c r="K271">
        <v>81</v>
      </c>
      <c r="L271">
        <v>3293.4</v>
      </c>
      <c r="M271">
        <v>-270.60000000000002</v>
      </c>
      <c r="N271" s="1">
        <v>37748</v>
      </c>
      <c r="O271" t="s">
        <v>25</v>
      </c>
      <c r="P271">
        <v>2</v>
      </c>
      <c r="Q271">
        <v>5</v>
      </c>
      <c r="R271">
        <v>2003</v>
      </c>
      <c r="S271" t="s">
        <v>26</v>
      </c>
    </row>
    <row r="272" spans="1:19" x14ac:dyDescent="0.25">
      <c r="A272">
        <v>10309</v>
      </c>
      <c r="B272" t="s">
        <v>315</v>
      </c>
      <c r="C272" t="s">
        <v>63</v>
      </c>
      <c r="D272" t="s">
        <v>64</v>
      </c>
      <c r="E272" t="s">
        <v>44</v>
      </c>
      <c r="F272" t="s">
        <v>30</v>
      </c>
      <c r="G272" t="s">
        <v>24</v>
      </c>
      <c r="H272">
        <v>1</v>
      </c>
      <c r="I272">
        <v>28</v>
      </c>
      <c r="J272">
        <v>88.68</v>
      </c>
      <c r="K272">
        <v>81</v>
      </c>
      <c r="L272">
        <v>2483.04</v>
      </c>
      <c r="M272">
        <v>215.04</v>
      </c>
      <c r="N272" s="1">
        <v>38275</v>
      </c>
      <c r="O272" t="s">
        <v>25</v>
      </c>
      <c r="P272">
        <v>4</v>
      </c>
      <c r="Q272">
        <v>10</v>
      </c>
      <c r="R272">
        <v>2004</v>
      </c>
      <c r="S272" t="s">
        <v>26</v>
      </c>
    </row>
    <row r="273" spans="1:19" x14ac:dyDescent="0.25">
      <c r="A273">
        <v>10153</v>
      </c>
      <c r="B273" t="s">
        <v>316</v>
      </c>
      <c r="C273" t="s">
        <v>78</v>
      </c>
      <c r="D273" t="s">
        <v>79</v>
      </c>
      <c r="E273" t="s">
        <v>80</v>
      </c>
      <c r="F273" t="s">
        <v>30</v>
      </c>
      <c r="G273" t="s">
        <v>24</v>
      </c>
      <c r="H273">
        <v>1</v>
      </c>
      <c r="I273">
        <v>43</v>
      </c>
      <c r="J273">
        <v>64.67</v>
      </c>
      <c r="K273">
        <v>66</v>
      </c>
      <c r="L273">
        <v>2780.81</v>
      </c>
      <c r="M273">
        <v>-57.19</v>
      </c>
      <c r="N273" s="1">
        <v>37892</v>
      </c>
      <c r="O273" t="s">
        <v>25</v>
      </c>
      <c r="P273">
        <v>3</v>
      </c>
      <c r="Q273">
        <v>9</v>
      </c>
      <c r="R273">
        <v>2003</v>
      </c>
      <c r="S273" t="s">
        <v>255</v>
      </c>
    </row>
    <row r="274" spans="1:19" x14ac:dyDescent="0.25">
      <c r="A274">
        <v>10326</v>
      </c>
      <c r="B274" t="s">
        <v>316</v>
      </c>
      <c r="C274" t="s">
        <v>84</v>
      </c>
      <c r="D274" t="s">
        <v>85</v>
      </c>
      <c r="E274" t="s">
        <v>86</v>
      </c>
      <c r="F274" t="s">
        <v>30</v>
      </c>
      <c r="G274" t="s">
        <v>24</v>
      </c>
      <c r="H274">
        <v>1</v>
      </c>
      <c r="I274">
        <v>39</v>
      </c>
      <c r="J274">
        <v>60</v>
      </c>
      <c r="K274">
        <v>66</v>
      </c>
      <c r="L274">
        <v>2340</v>
      </c>
      <c r="M274">
        <v>-234</v>
      </c>
      <c r="N274" s="1">
        <v>38300</v>
      </c>
      <c r="O274" t="s">
        <v>25</v>
      </c>
      <c r="P274">
        <v>4</v>
      </c>
      <c r="Q274">
        <v>11</v>
      </c>
      <c r="R274">
        <v>2004</v>
      </c>
      <c r="S274" t="s">
        <v>255</v>
      </c>
    </row>
    <row r="275" spans="1:19" x14ac:dyDescent="0.25">
      <c r="A275">
        <v>10385</v>
      </c>
      <c r="B275" t="s">
        <v>316</v>
      </c>
      <c r="C275" t="s">
        <v>115</v>
      </c>
      <c r="D275" t="s">
        <v>116</v>
      </c>
      <c r="E275" t="s">
        <v>22</v>
      </c>
      <c r="F275" t="s">
        <v>23</v>
      </c>
      <c r="G275" t="s">
        <v>24</v>
      </c>
      <c r="H275">
        <v>1</v>
      </c>
      <c r="I275">
        <v>25</v>
      </c>
      <c r="J275">
        <v>77.34</v>
      </c>
      <c r="K275">
        <v>66</v>
      </c>
      <c r="L275">
        <v>1933.5</v>
      </c>
      <c r="M275">
        <v>283.5</v>
      </c>
      <c r="N275" s="1">
        <v>38411</v>
      </c>
      <c r="O275" t="s">
        <v>25</v>
      </c>
      <c r="P275">
        <v>1</v>
      </c>
      <c r="Q275">
        <v>2</v>
      </c>
      <c r="R275">
        <v>2005</v>
      </c>
      <c r="S275" t="s">
        <v>255</v>
      </c>
    </row>
    <row r="276" spans="1:19" x14ac:dyDescent="0.25">
      <c r="A276">
        <v>10396</v>
      </c>
      <c r="B276" t="s">
        <v>316</v>
      </c>
      <c r="C276" t="s">
        <v>115</v>
      </c>
      <c r="D276" t="s">
        <v>116</v>
      </c>
      <c r="E276" t="s">
        <v>22</v>
      </c>
      <c r="F276" t="s">
        <v>23</v>
      </c>
      <c r="G276" t="s">
        <v>24</v>
      </c>
      <c r="H276">
        <v>1</v>
      </c>
      <c r="I276">
        <v>39</v>
      </c>
      <c r="J276">
        <v>66.67</v>
      </c>
      <c r="K276">
        <v>66</v>
      </c>
      <c r="L276">
        <v>2600.13</v>
      </c>
      <c r="M276">
        <v>26.13</v>
      </c>
      <c r="N276" s="1">
        <v>38434</v>
      </c>
      <c r="O276" t="s">
        <v>25</v>
      </c>
      <c r="P276">
        <v>1</v>
      </c>
      <c r="Q276">
        <v>3</v>
      </c>
      <c r="R276">
        <v>2005</v>
      </c>
      <c r="S276" t="s">
        <v>255</v>
      </c>
    </row>
    <row r="277" spans="1:19" x14ac:dyDescent="0.25">
      <c r="A277">
        <v>10384</v>
      </c>
      <c r="B277" t="s">
        <v>318</v>
      </c>
      <c r="C277" t="s">
        <v>36</v>
      </c>
      <c r="D277" t="s">
        <v>37</v>
      </c>
      <c r="E277" t="s">
        <v>22</v>
      </c>
      <c r="F277" t="s">
        <v>23</v>
      </c>
      <c r="G277" t="s">
        <v>33</v>
      </c>
      <c r="H277">
        <v>1</v>
      </c>
      <c r="I277">
        <v>49</v>
      </c>
      <c r="J277">
        <v>100</v>
      </c>
      <c r="K277">
        <v>86</v>
      </c>
      <c r="L277">
        <v>6397.44</v>
      </c>
      <c r="M277">
        <v>2183.44</v>
      </c>
      <c r="N277" s="1">
        <v>38406</v>
      </c>
      <c r="O277" t="s">
        <v>25</v>
      </c>
      <c r="P277">
        <v>1</v>
      </c>
      <c r="Q277">
        <v>2</v>
      </c>
      <c r="R277">
        <v>2005</v>
      </c>
      <c r="S277" t="s">
        <v>255</v>
      </c>
    </row>
    <row r="278" spans="1:19" x14ac:dyDescent="0.25">
      <c r="A278">
        <v>10131</v>
      </c>
      <c r="B278" t="s">
        <v>320</v>
      </c>
      <c r="C278" t="s">
        <v>235</v>
      </c>
      <c r="D278" t="s">
        <v>208</v>
      </c>
      <c r="E278" t="s">
        <v>22</v>
      </c>
      <c r="F278" t="s">
        <v>23</v>
      </c>
      <c r="G278" t="s">
        <v>33</v>
      </c>
      <c r="H278">
        <v>1</v>
      </c>
      <c r="I278">
        <v>40</v>
      </c>
      <c r="J278">
        <v>100</v>
      </c>
      <c r="K278">
        <v>99</v>
      </c>
      <c r="L278">
        <v>4427.6000000000004</v>
      </c>
      <c r="M278">
        <v>467.6</v>
      </c>
      <c r="N278" s="1">
        <v>37788</v>
      </c>
      <c r="O278" t="s">
        <v>25</v>
      </c>
      <c r="P278">
        <v>2</v>
      </c>
      <c r="Q278">
        <v>6</v>
      </c>
      <c r="R278">
        <v>2003</v>
      </c>
      <c r="S278" t="s">
        <v>234</v>
      </c>
    </row>
    <row r="279" spans="1:19" x14ac:dyDescent="0.25">
      <c r="A279">
        <v>10178</v>
      </c>
      <c r="B279" t="s">
        <v>320</v>
      </c>
      <c r="C279" t="s">
        <v>142</v>
      </c>
      <c r="D279" t="s">
        <v>143</v>
      </c>
      <c r="E279" t="s">
        <v>29</v>
      </c>
      <c r="F279" t="s">
        <v>30</v>
      </c>
      <c r="G279" t="s">
        <v>24</v>
      </c>
      <c r="H279">
        <v>1</v>
      </c>
      <c r="I279">
        <v>22</v>
      </c>
      <c r="J279">
        <v>87.75</v>
      </c>
      <c r="K279">
        <v>99</v>
      </c>
      <c r="L279">
        <v>1930.5</v>
      </c>
      <c r="M279">
        <v>-247.5</v>
      </c>
      <c r="N279" s="1">
        <v>37933</v>
      </c>
      <c r="O279" t="s">
        <v>25</v>
      </c>
      <c r="P279">
        <v>4</v>
      </c>
      <c r="Q279">
        <v>11</v>
      </c>
      <c r="R279">
        <v>2003</v>
      </c>
      <c r="S279" t="s">
        <v>234</v>
      </c>
    </row>
    <row r="280" spans="1:19" x14ac:dyDescent="0.25">
      <c r="A280">
        <v>10198</v>
      </c>
      <c r="B280" t="s">
        <v>320</v>
      </c>
      <c r="C280" t="s">
        <v>173</v>
      </c>
      <c r="D280" t="s">
        <v>174</v>
      </c>
      <c r="E280" t="s">
        <v>175</v>
      </c>
      <c r="F280" t="s">
        <v>50</v>
      </c>
      <c r="G280" t="s">
        <v>33</v>
      </c>
      <c r="H280">
        <v>1</v>
      </c>
      <c r="I280">
        <v>42</v>
      </c>
      <c r="J280">
        <v>100</v>
      </c>
      <c r="K280">
        <v>99</v>
      </c>
      <c r="L280">
        <v>4774.5600000000004</v>
      </c>
      <c r="M280">
        <v>616.55999999999995</v>
      </c>
      <c r="N280" s="1">
        <v>37952</v>
      </c>
      <c r="O280" t="s">
        <v>25</v>
      </c>
      <c r="P280">
        <v>4</v>
      </c>
      <c r="Q280">
        <v>11</v>
      </c>
      <c r="R280">
        <v>2003</v>
      </c>
      <c r="S280" t="s">
        <v>234</v>
      </c>
    </row>
    <row r="281" spans="1:19" x14ac:dyDescent="0.25">
      <c r="A281">
        <v>10222</v>
      </c>
      <c r="B281" t="s">
        <v>320</v>
      </c>
      <c r="C281" t="s">
        <v>149</v>
      </c>
      <c r="D281" t="s">
        <v>150</v>
      </c>
      <c r="E281" t="s">
        <v>22</v>
      </c>
      <c r="F281" t="s">
        <v>23</v>
      </c>
      <c r="G281" t="s">
        <v>33</v>
      </c>
      <c r="H281">
        <v>1</v>
      </c>
      <c r="I281">
        <v>37</v>
      </c>
      <c r="J281">
        <v>87.75</v>
      </c>
      <c r="K281">
        <v>99</v>
      </c>
      <c r="L281">
        <v>3246.75</v>
      </c>
      <c r="M281">
        <v>-416.25</v>
      </c>
      <c r="N281" s="1">
        <v>38036</v>
      </c>
      <c r="O281" t="s">
        <v>25</v>
      </c>
      <c r="P281">
        <v>1</v>
      </c>
      <c r="Q281">
        <v>2</v>
      </c>
      <c r="R281">
        <v>2004</v>
      </c>
      <c r="S281" t="s">
        <v>234</v>
      </c>
    </row>
    <row r="282" spans="1:19" x14ac:dyDescent="0.25">
      <c r="A282">
        <v>10375</v>
      </c>
      <c r="B282" t="s">
        <v>320</v>
      </c>
      <c r="C282" t="s">
        <v>56</v>
      </c>
      <c r="D282" t="s">
        <v>57</v>
      </c>
      <c r="E282" t="s">
        <v>29</v>
      </c>
      <c r="F282" t="s">
        <v>30</v>
      </c>
      <c r="G282" t="s">
        <v>33</v>
      </c>
      <c r="H282">
        <v>1</v>
      </c>
      <c r="I282">
        <v>33</v>
      </c>
      <c r="J282">
        <v>100</v>
      </c>
      <c r="K282">
        <v>99</v>
      </c>
      <c r="L282">
        <v>3856.71</v>
      </c>
      <c r="M282">
        <v>589.71</v>
      </c>
      <c r="N282" s="1">
        <v>38386</v>
      </c>
      <c r="O282" t="s">
        <v>25</v>
      </c>
      <c r="P282">
        <v>1</v>
      </c>
      <c r="Q282">
        <v>2</v>
      </c>
      <c r="R282">
        <v>2005</v>
      </c>
      <c r="S282" t="s">
        <v>234</v>
      </c>
    </row>
    <row r="283" spans="1:19" x14ac:dyDescent="0.25">
      <c r="A283">
        <v>10154</v>
      </c>
      <c r="B283" t="s">
        <v>321</v>
      </c>
      <c r="C283" t="s">
        <v>207</v>
      </c>
      <c r="D283" t="s">
        <v>208</v>
      </c>
      <c r="E283" t="s">
        <v>22</v>
      </c>
      <c r="F283" t="s">
        <v>23</v>
      </c>
      <c r="G283" t="s">
        <v>24</v>
      </c>
      <c r="H283">
        <v>1</v>
      </c>
      <c r="I283">
        <v>36</v>
      </c>
      <c r="J283">
        <v>64.33</v>
      </c>
      <c r="K283">
        <v>72</v>
      </c>
      <c r="L283">
        <v>2315.88</v>
      </c>
      <c r="M283">
        <v>-276.12</v>
      </c>
      <c r="N283" s="1">
        <v>37896</v>
      </c>
      <c r="O283" t="s">
        <v>25</v>
      </c>
      <c r="P283">
        <v>4</v>
      </c>
      <c r="Q283">
        <v>10</v>
      </c>
      <c r="R283">
        <v>2003</v>
      </c>
      <c r="S283" t="s">
        <v>255</v>
      </c>
    </row>
    <row r="284" spans="1:19" x14ac:dyDescent="0.25">
      <c r="A284">
        <v>10177</v>
      </c>
      <c r="B284" t="s">
        <v>321</v>
      </c>
      <c r="C284" t="s">
        <v>196</v>
      </c>
      <c r="D284" t="s">
        <v>79</v>
      </c>
      <c r="E284" t="s">
        <v>80</v>
      </c>
      <c r="F284" t="s">
        <v>30</v>
      </c>
      <c r="G284" t="s">
        <v>24</v>
      </c>
      <c r="H284">
        <v>1</v>
      </c>
      <c r="I284">
        <v>32</v>
      </c>
      <c r="J284">
        <v>76.62</v>
      </c>
      <c r="K284">
        <v>72</v>
      </c>
      <c r="L284">
        <v>2451.84</v>
      </c>
      <c r="M284">
        <v>147.84</v>
      </c>
      <c r="N284" s="1">
        <v>37932</v>
      </c>
      <c r="O284" t="s">
        <v>25</v>
      </c>
      <c r="P284">
        <v>4</v>
      </c>
      <c r="Q284">
        <v>11</v>
      </c>
      <c r="R284">
        <v>2003</v>
      </c>
      <c r="S284" t="s">
        <v>255</v>
      </c>
    </row>
    <row r="285" spans="1:19" x14ac:dyDescent="0.25">
      <c r="A285">
        <v>10185</v>
      </c>
      <c r="B285" t="s">
        <v>321</v>
      </c>
      <c r="C285" t="s">
        <v>140</v>
      </c>
      <c r="D285" t="s">
        <v>74</v>
      </c>
      <c r="E285" t="s">
        <v>22</v>
      </c>
      <c r="F285" t="s">
        <v>23</v>
      </c>
      <c r="G285" t="s">
        <v>24</v>
      </c>
      <c r="H285">
        <v>1</v>
      </c>
      <c r="I285">
        <v>39</v>
      </c>
      <c r="J285">
        <v>57.82</v>
      </c>
      <c r="K285">
        <v>72</v>
      </c>
      <c r="L285">
        <v>2254.98</v>
      </c>
      <c r="M285">
        <v>-553.02</v>
      </c>
      <c r="N285" s="1">
        <v>37939</v>
      </c>
      <c r="O285" t="s">
        <v>25</v>
      </c>
      <c r="P285">
        <v>4</v>
      </c>
      <c r="Q285">
        <v>11</v>
      </c>
      <c r="R285">
        <v>2003</v>
      </c>
      <c r="S285" t="s">
        <v>255</v>
      </c>
    </row>
    <row r="286" spans="1:19" x14ac:dyDescent="0.25">
      <c r="A286">
        <v>10208</v>
      </c>
      <c r="B286" t="s">
        <v>321</v>
      </c>
      <c r="C286" t="s">
        <v>95</v>
      </c>
      <c r="D286" t="s">
        <v>96</v>
      </c>
      <c r="E286" t="s">
        <v>29</v>
      </c>
      <c r="F286" t="s">
        <v>30</v>
      </c>
      <c r="G286" t="s">
        <v>33</v>
      </c>
      <c r="H286">
        <v>1</v>
      </c>
      <c r="I286">
        <v>46</v>
      </c>
      <c r="J286">
        <v>74.45</v>
      </c>
      <c r="K286">
        <v>72</v>
      </c>
      <c r="L286">
        <v>3424.7</v>
      </c>
      <c r="M286">
        <v>112.7</v>
      </c>
      <c r="N286" s="1">
        <v>37988</v>
      </c>
      <c r="O286" t="s">
        <v>25</v>
      </c>
      <c r="P286">
        <v>1</v>
      </c>
      <c r="Q286">
        <v>1</v>
      </c>
      <c r="R286">
        <v>2004</v>
      </c>
      <c r="S286" t="s">
        <v>255</v>
      </c>
    </row>
    <row r="287" spans="1:19" x14ac:dyDescent="0.25">
      <c r="A287">
        <v>10233</v>
      </c>
      <c r="B287" t="s">
        <v>321</v>
      </c>
      <c r="C287" t="s">
        <v>52</v>
      </c>
      <c r="D287" t="s">
        <v>53</v>
      </c>
      <c r="E287" t="s">
        <v>22</v>
      </c>
      <c r="F287" t="s">
        <v>23</v>
      </c>
      <c r="G287" t="s">
        <v>24</v>
      </c>
      <c r="H287">
        <v>1</v>
      </c>
      <c r="I287">
        <v>29</v>
      </c>
      <c r="J287">
        <v>82.4</v>
      </c>
      <c r="K287">
        <v>72</v>
      </c>
      <c r="L287">
        <v>2389.6</v>
      </c>
      <c r="M287">
        <v>301.60000000000002</v>
      </c>
      <c r="N287" s="1">
        <v>38075</v>
      </c>
      <c r="O287" t="s">
        <v>25</v>
      </c>
      <c r="P287">
        <v>1</v>
      </c>
      <c r="Q287">
        <v>3</v>
      </c>
      <c r="R287">
        <v>2004</v>
      </c>
      <c r="S287" t="s">
        <v>255</v>
      </c>
    </row>
    <row r="288" spans="1:19" x14ac:dyDescent="0.25">
      <c r="A288">
        <v>10306</v>
      </c>
      <c r="B288" t="s">
        <v>321</v>
      </c>
      <c r="C288" t="s">
        <v>197</v>
      </c>
      <c r="D288" t="s">
        <v>198</v>
      </c>
      <c r="E288" t="s">
        <v>77</v>
      </c>
      <c r="F288" t="s">
        <v>30</v>
      </c>
      <c r="G288" t="s">
        <v>33</v>
      </c>
      <c r="H288">
        <v>1</v>
      </c>
      <c r="I288">
        <v>43</v>
      </c>
      <c r="J288">
        <v>75.17</v>
      </c>
      <c r="K288">
        <v>72</v>
      </c>
      <c r="L288">
        <v>3232.31</v>
      </c>
      <c r="M288">
        <v>136.31</v>
      </c>
      <c r="N288" s="1">
        <v>38274</v>
      </c>
      <c r="O288" t="s">
        <v>25</v>
      </c>
      <c r="P288">
        <v>4</v>
      </c>
      <c r="Q288">
        <v>10</v>
      </c>
      <c r="R288">
        <v>2004</v>
      </c>
      <c r="S288" t="s">
        <v>255</v>
      </c>
    </row>
    <row r="289" spans="1:19" x14ac:dyDescent="0.25">
      <c r="A289">
        <v>10327</v>
      </c>
      <c r="B289" t="s">
        <v>321</v>
      </c>
      <c r="C289" t="s">
        <v>135</v>
      </c>
      <c r="D289" t="s">
        <v>136</v>
      </c>
      <c r="E289" t="s">
        <v>137</v>
      </c>
      <c r="F289" t="s">
        <v>30</v>
      </c>
      <c r="G289" t="s">
        <v>24</v>
      </c>
      <c r="H289">
        <v>1</v>
      </c>
      <c r="I289">
        <v>21</v>
      </c>
      <c r="J289">
        <v>96.31</v>
      </c>
      <c r="K289">
        <v>72</v>
      </c>
      <c r="L289">
        <v>2022.51</v>
      </c>
      <c r="M289">
        <v>510.51</v>
      </c>
      <c r="N289" s="1">
        <v>38301</v>
      </c>
      <c r="O289" t="s">
        <v>169</v>
      </c>
      <c r="P289">
        <v>4</v>
      </c>
      <c r="Q289">
        <v>11</v>
      </c>
      <c r="R289">
        <v>2004</v>
      </c>
      <c r="S289" t="s">
        <v>255</v>
      </c>
    </row>
    <row r="290" spans="1:19" x14ac:dyDescent="0.25">
      <c r="A290">
        <v>10206</v>
      </c>
      <c r="B290" t="s">
        <v>322</v>
      </c>
      <c r="C290" t="s">
        <v>97</v>
      </c>
      <c r="D290" t="s">
        <v>98</v>
      </c>
      <c r="E290" t="s">
        <v>99</v>
      </c>
      <c r="F290" t="s">
        <v>23</v>
      </c>
      <c r="G290" t="s">
        <v>33</v>
      </c>
      <c r="H290">
        <v>1</v>
      </c>
      <c r="I290">
        <v>33</v>
      </c>
      <c r="J290">
        <v>100</v>
      </c>
      <c r="K290">
        <v>101</v>
      </c>
      <c r="L290">
        <v>3871.89</v>
      </c>
      <c r="M290">
        <v>538.89</v>
      </c>
      <c r="N290" s="1">
        <v>37960</v>
      </c>
      <c r="O290" t="s">
        <v>25</v>
      </c>
      <c r="P290">
        <v>4</v>
      </c>
      <c r="Q290">
        <v>12</v>
      </c>
      <c r="R290">
        <v>2003</v>
      </c>
      <c r="S290" t="s">
        <v>83</v>
      </c>
    </row>
    <row r="291" spans="1:19" x14ac:dyDescent="0.25">
      <c r="A291">
        <v>10258</v>
      </c>
      <c r="B291" t="s">
        <v>322</v>
      </c>
      <c r="C291" t="s">
        <v>105</v>
      </c>
      <c r="D291" t="s">
        <v>106</v>
      </c>
      <c r="E291" t="s">
        <v>107</v>
      </c>
      <c r="F291" t="s">
        <v>50</v>
      </c>
      <c r="G291" t="s">
        <v>33</v>
      </c>
      <c r="H291">
        <v>1</v>
      </c>
      <c r="I291">
        <v>45</v>
      </c>
      <c r="J291">
        <v>80.92</v>
      </c>
      <c r="K291">
        <v>101</v>
      </c>
      <c r="L291">
        <v>3641.4</v>
      </c>
      <c r="M291">
        <v>-903.6</v>
      </c>
      <c r="N291" s="1">
        <v>38153</v>
      </c>
      <c r="O291" t="s">
        <v>25</v>
      </c>
      <c r="P291">
        <v>2</v>
      </c>
      <c r="Q291">
        <v>6</v>
      </c>
      <c r="R291">
        <v>2004</v>
      </c>
      <c r="S291" t="s">
        <v>83</v>
      </c>
    </row>
    <row r="292" spans="1:19" x14ac:dyDescent="0.25">
      <c r="A292">
        <v>10304</v>
      </c>
      <c r="B292" t="s">
        <v>322</v>
      </c>
      <c r="C292" t="s">
        <v>113</v>
      </c>
      <c r="D292" t="s">
        <v>114</v>
      </c>
      <c r="E292" t="s">
        <v>29</v>
      </c>
      <c r="F292" t="s">
        <v>30</v>
      </c>
      <c r="G292" t="s">
        <v>33</v>
      </c>
      <c r="H292">
        <v>1</v>
      </c>
      <c r="I292">
        <v>40</v>
      </c>
      <c r="J292">
        <v>100</v>
      </c>
      <c r="K292">
        <v>101</v>
      </c>
      <c r="L292">
        <v>4208</v>
      </c>
      <c r="M292">
        <v>168</v>
      </c>
      <c r="N292" s="1">
        <v>38271</v>
      </c>
      <c r="O292" t="s">
        <v>25</v>
      </c>
      <c r="P292">
        <v>4</v>
      </c>
      <c r="Q292">
        <v>10</v>
      </c>
      <c r="R292">
        <v>2004</v>
      </c>
      <c r="S292" t="s">
        <v>83</v>
      </c>
    </row>
    <row r="293" spans="1:19" x14ac:dyDescent="0.25">
      <c r="A293">
        <v>10424</v>
      </c>
      <c r="B293" t="s">
        <v>322</v>
      </c>
      <c r="C293" t="s">
        <v>78</v>
      </c>
      <c r="D293" t="s">
        <v>79</v>
      </c>
      <c r="E293" t="s">
        <v>80</v>
      </c>
      <c r="F293" t="s">
        <v>30</v>
      </c>
      <c r="G293" t="s">
        <v>33</v>
      </c>
      <c r="H293">
        <v>1</v>
      </c>
      <c r="I293">
        <v>46</v>
      </c>
      <c r="J293">
        <v>80.92</v>
      </c>
      <c r="K293">
        <v>101</v>
      </c>
      <c r="L293">
        <v>3722.32</v>
      </c>
      <c r="M293">
        <v>-923.68</v>
      </c>
      <c r="N293" s="1">
        <v>38503</v>
      </c>
      <c r="O293" t="s">
        <v>125</v>
      </c>
      <c r="P293">
        <v>2</v>
      </c>
      <c r="Q293">
        <v>5</v>
      </c>
      <c r="R293">
        <v>2005</v>
      </c>
      <c r="S293" t="s">
        <v>83</v>
      </c>
    </row>
    <row r="294" spans="1:19" x14ac:dyDescent="0.25">
      <c r="A294">
        <v>10106</v>
      </c>
      <c r="B294" t="s">
        <v>323</v>
      </c>
      <c r="C294" t="s">
        <v>227</v>
      </c>
      <c r="D294" t="s">
        <v>228</v>
      </c>
      <c r="E294" t="s">
        <v>110</v>
      </c>
      <c r="F294" t="s">
        <v>30</v>
      </c>
      <c r="G294" t="s">
        <v>33</v>
      </c>
      <c r="H294">
        <v>1</v>
      </c>
      <c r="I294">
        <v>32</v>
      </c>
      <c r="J294">
        <v>100</v>
      </c>
      <c r="K294">
        <v>118</v>
      </c>
      <c r="L294">
        <v>3986.56</v>
      </c>
      <c r="M294">
        <v>210.56</v>
      </c>
      <c r="N294" s="1">
        <v>37669</v>
      </c>
      <c r="O294" t="s">
        <v>25</v>
      </c>
      <c r="P294">
        <v>1</v>
      </c>
      <c r="Q294">
        <v>2</v>
      </c>
      <c r="R294">
        <v>2003</v>
      </c>
      <c r="S294" t="s">
        <v>234</v>
      </c>
    </row>
    <row r="295" spans="1:19" x14ac:dyDescent="0.25">
      <c r="A295">
        <v>10155</v>
      </c>
      <c r="B295" t="s">
        <v>324</v>
      </c>
      <c r="C295" t="s">
        <v>60</v>
      </c>
      <c r="D295" t="s">
        <v>61</v>
      </c>
      <c r="E295" t="s">
        <v>62</v>
      </c>
      <c r="F295" t="s">
        <v>30</v>
      </c>
      <c r="G295" t="s">
        <v>33</v>
      </c>
      <c r="H295">
        <v>1</v>
      </c>
      <c r="I295">
        <v>43</v>
      </c>
      <c r="J295">
        <v>86.4</v>
      </c>
      <c r="K295">
        <v>80</v>
      </c>
      <c r="L295">
        <v>3715.2</v>
      </c>
      <c r="M295">
        <v>275.2</v>
      </c>
      <c r="N295" s="1">
        <v>37900</v>
      </c>
      <c r="O295" t="s">
        <v>25</v>
      </c>
      <c r="P295">
        <v>4</v>
      </c>
      <c r="Q295">
        <v>10</v>
      </c>
      <c r="R295">
        <v>2003</v>
      </c>
      <c r="S295" t="s">
        <v>234</v>
      </c>
    </row>
    <row r="296" spans="1:19" x14ac:dyDescent="0.25">
      <c r="A296">
        <v>10118</v>
      </c>
      <c r="B296" t="s">
        <v>325</v>
      </c>
      <c r="C296" t="s">
        <v>145</v>
      </c>
      <c r="D296" t="s">
        <v>146</v>
      </c>
      <c r="E296" t="s">
        <v>80</v>
      </c>
      <c r="F296" t="s">
        <v>30</v>
      </c>
      <c r="G296" t="s">
        <v>33</v>
      </c>
      <c r="H296">
        <v>1</v>
      </c>
      <c r="I296">
        <v>36</v>
      </c>
      <c r="J296">
        <v>100</v>
      </c>
      <c r="K296">
        <v>100</v>
      </c>
      <c r="L296">
        <v>4219.2</v>
      </c>
      <c r="M296">
        <v>619.20000000000005</v>
      </c>
      <c r="N296" s="1">
        <v>37732</v>
      </c>
      <c r="O296" t="s">
        <v>25</v>
      </c>
      <c r="P296">
        <v>2</v>
      </c>
      <c r="Q296">
        <v>4</v>
      </c>
      <c r="R296">
        <v>2003</v>
      </c>
      <c r="S296" t="s">
        <v>255</v>
      </c>
    </row>
    <row r="297" spans="1:19" x14ac:dyDescent="0.25">
      <c r="A297">
        <v>10232</v>
      </c>
      <c r="B297" t="s">
        <v>325</v>
      </c>
      <c r="C297" t="s">
        <v>158</v>
      </c>
      <c r="D297" t="s">
        <v>159</v>
      </c>
      <c r="E297" t="s">
        <v>77</v>
      </c>
      <c r="F297" t="s">
        <v>30</v>
      </c>
      <c r="G297" t="s">
        <v>33</v>
      </c>
      <c r="H297">
        <v>1</v>
      </c>
      <c r="I297">
        <v>48</v>
      </c>
      <c r="J297">
        <v>96.16</v>
      </c>
      <c r="K297">
        <v>100</v>
      </c>
      <c r="L297">
        <v>4615.68</v>
      </c>
      <c r="M297">
        <v>-184.32</v>
      </c>
      <c r="N297" s="1">
        <v>38066</v>
      </c>
      <c r="O297" t="s">
        <v>25</v>
      </c>
      <c r="P297">
        <v>1</v>
      </c>
      <c r="Q297">
        <v>3</v>
      </c>
      <c r="R297">
        <v>2004</v>
      </c>
      <c r="S297" t="s">
        <v>255</v>
      </c>
    </row>
    <row r="298" spans="1:19" x14ac:dyDescent="0.25">
      <c r="A298">
        <v>10337</v>
      </c>
      <c r="B298" t="s">
        <v>325</v>
      </c>
      <c r="C298" t="s">
        <v>90</v>
      </c>
      <c r="D298" t="s">
        <v>21</v>
      </c>
      <c r="E298" t="s">
        <v>22</v>
      </c>
      <c r="F298" t="s">
        <v>23</v>
      </c>
      <c r="G298" t="s">
        <v>24</v>
      </c>
      <c r="H298">
        <v>1</v>
      </c>
      <c r="I298">
        <v>31</v>
      </c>
      <c r="J298">
        <v>89.38</v>
      </c>
      <c r="K298">
        <v>100</v>
      </c>
      <c r="L298">
        <v>2770.78</v>
      </c>
      <c r="M298">
        <v>-329.22</v>
      </c>
      <c r="N298" s="1">
        <v>38312</v>
      </c>
      <c r="O298" t="s">
        <v>25</v>
      </c>
      <c r="P298">
        <v>4</v>
      </c>
      <c r="Q298">
        <v>11</v>
      </c>
      <c r="R298">
        <v>2004</v>
      </c>
      <c r="S298" t="s">
        <v>255</v>
      </c>
    </row>
    <row r="299" spans="1:19" x14ac:dyDescent="0.25">
      <c r="A299">
        <v>10117</v>
      </c>
      <c r="B299" t="s">
        <v>326</v>
      </c>
      <c r="C299" t="s">
        <v>88</v>
      </c>
      <c r="D299" t="s">
        <v>89</v>
      </c>
      <c r="E299" t="s">
        <v>89</v>
      </c>
      <c r="F299" t="s">
        <v>50</v>
      </c>
      <c r="G299" t="s">
        <v>33</v>
      </c>
      <c r="H299">
        <v>1</v>
      </c>
      <c r="I299">
        <v>45</v>
      </c>
      <c r="J299">
        <v>83.42</v>
      </c>
      <c r="K299">
        <v>99</v>
      </c>
      <c r="L299">
        <v>3753.9</v>
      </c>
      <c r="M299">
        <v>-701.1</v>
      </c>
      <c r="N299" s="1">
        <v>37727</v>
      </c>
      <c r="O299" t="s">
        <v>25</v>
      </c>
      <c r="P299">
        <v>2</v>
      </c>
      <c r="Q299">
        <v>4</v>
      </c>
      <c r="R299">
        <v>2003</v>
      </c>
      <c r="S299" t="s">
        <v>255</v>
      </c>
    </row>
    <row r="300" spans="1:19" x14ac:dyDescent="0.25">
      <c r="A300">
        <v>10294</v>
      </c>
      <c r="B300" t="s">
        <v>326</v>
      </c>
      <c r="C300" t="s">
        <v>186</v>
      </c>
      <c r="D300" t="s">
        <v>120</v>
      </c>
      <c r="E300" t="s">
        <v>22</v>
      </c>
      <c r="F300" t="s">
        <v>23</v>
      </c>
      <c r="G300" t="s">
        <v>33</v>
      </c>
      <c r="H300">
        <v>1</v>
      </c>
      <c r="I300">
        <v>45</v>
      </c>
      <c r="J300">
        <v>100</v>
      </c>
      <c r="K300">
        <v>99</v>
      </c>
      <c r="L300">
        <v>4692.6000000000004</v>
      </c>
      <c r="M300">
        <v>237.6</v>
      </c>
      <c r="N300" s="1">
        <v>38240</v>
      </c>
      <c r="O300" t="s">
        <v>25</v>
      </c>
      <c r="P300">
        <v>3</v>
      </c>
      <c r="Q300">
        <v>9</v>
      </c>
      <c r="R300">
        <v>2004</v>
      </c>
      <c r="S300" t="s">
        <v>255</v>
      </c>
    </row>
    <row r="301" spans="1:19" x14ac:dyDescent="0.25">
      <c r="A301">
        <v>10119</v>
      </c>
      <c r="B301" t="s">
        <v>327</v>
      </c>
      <c r="C301" t="s">
        <v>67</v>
      </c>
      <c r="D301" t="s">
        <v>68</v>
      </c>
      <c r="E301" t="s">
        <v>69</v>
      </c>
      <c r="F301" t="s">
        <v>30</v>
      </c>
      <c r="G301" t="s">
        <v>24</v>
      </c>
      <c r="H301">
        <v>1</v>
      </c>
      <c r="I301">
        <v>26</v>
      </c>
      <c r="J301">
        <v>59.22</v>
      </c>
      <c r="K301">
        <v>74</v>
      </c>
      <c r="L301">
        <v>1539.72</v>
      </c>
      <c r="M301">
        <v>-384.28</v>
      </c>
      <c r="N301" s="1">
        <v>37739</v>
      </c>
      <c r="O301" t="s">
        <v>25</v>
      </c>
      <c r="P301">
        <v>2</v>
      </c>
      <c r="Q301">
        <v>4</v>
      </c>
      <c r="R301">
        <v>2003</v>
      </c>
      <c r="S301" t="s">
        <v>234</v>
      </c>
    </row>
    <row r="302" spans="1:19" x14ac:dyDescent="0.25">
      <c r="A302">
        <v>10352</v>
      </c>
      <c r="B302" t="s">
        <v>327</v>
      </c>
      <c r="C302" t="s">
        <v>256</v>
      </c>
      <c r="D302" t="s">
        <v>120</v>
      </c>
      <c r="E302" t="s">
        <v>22</v>
      </c>
      <c r="F302" t="s">
        <v>23</v>
      </c>
      <c r="G302" t="s">
        <v>24</v>
      </c>
      <c r="H302">
        <v>1</v>
      </c>
      <c r="I302">
        <v>22</v>
      </c>
      <c r="J302">
        <v>75.510000000000005</v>
      </c>
      <c r="K302">
        <v>74</v>
      </c>
      <c r="L302">
        <v>1661.22</v>
      </c>
      <c r="M302">
        <v>33.22</v>
      </c>
      <c r="N302" s="1">
        <v>38324</v>
      </c>
      <c r="O302" t="s">
        <v>25</v>
      </c>
      <c r="P302">
        <v>4</v>
      </c>
      <c r="Q302">
        <v>12</v>
      </c>
      <c r="R302">
        <v>2004</v>
      </c>
      <c r="S302" t="s">
        <v>234</v>
      </c>
    </row>
    <row r="303" spans="1:19" x14ac:dyDescent="0.25">
      <c r="A303">
        <v>10197</v>
      </c>
      <c r="B303" t="s">
        <v>328</v>
      </c>
      <c r="C303" t="s">
        <v>145</v>
      </c>
      <c r="D303" t="s">
        <v>146</v>
      </c>
      <c r="E303" t="s">
        <v>80</v>
      </c>
      <c r="F303" t="s">
        <v>30</v>
      </c>
      <c r="G303" t="s">
        <v>24</v>
      </c>
      <c r="H303">
        <v>1</v>
      </c>
      <c r="I303">
        <v>29</v>
      </c>
      <c r="J303">
        <v>41.71</v>
      </c>
      <c r="K303">
        <v>49</v>
      </c>
      <c r="L303">
        <v>1209.5899999999999</v>
      </c>
      <c r="M303">
        <v>-211.41</v>
      </c>
      <c r="N303" s="1">
        <v>37951</v>
      </c>
      <c r="O303" t="s">
        <v>25</v>
      </c>
      <c r="P303">
        <v>4</v>
      </c>
      <c r="Q303">
        <v>11</v>
      </c>
      <c r="R303">
        <v>2003</v>
      </c>
      <c r="S303" t="s">
        <v>234</v>
      </c>
    </row>
    <row r="304" spans="1:19" x14ac:dyDescent="0.25">
      <c r="A304">
        <v>10283</v>
      </c>
      <c r="B304" t="s">
        <v>328</v>
      </c>
      <c r="C304" t="s">
        <v>154</v>
      </c>
      <c r="D304" t="s">
        <v>155</v>
      </c>
      <c r="E304" t="s">
        <v>99</v>
      </c>
      <c r="F304" t="s">
        <v>23</v>
      </c>
      <c r="G304" t="s">
        <v>24</v>
      </c>
      <c r="H304">
        <v>1</v>
      </c>
      <c r="I304">
        <v>43</v>
      </c>
      <c r="J304">
        <v>57.61</v>
      </c>
      <c r="K304">
        <v>49</v>
      </c>
      <c r="L304">
        <v>2477.23</v>
      </c>
      <c r="M304">
        <v>370.23</v>
      </c>
      <c r="N304" s="1">
        <v>38219</v>
      </c>
      <c r="O304" t="s">
        <v>25</v>
      </c>
      <c r="P304">
        <v>3</v>
      </c>
      <c r="Q304">
        <v>8</v>
      </c>
      <c r="R304">
        <v>2004</v>
      </c>
      <c r="S304" t="s">
        <v>234</v>
      </c>
    </row>
    <row r="305" spans="1:19" x14ac:dyDescent="0.25">
      <c r="A305">
        <v>10398</v>
      </c>
      <c r="B305" t="s">
        <v>328</v>
      </c>
      <c r="C305" t="s">
        <v>27</v>
      </c>
      <c r="D305" t="s">
        <v>28</v>
      </c>
      <c r="E305" t="s">
        <v>29</v>
      </c>
      <c r="F305" t="s">
        <v>30</v>
      </c>
      <c r="G305" t="s">
        <v>24</v>
      </c>
      <c r="H305">
        <v>1</v>
      </c>
      <c r="I305">
        <v>34</v>
      </c>
      <c r="J305">
        <v>40.22</v>
      </c>
      <c r="K305">
        <v>49</v>
      </c>
      <c r="L305">
        <v>1367.48</v>
      </c>
      <c r="M305">
        <v>-298.52</v>
      </c>
      <c r="N305" s="1">
        <v>38441</v>
      </c>
      <c r="O305" t="s">
        <v>25</v>
      </c>
      <c r="P305">
        <v>1</v>
      </c>
      <c r="Q305">
        <v>3</v>
      </c>
      <c r="R305">
        <v>2005</v>
      </c>
      <c r="S305" t="s">
        <v>234</v>
      </c>
    </row>
    <row r="306" spans="1:19" x14ac:dyDescent="0.25">
      <c r="A306">
        <v>10293</v>
      </c>
      <c r="B306" t="s">
        <v>329</v>
      </c>
      <c r="C306" t="s">
        <v>108</v>
      </c>
      <c r="D306" t="s">
        <v>109</v>
      </c>
      <c r="E306" t="s">
        <v>110</v>
      </c>
      <c r="F306" t="s">
        <v>30</v>
      </c>
      <c r="G306" t="s">
        <v>24</v>
      </c>
      <c r="H306">
        <v>1</v>
      </c>
      <c r="I306">
        <v>32</v>
      </c>
      <c r="J306">
        <v>60.06</v>
      </c>
      <c r="K306">
        <v>54</v>
      </c>
      <c r="L306">
        <v>1921.92</v>
      </c>
      <c r="M306">
        <v>193.92</v>
      </c>
      <c r="N306" s="1">
        <v>38239</v>
      </c>
      <c r="O306" t="s">
        <v>25</v>
      </c>
      <c r="P306">
        <v>3</v>
      </c>
      <c r="Q306">
        <v>9</v>
      </c>
      <c r="R306">
        <v>2004</v>
      </c>
      <c r="S306" t="s">
        <v>255</v>
      </c>
    </row>
    <row r="307" spans="1:19" x14ac:dyDescent="0.25">
      <c r="A307">
        <v>10373</v>
      </c>
      <c r="B307" t="s">
        <v>329</v>
      </c>
      <c r="C307" t="s">
        <v>160</v>
      </c>
      <c r="D307" t="s">
        <v>161</v>
      </c>
      <c r="E307" t="s">
        <v>62</v>
      </c>
      <c r="F307" t="s">
        <v>30</v>
      </c>
      <c r="G307" t="s">
        <v>33</v>
      </c>
      <c r="H307">
        <v>1</v>
      </c>
      <c r="I307">
        <v>29</v>
      </c>
      <c r="J307">
        <v>100</v>
      </c>
      <c r="K307">
        <v>54</v>
      </c>
      <c r="L307">
        <v>3978.51</v>
      </c>
      <c r="M307">
        <v>2412.5100000000002</v>
      </c>
      <c r="N307" s="1">
        <v>38383</v>
      </c>
      <c r="O307" t="s">
        <v>25</v>
      </c>
      <c r="P307">
        <v>1</v>
      </c>
      <c r="Q307">
        <v>1</v>
      </c>
      <c r="R307">
        <v>2005</v>
      </c>
      <c r="S307" t="s">
        <v>255</v>
      </c>
    </row>
    <row r="308" spans="1:19" x14ac:dyDescent="0.25">
      <c r="A308">
        <v>10397</v>
      </c>
      <c r="B308" t="s">
        <v>329</v>
      </c>
      <c r="C308" t="s">
        <v>142</v>
      </c>
      <c r="D308" t="s">
        <v>143</v>
      </c>
      <c r="E308" t="s">
        <v>29</v>
      </c>
      <c r="F308" t="s">
        <v>30</v>
      </c>
      <c r="G308" t="s">
        <v>24</v>
      </c>
      <c r="H308">
        <v>1</v>
      </c>
      <c r="I308">
        <v>34</v>
      </c>
      <c r="J308">
        <v>62.24</v>
      </c>
      <c r="K308">
        <v>54</v>
      </c>
      <c r="L308">
        <v>2116.16</v>
      </c>
      <c r="M308">
        <v>280.16000000000003</v>
      </c>
      <c r="N308" s="1">
        <v>38439</v>
      </c>
      <c r="O308" t="s">
        <v>25</v>
      </c>
      <c r="P308">
        <v>1</v>
      </c>
      <c r="Q308">
        <v>3</v>
      </c>
      <c r="R308">
        <v>2005</v>
      </c>
      <c r="S308" t="s">
        <v>255</v>
      </c>
    </row>
    <row r="309" spans="1:19" x14ac:dyDescent="0.25">
      <c r="A309">
        <v>10107</v>
      </c>
      <c r="B309" t="s">
        <v>19</v>
      </c>
      <c r="C309" t="s">
        <v>20</v>
      </c>
      <c r="D309" t="s">
        <v>21</v>
      </c>
      <c r="E309" t="s">
        <v>22</v>
      </c>
      <c r="F309" t="s">
        <v>23</v>
      </c>
      <c r="G309" t="s">
        <v>24</v>
      </c>
      <c r="H309">
        <v>2</v>
      </c>
      <c r="I309">
        <v>30</v>
      </c>
      <c r="J309">
        <v>95.7</v>
      </c>
      <c r="K309">
        <v>95</v>
      </c>
      <c r="L309">
        <v>2871</v>
      </c>
      <c r="M309">
        <v>21</v>
      </c>
      <c r="N309" s="1">
        <v>37676</v>
      </c>
      <c r="O309" t="s">
        <v>25</v>
      </c>
      <c r="P309">
        <v>1</v>
      </c>
      <c r="Q309">
        <v>2</v>
      </c>
      <c r="R309">
        <v>2003</v>
      </c>
      <c r="S309" t="s">
        <v>26</v>
      </c>
    </row>
    <row r="310" spans="1:19" x14ac:dyDescent="0.25">
      <c r="A310">
        <v>10134</v>
      </c>
      <c r="B310" t="s">
        <v>19</v>
      </c>
      <c r="C310" t="s">
        <v>31</v>
      </c>
      <c r="D310" t="s">
        <v>32</v>
      </c>
      <c r="E310" t="s">
        <v>29</v>
      </c>
      <c r="F310" t="s">
        <v>30</v>
      </c>
      <c r="G310" t="s">
        <v>33</v>
      </c>
      <c r="H310">
        <v>2</v>
      </c>
      <c r="I310">
        <v>41</v>
      </c>
      <c r="J310">
        <v>94.74</v>
      </c>
      <c r="K310">
        <v>95</v>
      </c>
      <c r="L310">
        <v>3884.34</v>
      </c>
      <c r="M310">
        <v>-10.66</v>
      </c>
      <c r="N310" s="1">
        <v>37803</v>
      </c>
      <c r="O310" t="s">
        <v>25</v>
      </c>
      <c r="P310">
        <v>3</v>
      </c>
      <c r="Q310">
        <v>7</v>
      </c>
      <c r="R310">
        <v>2003</v>
      </c>
      <c r="S310" t="s">
        <v>26</v>
      </c>
    </row>
    <row r="311" spans="1:19" x14ac:dyDescent="0.25">
      <c r="A311">
        <v>10201</v>
      </c>
      <c r="B311" t="s">
        <v>19</v>
      </c>
      <c r="C311" t="s">
        <v>45</v>
      </c>
      <c r="D311" t="s">
        <v>37</v>
      </c>
      <c r="E311" t="s">
        <v>22</v>
      </c>
      <c r="F311" t="s">
        <v>23</v>
      </c>
      <c r="G311" t="s">
        <v>24</v>
      </c>
      <c r="H311">
        <v>2</v>
      </c>
      <c r="I311">
        <v>22</v>
      </c>
      <c r="J311">
        <v>98.57</v>
      </c>
      <c r="K311">
        <v>95</v>
      </c>
      <c r="L311">
        <v>2168.54</v>
      </c>
      <c r="M311">
        <v>78.540000000000006</v>
      </c>
      <c r="N311" s="1">
        <v>37956</v>
      </c>
      <c r="O311" t="s">
        <v>25</v>
      </c>
      <c r="P311">
        <v>4</v>
      </c>
      <c r="Q311">
        <v>12</v>
      </c>
      <c r="R311">
        <v>2003</v>
      </c>
      <c r="S311" t="s">
        <v>26</v>
      </c>
    </row>
    <row r="312" spans="1:19" x14ac:dyDescent="0.25">
      <c r="A312">
        <v>10251</v>
      </c>
      <c r="B312" t="s">
        <v>19</v>
      </c>
      <c r="C312" t="s">
        <v>52</v>
      </c>
      <c r="D312" t="s">
        <v>53</v>
      </c>
      <c r="E312" t="s">
        <v>22</v>
      </c>
      <c r="F312" t="s">
        <v>23</v>
      </c>
      <c r="G312" t="s">
        <v>33</v>
      </c>
      <c r="H312">
        <v>2</v>
      </c>
      <c r="I312">
        <v>28</v>
      </c>
      <c r="J312">
        <v>100</v>
      </c>
      <c r="K312">
        <v>95</v>
      </c>
      <c r="L312">
        <v>3188.64</v>
      </c>
      <c r="M312">
        <v>528.64</v>
      </c>
      <c r="N312" s="1">
        <v>38125</v>
      </c>
      <c r="O312" t="s">
        <v>25</v>
      </c>
      <c r="P312">
        <v>2</v>
      </c>
      <c r="Q312">
        <v>5</v>
      </c>
      <c r="R312">
        <v>2004</v>
      </c>
      <c r="S312" t="s">
        <v>26</v>
      </c>
    </row>
    <row r="313" spans="1:19" x14ac:dyDescent="0.25">
      <c r="A313">
        <v>10263</v>
      </c>
      <c r="B313" t="s">
        <v>19</v>
      </c>
      <c r="C313" t="s">
        <v>54</v>
      </c>
      <c r="D313" t="s">
        <v>55</v>
      </c>
      <c r="E313" t="s">
        <v>22</v>
      </c>
      <c r="F313" t="s">
        <v>23</v>
      </c>
      <c r="G313" t="s">
        <v>33</v>
      </c>
      <c r="H313">
        <v>2</v>
      </c>
      <c r="I313">
        <v>34</v>
      </c>
      <c r="J313">
        <v>100</v>
      </c>
      <c r="K313">
        <v>95</v>
      </c>
      <c r="L313">
        <v>3676.76</v>
      </c>
      <c r="M313">
        <v>446.76</v>
      </c>
      <c r="N313" s="1">
        <v>38166</v>
      </c>
      <c r="O313" t="s">
        <v>25</v>
      </c>
      <c r="P313">
        <v>2</v>
      </c>
      <c r="Q313">
        <v>6</v>
      </c>
      <c r="R313">
        <v>2004</v>
      </c>
      <c r="S313" t="s">
        <v>26</v>
      </c>
    </row>
    <row r="314" spans="1:19" x14ac:dyDescent="0.25">
      <c r="A314">
        <v>10417</v>
      </c>
      <c r="B314" t="s">
        <v>19</v>
      </c>
      <c r="C314" t="s">
        <v>78</v>
      </c>
      <c r="D314" t="s">
        <v>79</v>
      </c>
      <c r="E314" t="s">
        <v>80</v>
      </c>
      <c r="F314" t="s">
        <v>30</v>
      </c>
      <c r="G314" t="s">
        <v>70</v>
      </c>
      <c r="H314">
        <v>2</v>
      </c>
      <c r="I314">
        <v>66</v>
      </c>
      <c r="J314">
        <v>100</v>
      </c>
      <c r="K314">
        <v>95</v>
      </c>
      <c r="L314">
        <v>7516.08</v>
      </c>
      <c r="M314">
        <v>1246.08</v>
      </c>
      <c r="N314" s="1">
        <v>38485</v>
      </c>
      <c r="O314" t="s">
        <v>81</v>
      </c>
      <c r="P314">
        <v>2</v>
      </c>
      <c r="Q314">
        <v>5</v>
      </c>
      <c r="R314">
        <v>2005</v>
      </c>
      <c r="S314" t="s">
        <v>26</v>
      </c>
    </row>
    <row r="315" spans="1:19" x14ac:dyDescent="0.25">
      <c r="A315">
        <v>10228</v>
      </c>
      <c r="B315" t="s">
        <v>82</v>
      </c>
      <c r="C315" t="s">
        <v>102</v>
      </c>
      <c r="D315" t="s">
        <v>59</v>
      </c>
      <c r="E315" t="s">
        <v>22</v>
      </c>
      <c r="F315" t="s">
        <v>23</v>
      </c>
      <c r="G315" t="s">
        <v>33</v>
      </c>
      <c r="H315">
        <v>2</v>
      </c>
      <c r="I315">
        <v>29</v>
      </c>
      <c r="J315">
        <v>100</v>
      </c>
      <c r="K315">
        <v>214</v>
      </c>
      <c r="L315">
        <v>6463.23</v>
      </c>
      <c r="M315">
        <v>257.23</v>
      </c>
      <c r="N315" s="1">
        <v>38056</v>
      </c>
      <c r="O315" t="s">
        <v>25</v>
      </c>
      <c r="P315">
        <v>1</v>
      </c>
      <c r="Q315">
        <v>3</v>
      </c>
      <c r="R315">
        <v>2004</v>
      </c>
      <c r="S315" t="s">
        <v>83</v>
      </c>
    </row>
    <row r="316" spans="1:19" x14ac:dyDescent="0.25">
      <c r="A316">
        <v>10280</v>
      </c>
      <c r="B316" t="s">
        <v>82</v>
      </c>
      <c r="C316" t="s">
        <v>108</v>
      </c>
      <c r="D316" t="s">
        <v>109</v>
      </c>
      <c r="E316" t="s">
        <v>110</v>
      </c>
      <c r="F316" t="s">
        <v>30</v>
      </c>
      <c r="G316" t="s">
        <v>70</v>
      </c>
      <c r="H316">
        <v>2</v>
      </c>
      <c r="I316">
        <v>34</v>
      </c>
      <c r="J316">
        <v>100</v>
      </c>
      <c r="K316">
        <v>214</v>
      </c>
      <c r="L316">
        <v>8014.82</v>
      </c>
      <c r="M316">
        <v>738.82</v>
      </c>
      <c r="N316" s="1">
        <v>38216</v>
      </c>
      <c r="O316" t="s">
        <v>25</v>
      </c>
      <c r="P316">
        <v>3</v>
      </c>
      <c r="Q316">
        <v>8</v>
      </c>
      <c r="R316">
        <v>2004</v>
      </c>
      <c r="S316" t="s">
        <v>83</v>
      </c>
    </row>
    <row r="317" spans="1:19" x14ac:dyDescent="0.25">
      <c r="A317">
        <v>10369</v>
      </c>
      <c r="B317" t="s">
        <v>82</v>
      </c>
      <c r="C317" t="s">
        <v>119</v>
      </c>
      <c r="D317" t="s">
        <v>120</v>
      </c>
      <c r="E317" t="s">
        <v>22</v>
      </c>
      <c r="F317" t="s">
        <v>23</v>
      </c>
      <c r="G317" t="s">
        <v>33</v>
      </c>
      <c r="H317">
        <v>2</v>
      </c>
      <c r="I317">
        <v>41</v>
      </c>
      <c r="J317">
        <v>100</v>
      </c>
      <c r="K317">
        <v>214</v>
      </c>
      <c r="L317">
        <v>4514.92</v>
      </c>
      <c r="M317">
        <v>-4259.08</v>
      </c>
      <c r="N317" s="1">
        <v>38372</v>
      </c>
      <c r="O317" t="s">
        <v>25</v>
      </c>
      <c r="P317">
        <v>1</v>
      </c>
      <c r="Q317">
        <v>1</v>
      </c>
      <c r="R317">
        <v>2005</v>
      </c>
      <c r="S317" t="s">
        <v>83</v>
      </c>
    </row>
    <row r="318" spans="1:19" x14ac:dyDescent="0.25">
      <c r="A318">
        <v>10210</v>
      </c>
      <c r="B318" t="s">
        <v>126</v>
      </c>
      <c r="C318" t="s">
        <v>127</v>
      </c>
      <c r="D318" t="s">
        <v>128</v>
      </c>
      <c r="E318" t="s">
        <v>107</v>
      </c>
      <c r="F318" t="s">
        <v>50</v>
      </c>
      <c r="G318" t="s">
        <v>33</v>
      </c>
      <c r="H318">
        <v>2</v>
      </c>
      <c r="I318">
        <v>23</v>
      </c>
      <c r="J318">
        <v>100</v>
      </c>
      <c r="K318">
        <v>118</v>
      </c>
      <c r="L318">
        <v>3009.09</v>
      </c>
      <c r="M318">
        <v>295.08999999999997</v>
      </c>
      <c r="N318" s="1">
        <v>37998</v>
      </c>
      <c r="O318" t="s">
        <v>25</v>
      </c>
      <c r="P318">
        <v>1</v>
      </c>
      <c r="Q318">
        <v>1</v>
      </c>
      <c r="R318">
        <v>2004</v>
      </c>
      <c r="S318" t="s">
        <v>26</v>
      </c>
    </row>
    <row r="319" spans="1:19" x14ac:dyDescent="0.25">
      <c r="A319">
        <v>10308</v>
      </c>
      <c r="B319" t="s">
        <v>126</v>
      </c>
      <c r="C319" t="s">
        <v>131</v>
      </c>
      <c r="D319" t="s">
        <v>132</v>
      </c>
      <c r="E319" t="s">
        <v>22</v>
      </c>
      <c r="F319" t="s">
        <v>23</v>
      </c>
      <c r="G319" t="s">
        <v>33</v>
      </c>
      <c r="H319">
        <v>2</v>
      </c>
      <c r="I319">
        <v>34</v>
      </c>
      <c r="J319">
        <v>100</v>
      </c>
      <c r="K319">
        <v>118</v>
      </c>
      <c r="L319">
        <v>4043.96</v>
      </c>
      <c r="M319">
        <v>31.96</v>
      </c>
      <c r="N319" s="1">
        <v>38275</v>
      </c>
      <c r="O319" t="s">
        <v>25</v>
      </c>
      <c r="P319">
        <v>4</v>
      </c>
      <c r="Q319">
        <v>10</v>
      </c>
      <c r="R319">
        <v>2004</v>
      </c>
      <c r="S319" t="s">
        <v>26</v>
      </c>
    </row>
    <row r="320" spans="1:19" x14ac:dyDescent="0.25">
      <c r="A320">
        <v>10329</v>
      </c>
      <c r="B320" t="s">
        <v>126</v>
      </c>
      <c r="C320" t="s">
        <v>20</v>
      </c>
      <c r="D320" t="s">
        <v>21</v>
      </c>
      <c r="E320" t="s">
        <v>22</v>
      </c>
      <c r="F320" t="s">
        <v>23</v>
      </c>
      <c r="G320" t="s">
        <v>33</v>
      </c>
      <c r="H320">
        <v>2</v>
      </c>
      <c r="I320">
        <v>20</v>
      </c>
      <c r="J320">
        <v>100</v>
      </c>
      <c r="K320">
        <v>118</v>
      </c>
      <c r="L320">
        <v>3176</v>
      </c>
      <c r="M320">
        <v>816</v>
      </c>
      <c r="N320" s="1">
        <v>38306</v>
      </c>
      <c r="O320" t="s">
        <v>25</v>
      </c>
      <c r="P320">
        <v>4</v>
      </c>
      <c r="Q320">
        <v>11</v>
      </c>
      <c r="R320">
        <v>2004</v>
      </c>
      <c r="S320" t="s">
        <v>26</v>
      </c>
    </row>
    <row r="321" spans="1:19" x14ac:dyDescent="0.25">
      <c r="A321">
        <v>10120</v>
      </c>
      <c r="B321" t="s">
        <v>133</v>
      </c>
      <c r="C321" t="s">
        <v>47</v>
      </c>
      <c r="D321" t="s">
        <v>48</v>
      </c>
      <c r="E321" t="s">
        <v>49</v>
      </c>
      <c r="F321" t="s">
        <v>50</v>
      </c>
      <c r="G321" t="s">
        <v>70</v>
      </c>
      <c r="H321">
        <v>2</v>
      </c>
      <c r="I321">
        <v>46</v>
      </c>
      <c r="J321">
        <v>100</v>
      </c>
      <c r="K321">
        <v>193</v>
      </c>
      <c r="L321">
        <v>9264.86</v>
      </c>
      <c r="M321">
        <v>386.86</v>
      </c>
      <c r="N321" s="1">
        <v>37740</v>
      </c>
      <c r="O321" t="s">
        <v>25</v>
      </c>
      <c r="P321">
        <v>2</v>
      </c>
      <c r="Q321">
        <v>4</v>
      </c>
      <c r="R321">
        <v>2003</v>
      </c>
      <c r="S321" t="s">
        <v>26</v>
      </c>
    </row>
    <row r="322" spans="1:19" x14ac:dyDescent="0.25">
      <c r="A322">
        <v>10105</v>
      </c>
      <c r="B322" t="s">
        <v>134</v>
      </c>
      <c r="C322" t="s">
        <v>135</v>
      </c>
      <c r="D322" t="s">
        <v>136</v>
      </c>
      <c r="E322" t="s">
        <v>137</v>
      </c>
      <c r="F322" t="s">
        <v>30</v>
      </c>
      <c r="G322" t="s">
        <v>70</v>
      </c>
      <c r="H322">
        <v>2</v>
      </c>
      <c r="I322">
        <v>50</v>
      </c>
      <c r="J322">
        <v>100</v>
      </c>
      <c r="K322">
        <v>136</v>
      </c>
      <c r="L322">
        <v>7208</v>
      </c>
      <c r="M322">
        <v>408</v>
      </c>
      <c r="N322" s="1">
        <v>37663</v>
      </c>
      <c r="O322" t="s">
        <v>25</v>
      </c>
      <c r="P322">
        <v>1</v>
      </c>
      <c r="Q322">
        <v>2</v>
      </c>
      <c r="R322">
        <v>2003</v>
      </c>
      <c r="S322" t="s">
        <v>83</v>
      </c>
    </row>
    <row r="323" spans="1:19" x14ac:dyDescent="0.25">
      <c r="A323">
        <v>10129</v>
      </c>
      <c r="B323" t="s">
        <v>134</v>
      </c>
      <c r="C323" t="s">
        <v>138</v>
      </c>
      <c r="D323" t="s">
        <v>139</v>
      </c>
      <c r="E323" t="s">
        <v>77</v>
      </c>
      <c r="F323" t="s">
        <v>30</v>
      </c>
      <c r="G323" t="s">
        <v>33</v>
      </c>
      <c r="H323">
        <v>2</v>
      </c>
      <c r="I323">
        <v>33</v>
      </c>
      <c r="J323">
        <v>100</v>
      </c>
      <c r="K323">
        <v>136</v>
      </c>
      <c r="L323">
        <v>4398.24</v>
      </c>
      <c r="M323">
        <v>-89.76</v>
      </c>
      <c r="N323" s="1">
        <v>37784</v>
      </c>
      <c r="O323" t="s">
        <v>25</v>
      </c>
      <c r="P323">
        <v>2</v>
      </c>
      <c r="Q323">
        <v>6</v>
      </c>
      <c r="R323">
        <v>2003</v>
      </c>
      <c r="S323" t="s">
        <v>83</v>
      </c>
    </row>
    <row r="324" spans="1:19" x14ac:dyDescent="0.25">
      <c r="A324">
        <v>10395</v>
      </c>
      <c r="B324" t="s">
        <v>134</v>
      </c>
      <c r="C324" t="s">
        <v>31</v>
      </c>
      <c r="D324" t="s">
        <v>32</v>
      </c>
      <c r="E324" t="s">
        <v>29</v>
      </c>
      <c r="F324" t="s">
        <v>30</v>
      </c>
      <c r="G324" t="s">
        <v>33</v>
      </c>
      <c r="H324">
        <v>2</v>
      </c>
      <c r="I324">
        <v>32</v>
      </c>
      <c r="J324">
        <v>100</v>
      </c>
      <c r="K324">
        <v>136</v>
      </c>
      <c r="L324">
        <v>3370.56</v>
      </c>
      <c r="M324">
        <v>-981.44</v>
      </c>
      <c r="N324" s="1">
        <v>38428</v>
      </c>
      <c r="O324" t="s">
        <v>25</v>
      </c>
      <c r="P324">
        <v>1</v>
      </c>
      <c r="Q324">
        <v>3</v>
      </c>
      <c r="R324">
        <v>2005</v>
      </c>
      <c r="S324" t="s">
        <v>83</v>
      </c>
    </row>
    <row r="325" spans="1:19" x14ac:dyDescent="0.25">
      <c r="A325">
        <v>10164</v>
      </c>
      <c r="B325" t="s">
        <v>165</v>
      </c>
      <c r="C325" t="s">
        <v>167</v>
      </c>
      <c r="D325" t="s">
        <v>168</v>
      </c>
      <c r="E325" t="s">
        <v>69</v>
      </c>
      <c r="F325" t="s">
        <v>30</v>
      </c>
      <c r="G325" t="s">
        <v>33</v>
      </c>
      <c r="H325">
        <v>2</v>
      </c>
      <c r="I325">
        <v>21</v>
      </c>
      <c r="J325">
        <v>100</v>
      </c>
      <c r="K325">
        <v>147</v>
      </c>
      <c r="L325">
        <v>3536.82</v>
      </c>
      <c r="M325">
        <v>449.82</v>
      </c>
      <c r="N325" s="1">
        <v>37915</v>
      </c>
      <c r="O325" t="s">
        <v>169</v>
      </c>
      <c r="P325">
        <v>4</v>
      </c>
      <c r="Q325">
        <v>10</v>
      </c>
      <c r="R325">
        <v>2003</v>
      </c>
      <c r="S325" t="s">
        <v>83</v>
      </c>
    </row>
    <row r="326" spans="1:19" x14ac:dyDescent="0.25">
      <c r="A326">
        <v>10245</v>
      </c>
      <c r="B326" t="s">
        <v>165</v>
      </c>
      <c r="C326" t="s">
        <v>103</v>
      </c>
      <c r="D326" t="s">
        <v>104</v>
      </c>
      <c r="E326" t="s">
        <v>22</v>
      </c>
      <c r="F326" t="s">
        <v>23</v>
      </c>
      <c r="G326" t="s">
        <v>33</v>
      </c>
      <c r="H326">
        <v>2</v>
      </c>
      <c r="I326">
        <v>28</v>
      </c>
      <c r="J326">
        <v>100</v>
      </c>
      <c r="K326">
        <v>147</v>
      </c>
      <c r="L326">
        <v>4591.72</v>
      </c>
      <c r="M326">
        <v>475.72</v>
      </c>
      <c r="N326" s="1">
        <v>38111</v>
      </c>
      <c r="O326" t="s">
        <v>25</v>
      </c>
      <c r="P326">
        <v>2</v>
      </c>
      <c r="Q326">
        <v>5</v>
      </c>
      <c r="R326">
        <v>2004</v>
      </c>
      <c r="S326" t="s">
        <v>83</v>
      </c>
    </row>
    <row r="327" spans="1:19" x14ac:dyDescent="0.25">
      <c r="A327">
        <v>10270</v>
      </c>
      <c r="B327" t="s">
        <v>165</v>
      </c>
      <c r="C327" t="s">
        <v>71</v>
      </c>
      <c r="D327" t="s">
        <v>72</v>
      </c>
      <c r="E327" t="s">
        <v>49</v>
      </c>
      <c r="F327" t="s">
        <v>50</v>
      </c>
      <c r="G327" t="s">
        <v>33</v>
      </c>
      <c r="H327">
        <v>2</v>
      </c>
      <c r="I327">
        <v>32</v>
      </c>
      <c r="J327">
        <v>100</v>
      </c>
      <c r="K327">
        <v>147</v>
      </c>
      <c r="L327">
        <v>4302.08</v>
      </c>
      <c r="M327">
        <v>-401.92</v>
      </c>
      <c r="N327" s="1">
        <v>38187</v>
      </c>
      <c r="O327" t="s">
        <v>25</v>
      </c>
      <c r="P327">
        <v>3</v>
      </c>
      <c r="Q327">
        <v>7</v>
      </c>
      <c r="R327">
        <v>2004</v>
      </c>
      <c r="S327" t="s">
        <v>83</v>
      </c>
    </row>
    <row r="328" spans="1:19" x14ac:dyDescent="0.25">
      <c r="A328">
        <v>10334</v>
      </c>
      <c r="B328" t="s">
        <v>165</v>
      </c>
      <c r="C328" t="s">
        <v>84</v>
      </c>
      <c r="D328" t="s">
        <v>85</v>
      </c>
      <c r="E328" t="s">
        <v>86</v>
      </c>
      <c r="F328" t="s">
        <v>30</v>
      </c>
      <c r="G328" t="s">
        <v>33</v>
      </c>
      <c r="H328">
        <v>2</v>
      </c>
      <c r="I328">
        <v>26</v>
      </c>
      <c r="J328">
        <v>100</v>
      </c>
      <c r="K328">
        <v>147</v>
      </c>
      <c r="L328">
        <v>3188.12</v>
      </c>
      <c r="M328">
        <v>-633.88</v>
      </c>
      <c r="N328" s="1">
        <v>38310</v>
      </c>
      <c r="O328" t="s">
        <v>164</v>
      </c>
      <c r="P328">
        <v>4</v>
      </c>
      <c r="Q328">
        <v>11</v>
      </c>
      <c r="R328">
        <v>2004</v>
      </c>
      <c r="S328" t="s">
        <v>83</v>
      </c>
    </row>
    <row r="329" spans="1:19" x14ac:dyDescent="0.25">
      <c r="A329">
        <v>10347</v>
      </c>
      <c r="B329" t="s">
        <v>165</v>
      </c>
      <c r="C329" t="s">
        <v>47</v>
      </c>
      <c r="D329" t="s">
        <v>48</v>
      </c>
      <c r="E329" t="s">
        <v>49</v>
      </c>
      <c r="F329" t="s">
        <v>50</v>
      </c>
      <c r="G329" t="s">
        <v>33</v>
      </c>
      <c r="H329">
        <v>2</v>
      </c>
      <c r="I329">
        <v>27</v>
      </c>
      <c r="J329">
        <v>100</v>
      </c>
      <c r="K329">
        <v>147</v>
      </c>
      <c r="L329">
        <v>4428</v>
      </c>
      <c r="M329">
        <v>459</v>
      </c>
      <c r="N329" s="1">
        <v>38320</v>
      </c>
      <c r="O329" t="s">
        <v>25</v>
      </c>
      <c r="P329">
        <v>4</v>
      </c>
      <c r="Q329">
        <v>11</v>
      </c>
      <c r="R329">
        <v>2004</v>
      </c>
      <c r="S329" t="s">
        <v>83</v>
      </c>
    </row>
    <row r="330" spans="1:19" x14ac:dyDescent="0.25">
      <c r="A330">
        <v>10411</v>
      </c>
      <c r="B330" t="s">
        <v>165</v>
      </c>
      <c r="C330" t="s">
        <v>123</v>
      </c>
      <c r="D330" t="s">
        <v>124</v>
      </c>
      <c r="E330" t="s">
        <v>99</v>
      </c>
      <c r="F330" t="s">
        <v>23</v>
      </c>
      <c r="G330" t="s">
        <v>33</v>
      </c>
      <c r="H330">
        <v>2</v>
      </c>
      <c r="I330">
        <v>27</v>
      </c>
      <c r="J330">
        <v>100</v>
      </c>
      <c r="K330">
        <v>147</v>
      </c>
      <c r="L330">
        <v>4427.7299999999996</v>
      </c>
      <c r="M330">
        <v>458.73</v>
      </c>
      <c r="N330" s="1">
        <v>38473</v>
      </c>
      <c r="O330" t="s">
        <v>25</v>
      </c>
      <c r="P330">
        <v>2</v>
      </c>
      <c r="Q330">
        <v>5</v>
      </c>
      <c r="R330">
        <v>2005</v>
      </c>
      <c r="S330" t="s">
        <v>83</v>
      </c>
    </row>
    <row r="331" spans="1:19" x14ac:dyDescent="0.25">
      <c r="A331">
        <v>10159</v>
      </c>
      <c r="B331" t="s">
        <v>172</v>
      </c>
      <c r="C331" t="s">
        <v>36</v>
      </c>
      <c r="D331" t="s">
        <v>37</v>
      </c>
      <c r="E331" t="s">
        <v>22</v>
      </c>
      <c r="F331" t="s">
        <v>23</v>
      </c>
      <c r="G331" t="s">
        <v>70</v>
      </c>
      <c r="H331">
        <v>2</v>
      </c>
      <c r="I331">
        <v>41</v>
      </c>
      <c r="J331">
        <v>100</v>
      </c>
      <c r="K331">
        <v>194</v>
      </c>
      <c r="L331">
        <v>8296.35</v>
      </c>
      <c r="M331">
        <v>342.35</v>
      </c>
      <c r="N331" s="1">
        <v>37904</v>
      </c>
      <c r="O331" t="s">
        <v>25</v>
      </c>
      <c r="P331">
        <v>4</v>
      </c>
      <c r="Q331">
        <v>10</v>
      </c>
      <c r="R331">
        <v>2003</v>
      </c>
      <c r="S331" t="s">
        <v>83</v>
      </c>
    </row>
    <row r="332" spans="1:19" x14ac:dyDescent="0.25">
      <c r="A332">
        <v>10169</v>
      </c>
      <c r="B332" t="s">
        <v>172</v>
      </c>
      <c r="C332" t="s">
        <v>121</v>
      </c>
      <c r="D332" t="s">
        <v>122</v>
      </c>
      <c r="E332" t="s">
        <v>49</v>
      </c>
      <c r="F332" t="s">
        <v>50</v>
      </c>
      <c r="G332" t="s">
        <v>33</v>
      </c>
      <c r="H332">
        <v>2</v>
      </c>
      <c r="I332">
        <v>30</v>
      </c>
      <c r="J332">
        <v>100</v>
      </c>
      <c r="K332">
        <v>194</v>
      </c>
      <c r="L332">
        <v>5019.8999999999996</v>
      </c>
      <c r="M332">
        <v>-800.1</v>
      </c>
      <c r="N332" s="1">
        <v>37929</v>
      </c>
      <c r="O332" t="s">
        <v>25</v>
      </c>
      <c r="P332">
        <v>4</v>
      </c>
      <c r="Q332">
        <v>11</v>
      </c>
      <c r="R332">
        <v>2003</v>
      </c>
      <c r="S332" t="s">
        <v>83</v>
      </c>
    </row>
    <row r="333" spans="1:19" x14ac:dyDescent="0.25">
      <c r="A333">
        <v>10211</v>
      </c>
      <c r="B333" t="s">
        <v>172</v>
      </c>
      <c r="C333" t="s">
        <v>46</v>
      </c>
      <c r="D333" t="s">
        <v>32</v>
      </c>
      <c r="E333" t="s">
        <v>29</v>
      </c>
      <c r="F333" t="s">
        <v>30</v>
      </c>
      <c r="G333" t="s">
        <v>70</v>
      </c>
      <c r="H333">
        <v>2</v>
      </c>
      <c r="I333">
        <v>41</v>
      </c>
      <c r="J333">
        <v>100</v>
      </c>
      <c r="K333">
        <v>194</v>
      </c>
      <c r="L333">
        <v>7498.9</v>
      </c>
      <c r="M333">
        <v>-455.1</v>
      </c>
      <c r="N333" s="1">
        <v>38001</v>
      </c>
      <c r="O333" t="s">
        <v>25</v>
      </c>
      <c r="P333">
        <v>1</v>
      </c>
      <c r="Q333">
        <v>1</v>
      </c>
      <c r="R333">
        <v>2004</v>
      </c>
      <c r="S333" t="s">
        <v>83</v>
      </c>
    </row>
    <row r="334" spans="1:19" x14ac:dyDescent="0.25">
      <c r="A334">
        <v>10341</v>
      </c>
      <c r="B334" t="s">
        <v>172</v>
      </c>
      <c r="C334" t="s">
        <v>67</v>
      </c>
      <c r="D334" t="s">
        <v>68</v>
      </c>
      <c r="E334" t="s">
        <v>69</v>
      </c>
      <c r="F334" t="s">
        <v>30</v>
      </c>
      <c r="G334" t="s">
        <v>33</v>
      </c>
      <c r="H334">
        <v>2</v>
      </c>
      <c r="I334">
        <v>45</v>
      </c>
      <c r="J334">
        <v>79.650000000000006</v>
      </c>
      <c r="K334">
        <v>194</v>
      </c>
      <c r="L334">
        <v>3584.25</v>
      </c>
      <c r="M334">
        <v>-5145.75</v>
      </c>
      <c r="N334" s="1">
        <v>38315</v>
      </c>
      <c r="O334" t="s">
        <v>25</v>
      </c>
      <c r="P334">
        <v>4</v>
      </c>
      <c r="Q334">
        <v>11</v>
      </c>
      <c r="R334">
        <v>2004</v>
      </c>
      <c r="S334" t="s">
        <v>83</v>
      </c>
    </row>
    <row r="335" spans="1:19" x14ac:dyDescent="0.25">
      <c r="A335">
        <v>10127</v>
      </c>
      <c r="B335" t="s">
        <v>191</v>
      </c>
      <c r="C335" t="s">
        <v>192</v>
      </c>
      <c r="D335" t="s">
        <v>21</v>
      </c>
      <c r="E335" t="s">
        <v>22</v>
      </c>
      <c r="F335" t="s">
        <v>23</v>
      </c>
      <c r="G335" t="s">
        <v>70</v>
      </c>
      <c r="H335">
        <v>2</v>
      </c>
      <c r="I335">
        <v>46</v>
      </c>
      <c r="J335">
        <v>100</v>
      </c>
      <c r="K335">
        <v>207</v>
      </c>
      <c r="L335">
        <v>11279.2</v>
      </c>
      <c r="M335">
        <v>1757.2</v>
      </c>
      <c r="N335" s="1">
        <v>37775</v>
      </c>
      <c r="O335" t="s">
        <v>25</v>
      </c>
      <c r="P335">
        <v>2</v>
      </c>
      <c r="Q335">
        <v>6</v>
      </c>
      <c r="R335">
        <v>2003</v>
      </c>
      <c r="S335" t="s">
        <v>83</v>
      </c>
    </row>
    <row r="336" spans="1:19" x14ac:dyDescent="0.25">
      <c r="A336">
        <v>10176</v>
      </c>
      <c r="B336" t="s">
        <v>191</v>
      </c>
      <c r="C336" t="s">
        <v>184</v>
      </c>
      <c r="D336" t="s">
        <v>185</v>
      </c>
      <c r="E336" t="s">
        <v>110</v>
      </c>
      <c r="F336" t="s">
        <v>30</v>
      </c>
      <c r="G336" t="s">
        <v>70</v>
      </c>
      <c r="H336">
        <v>2</v>
      </c>
      <c r="I336">
        <v>33</v>
      </c>
      <c r="J336">
        <v>100</v>
      </c>
      <c r="K336">
        <v>207</v>
      </c>
      <c r="L336">
        <v>7474.5</v>
      </c>
      <c r="M336">
        <v>643.5</v>
      </c>
      <c r="N336" s="1">
        <v>37931</v>
      </c>
      <c r="O336" t="s">
        <v>25</v>
      </c>
      <c r="P336">
        <v>4</v>
      </c>
      <c r="Q336">
        <v>11</v>
      </c>
      <c r="R336">
        <v>2003</v>
      </c>
      <c r="S336" t="s">
        <v>83</v>
      </c>
    </row>
    <row r="337" spans="1:19" x14ac:dyDescent="0.25">
      <c r="A337">
        <v>10220</v>
      </c>
      <c r="B337" t="s">
        <v>191</v>
      </c>
      <c r="C337" t="s">
        <v>193</v>
      </c>
      <c r="D337" t="s">
        <v>194</v>
      </c>
      <c r="E337" t="s">
        <v>195</v>
      </c>
      <c r="F337" t="s">
        <v>30</v>
      </c>
      <c r="G337" t="s">
        <v>70</v>
      </c>
      <c r="H337">
        <v>2</v>
      </c>
      <c r="I337">
        <v>32</v>
      </c>
      <c r="J337">
        <v>100</v>
      </c>
      <c r="K337">
        <v>207</v>
      </c>
      <c r="L337">
        <v>7181.44</v>
      </c>
      <c r="M337">
        <v>557.44000000000005</v>
      </c>
      <c r="N337" s="1">
        <v>38029</v>
      </c>
      <c r="O337" t="s">
        <v>25</v>
      </c>
      <c r="P337">
        <v>1</v>
      </c>
      <c r="Q337">
        <v>2</v>
      </c>
      <c r="R337">
        <v>2004</v>
      </c>
      <c r="S337" t="s">
        <v>83</v>
      </c>
    </row>
    <row r="338" spans="1:19" x14ac:dyDescent="0.25">
      <c r="A338">
        <v>10231</v>
      </c>
      <c r="B338" t="s">
        <v>191</v>
      </c>
      <c r="C338" t="s">
        <v>196</v>
      </c>
      <c r="D338" t="s">
        <v>79</v>
      </c>
      <c r="E338" t="s">
        <v>80</v>
      </c>
      <c r="F338" t="s">
        <v>30</v>
      </c>
      <c r="G338" t="s">
        <v>70</v>
      </c>
      <c r="H338">
        <v>2</v>
      </c>
      <c r="I338">
        <v>42</v>
      </c>
      <c r="J338">
        <v>100</v>
      </c>
      <c r="K338">
        <v>207</v>
      </c>
      <c r="L338">
        <v>8378.58</v>
      </c>
      <c r="M338">
        <v>-315.42</v>
      </c>
      <c r="N338" s="1">
        <v>38065</v>
      </c>
      <c r="O338" t="s">
        <v>25</v>
      </c>
      <c r="P338">
        <v>1</v>
      </c>
      <c r="Q338">
        <v>3</v>
      </c>
      <c r="R338">
        <v>2004</v>
      </c>
      <c r="S338" t="s">
        <v>83</v>
      </c>
    </row>
    <row r="339" spans="1:19" x14ac:dyDescent="0.25">
      <c r="A339">
        <v>10247</v>
      </c>
      <c r="B339" t="s">
        <v>191</v>
      </c>
      <c r="C339" t="s">
        <v>189</v>
      </c>
      <c r="D339" t="s">
        <v>190</v>
      </c>
      <c r="E339" t="s">
        <v>62</v>
      </c>
      <c r="F339" t="s">
        <v>30</v>
      </c>
      <c r="G339" t="s">
        <v>70</v>
      </c>
      <c r="H339">
        <v>2</v>
      </c>
      <c r="I339">
        <v>44</v>
      </c>
      <c r="J339">
        <v>100</v>
      </c>
      <c r="K339">
        <v>207</v>
      </c>
      <c r="L339">
        <v>10606.2</v>
      </c>
      <c r="M339">
        <v>1498.2</v>
      </c>
      <c r="N339" s="1">
        <v>38112</v>
      </c>
      <c r="O339" t="s">
        <v>25</v>
      </c>
      <c r="P339">
        <v>2</v>
      </c>
      <c r="Q339">
        <v>5</v>
      </c>
      <c r="R339">
        <v>2004</v>
      </c>
      <c r="S339" t="s">
        <v>83</v>
      </c>
    </row>
    <row r="340" spans="1:19" x14ac:dyDescent="0.25">
      <c r="A340">
        <v>10272</v>
      </c>
      <c r="B340" t="s">
        <v>191</v>
      </c>
      <c r="C340" t="s">
        <v>65</v>
      </c>
      <c r="D340" t="s">
        <v>66</v>
      </c>
      <c r="E340" t="s">
        <v>22</v>
      </c>
      <c r="F340" t="s">
        <v>23</v>
      </c>
      <c r="G340" t="s">
        <v>33</v>
      </c>
      <c r="H340">
        <v>2</v>
      </c>
      <c r="I340">
        <v>35</v>
      </c>
      <c r="J340">
        <v>100</v>
      </c>
      <c r="K340">
        <v>207</v>
      </c>
      <c r="L340">
        <v>5818.4</v>
      </c>
      <c r="M340">
        <v>-1426.6</v>
      </c>
      <c r="N340" s="1">
        <v>38188</v>
      </c>
      <c r="O340" t="s">
        <v>25</v>
      </c>
      <c r="P340">
        <v>3</v>
      </c>
      <c r="Q340">
        <v>7</v>
      </c>
      <c r="R340">
        <v>2004</v>
      </c>
      <c r="S340" t="s">
        <v>83</v>
      </c>
    </row>
    <row r="341" spans="1:19" x14ac:dyDescent="0.25">
      <c r="A341">
        <v>10413</v>
      </c>
      <c r="B341" t="s">
        <v>191</v>
      </c>
      <c r="C341" t="s">
        <v>54</v>
      </c>
      <c r="D341" t="s">
        <v>55</v>
      </c>
      <c r="E341" t="s">
        <v>22</v>
      </c>
      <c r="F341" t="s">
        <v>23</v>
      </c>
      <c r="G341" t="s">
        <v>70</v>
      </c>
      <c r="H341">
        <v>2</v>
      </c>
      <c r="I341">
        <v>36</v>
      </c>
      <c r="J341">
        <v>100</v>
      </c>
      <c r="K341">
        <v>207</v>
      </c>
      <c r="L341">
        <v>8677.7999999999993</v>
      </c>
      <c r="M341">
        <v>1225.8</v>
      </c>
      <c r="N341" s="1">
        <v>38477</v>
      </c>
      <c r="O341" t="s">
        <v>25</v>
      </c>
      <c r="P341">
        <v>2</v>
      </c>
      <c r="Q341">
        <v>5</v>
      </c>
      <c r="R341">
        <v>2005</v>
      </c>
      <c r="S341" t="s">
        <v>83</v>
      </c>
    </row>
    <row r="342" spans="1:19" x14ac:dyDescent="0.25">
      <c r="A342">
        <v>10113</v>
      </c>
      <c r="B342" t="s">
        <v>201</v>
      </c>
      <c r="C342" t="s">
        <v>115</v>
      </c>
      <c r="D342" t="s">
        <v>116</v>
      </c>
      <c r="E342" t="s">
        <v>22</v>
      </c>
      <c r="F342" t="s">
        <v>23</v>
      </c>
      <c r="G342" t="s">
        <v>33</v>
      </c>
      <c r="H342">
        <v>2</v>
      </c>
      <c r="I342">
        <v>21</v>
      </c>
      <c r="J342">
        <v>100</v>
      </c>
      <c r="K342">
        <v>136</v>
      </c>
      <c r="L342">
        <v>3415.44</v>
      </c>
      <c r="M342">
        <v>559.44000000000005</v>
      </c>
      <c r="N342" s="1">
        <v>37706</v>
      </c>
      <c r="O342" t="s">
        <v>25</v>
      </c>
      <c r="P342">
        <v>1</v>
      </c>
      <c r="Q342">
        <v>3</v>
      </c>
      <c r="R342">
        <v>2003</v>
      </c>
      <c r="S342" t="s">
        <v>202</v>
      </c>
    </row>
    <row r="343" spans="1:19" x14ac:dyDescent="0.25">
      <c r="A343">
        <v>10165</v>
      </c>
      <c r="B343" t="s">
        <v>209</v>
      </c>
      <c r="C343" t="s">
        <v>88</v>
      </c>
      <c r="D343" t="s">
        <v>89</v>
      </c>
      <c r="E343" t="s">
        <v>89</v>
      </c>
      <c r="F343" t="s">
        <v>50</v>
      </c>
      <c r="G343" t="s">
        <v>33</v>
      </c>
      <c r="H343">
        <v>2</v>
      </c>
      <c r="I343">
        <v>27</v>
      </c>
      <c r="J343">
        <v>100</v>
      </c>
      <c r="K343">
        <v>173</v>
      </c>
      <c r="L343">
        <v>5559.03</v>
      </c>
      <c r="M343">
        <v>888.03</v>
      </c>
      <c r="N343" s="1">
        <v>37916</v>
      </c>
      <c r="O343" t="s">
        <v>25</v>
      </c>
      <c r="P343">
        <v>4</v>
      </c>
      <c r="Q343">
        <v>10</v>
      </c>
      <c r="R343">
        <v>2003</v>
      </c>
      <c r="S343" t="s">
        <v>83</v>
      </c>
    </row>
    <row r="344" spans="1:19" x14ac:dyDescent="0.25">
      <c r="A344">
        <v>10219</v>
      </c>
      <c r="B344" t="s">
        <v>211</v>
      </c>
      <c r="C344" t="s">
        <v>214</v>
      </c>
      <c r="D344" t="s">
        <v>215</v>
      </c>
      <c r="E344" t="s">
        <v>22</v>
      </c>
      <c r="F344" t="s">
        <v>23</v>
      </c>
      <c r="G344" t="s">
        <v>33</v>
      </c>
      <c r="H344">
        <v>2</v>
      </c>
      <c r="I344">
        <v>48</v>
      </c>
      <c r="J344">
        <v>100</v>
      </c>
      <c r="K344">
        <v>118</v>
      </c>
      <c r="L344">
        <v>4891.68</v>
      </c>
      <c r="M344">
        <v>-772.32</v>
      </c>
      <c r="N344" s="1">
        <v>38027</v>
      </c>
      <c r="O344" t="s">
        <v>25</v>
      </c>
      <c r="P344">
        <v>1</v>
      </c>
      <c r="Q344">
        <v>2</v>
      </c>
      <c r="R344">
        <v>2004</v>
      </c>
      <c r="S344" t="s">
        <v>202</v>
      </c>
    </row>
    <row r="345" spans="1:19" x14ac:dyDescent="0.25">
      <c r="A345">
        <v>10300</v>
      </c>
      <c r="B345" t="s">
        <v>216</v>
      </c>
      <c r="C345" t="s">
        <v>187</v>
      </c>
      <c r="D345" t="s">
        <v>188</v>
      </c>
      <c r="E345" t="s">
        <v>180</v>
      </c>
      <c r="F345" t="s">
        <v>30</v>
      </c>
      <c r="G345" t="s">
        <v>24</v>
      </c>
      <c r="H345">
        <v>2</v>
      </c>
      <c r="I345">
        <v>23</v>
      </c>
      <c r="J345">
        <v>100</v>
      </c>
      <c r="K345">
        <v>115</v>
      </c>
      <c r="L345">
        <v>2807.61</v>
      </c>
      <c r="M345">
        <v>162.61000000000001</v>
      </c>
      <c r="N345" s="1">
        <v>37898</v>
      </c>
      <c r="O345" t="s">
        <v>25</v>
      </c>
      <c r="P345">
        <v>4</v>
      </c>
      <c r="Q345">
        <v>10</v>
      </c>
      <c r="R345">
        <v>2003</v>
      </c>
      <c r="S345" t="s">
        <v>83</v>
      </c>
    </row>
    <row r="346" spans="1:19" x14ac:dyDescent="0.25">
      <c r="A346">
        <v>10215</v>
      </c>
      <c r="B346" t="s">
        <v>219</v>
      </c>
      <c r="C346" t="s">
        <v>100</v>
      </c>
      <c r="D346" t="s">
        <v>101</v>
      </c>
      <c r="E346" t="s">
        <v>22</v>
      </c>
      <c r="F346" t="s">
        <v>23</v>
      </c>
      <c r="G346" t="s">
        <v>33</v>
      </c>
      <c r="H346">
        <v>2</v>
      </c>
      <c r="I346">
        <v>46</v>
      </c>
      <c r="J346">
        <v>100</v>
      </c>
      <c r="K346">
        <v>116</v>
      </c>
      <c r="L346">
        <v>5152</v>
      </c>
      <c r="M346">
        <v>-184</v>
      </c>
      <c r="N346" s="1">
        <v>38015</v>
      </c>
      <c r="O346" t="s">
        <v>25</v>
      </c>
      <c r="P346">
        <v>1</v>
      </c>
      <c r="Q346">
        <v>1</v>
      </c>
      <c r="R346">
        <v>2004</v>
      </c>
      <c r="S346" t="s">
        <v>202</v>
      </c>
    </row>
    <row r="347" spans="1:19" x14ac:dyDescent="0.25">
      <c r="A347">
        <v>10312</v>
      </c>
      <c r="B347" t="s">
        <v>219</v>
      </c>
      <c r="C347" t="s">
        <v>115</v>
      </c>
      <c r="D347" t="s">
        <v>116</v>
      </c>
      <c r="E347" t="s">
        <v>22</v>
      </c>
      <c r="F347" t="s">
        <v>23</v>
      </c>
      <c r="G347" t="s">
        <v>33</v>
      </c>
      <c r="H347">
        <v>2</v>
      </c>
      <c r="I347">
        <v>32</v>
      </c>
      <c r="J347">
        <v>100</v>
      </c>
      <c r="K347">
        <v>116</v>
      </c>
      <c r="L347">
        <v>4181.4399999999996</v>
      </c>
      <c r="M347">
        <v>469.44</v>
      </c>
      <c r="N347" s="1">
        <v>38281</v>
      </c>
      <c r="O347" t="s">
        <v>25</v>
      </c>
      <c r="P347">
        <v>4</v>
      </c>
      <c r="Q347">
        <v>10</v>
      </c>
      <c r="R347">
        <v>2004</v>
      </c>
      <c r="S347" t="s">
        <v>202</v>
      </c>
    </row>
    <row r="348" spans="1:19" x14ac:dyDescent="0.25">
      <c r="A348">
        <v>10381</v>
      </c>
      <c r="B348" t="s">
        <v>219</v>
      </c>
      <c r="C348" t="s">
        <v>36</v>
      </c>
      <c r="D348" t="s">
        <v>37</v>
      </c>
      <c r="E348" t="s">
        <v>22</v>
      </c>
      <c r="F348" t="s">
        <v>23</v>
      </c>
      <c r="G348" t="s">
        <v>33</v>
      </c>
      <c r="H348">
        <v>2</v>
      </c>
      <c r="I348">
        <v>48</v>
      </c>
      <c r="J348">
        <v>98</v>
      </c>
      <c r="K348">
        <v>116</v>
      </c>
      <c r="L348">
        <v>4704</v>
      </c>
      <c r="M348">
        <v>-864</v>
      </c>
      <c r="N348" s="1">
        <v>38400</v>
      </c>
      <c r="O348" t="s">
        <v>25</v>
      </c>
      <c r="P348">
        <v>1</v>
      </c>
      <c r="Q348">
        <v>2</v>
      </c>
      <c r="R348">
        <v>2005</v>
      </c>
      <c r="S348" t="s">
        <v>202</v>
      </c>
    </row>
    <row r="349" spans="1:19" x14ac:dyDescent="0.25">
      <c r="A349">
        <v>10122</v>
      </c>
      <c r="B349" t="s">
        <v>220</v>
      </c>
      <c r="C349" t="s">
        <v>176</v>
      </c>
      <c r="D349" t="s">
        <v>177</v>
      </c>
      <c r="E349" t="s">
        <v>29</v>
      </c>
      <c r="F349" t="s">
        <v>30</v>
      </c>
      <c r="G349" t="s">
        <v>33</v>
      </c>
      <c r="H349">
        <v>2</v>
      </c>
      <c r="I349">
        <v>34</v>
      </c>
      <c r="J349">
        <v>100</v>
      </c>
      <c r="K349">
        <v>141</v>
      </c>
      <c r="L349">
        <v>5004.8</v>
      </c>
      <c r="M349">
        <v>210.8</v>
      </c>
      <c r="N349" s="1">
        <v>37749</v>
      </c>
      <c r="O349" t="s">
        <v>25</v>
      </c>
      <c r="P349">
        <v>2</v>
      </c>
      <c r="Q349">
        <v>5</v>
      </c>
      <c r="R349">
        <v>2003</v>
      </c>
      <c r="S349" t="s">
        <v>83</v>
      </c>
    </row>
    <row r="350" spans="1:19" x14ac:dyDescent="0.25">
      <c r="A350">
        <v>10136</v>
      </c>
      <c r="B350" t="s">
        <v>220</v>
      </c>
      <c r="C350" t="s">
        <v>142</v>
      </c>
      <c r="D350" t="s">
        <v>143</v>
      </c>
      <c r="E350" t="s">
        <v>29</v>
      </c>
      <c r="F350" t="s">
        <v>30</v>
      </c>
      <c r="G350" t="s">
        <v>33</v>
      </c>
      <c r="H350">
        <v>2</v>
      </c>
      <c r="I350">
        <v>25</v>
      </c>
      <c r="J350">
        <v>100</v>
      </c>
      <c r="K350">
        <v>141</v>
      </c>
      <c r="L350">
        <v>3644.75</v>
      </c>
      <c r="M350">
        <v>119.75</v>
      </c>
      <c r="N350" s="1">
        <v>37806</v>
      </c>
      <c r="O350" t="s">
        <v>25</v>
      </c>
      <c r="P350">
        <v>3</v>
      </c>
      <c r="Q350">
        <v>7</v>
      </c>
      <c r="R350">
        <v>2003</v>
      </c>
      <c r="S350" t="s">
        <v>83</v>
      </c>
    </row>
    <row r="351" spans="1:19" x14ac:dyDescent="0.25">
      <c r="A351">
        <v>10171</v>
      </c>
      <c r="B351" t="s">
        <v>220</v>
      </c>
      <c r="C351" t="s">
        <v>123</v>
      </c>
      <c r="D351" t="s">
        <v>124</v>
      </c>
      <c r="E351" t="s">
        <v>99</v>
      </c>
      <c r="F351" t="s">
        <v>23</v>
      </c>
      <c r="G351" t="s">
        <v>33</v>
      </c>
      <c r="H351">
        <v>2</v>
      </c>
      <c r="I351">
        <v>35</v>
      </c>
      <c r="J351">
        <v>100</v>
      </c>
      <c r="K351">
        <v>141</v>
      </c>
      <c r="L351">
        <v>4508</v>
      </c>
      <c r="M351">
        <v>-427</v>
      </c>
      <c r="N351" s="1">
        <v>37930</v>
      </c>
      <c r="O351" t="s">
        <v>25</v>
      </c>
      <c r="P351">
        <v>4</v>
      </c>
      <c r="Q351">
        <v>11</v>
      </c>
      <c r="R351">
        <v>2003</v>
      </c>
      <c r="S351" t="s">
        <v>83</v>
      </c>
    </row>
    <row r="352" spans="1:19" x14ac:dyDescent="0.25">
      <c r="A352">
        <v>10310</v>
      </c>
      <c r="B352" t="s">
        <v>220</v>
      </c>
      <c r="C352" t="s">
        <v>178</v>
      </c>
      <c r="D352" t="s">
        <v>179</v>
      </c>
      <c r="E352" t="s">
        <v>180</v>
      </c>
      <c r="F352" t="s">
        <v>30</v>
      </c>
      <c r="G352" t="s">
        <v>33</v>
      </c>
      <c r="H352">
        <v>2</v>
      </c>
      <c r="I352">
        <v>37</v>
      </c>
      <c r="J352">
        <v>100</v>
      </c>
      <c r="K352">
        <v>141</v>
      </c>
      <c r="L352">
        <v>6231.91</v>
      </c>
      <c r="M352">
        <v>1014.91</v>
      </c>
      <c r="N352" s="1">
        <v>38276</v>
      </c>
      <c r="O352" t="s">
        <v>25</v>
      </c>
      <c r="P352">
        <v>4</v>
      </c>
      <c r="Q352">
        <v>10</v>
      </c>
      <c r="R352">
        <v>2004</v>
      </c>
      <c r="S352" t="s">
        <v>83</v>
      </c>
    </row>
    <row r="353" spans="1:19" x14ac:dyDescent="0.25">
      <c r="A353">
        <v>10342</v>
      </c>
      <c r="B353" t="s">
        <v>220</v>
      </c>
      <c r="C353" t="s">
        <v>47</v>
      </c>
      <c r="D353" t="s">
        <v>48</v>
      </c>
      <c r="E353" t="s">
        <v>49</v>
      </c>
      <c r="F353" t="s">
        <v>50</v>
      </c>
      <c r="G353" t="s">
        <v>33</v>
      </c>
      <c r="H353">
        <v>2</v>
      </c>
      <c r="I353">
        <v>40</v>
      </c>
      <c r="J353">
        <v>100</v>
      </c>
      <c r="K353">
        <v>141</v>
      </c>
      <c r="L353">
        <v>6454.4</v>
      </c>
      <c r="M353">
        <v>814.4</v>
      </c>
      <c r="N353" s="1">
        <v>38315</v>
      </c>
      <c r="O353" t="s">
        <v>25</v>
      </c>
      <c r="P353">
        <v>4</v>
      </c>
      <c r="Q353">
        <v>11</v>
      </c>
      <c r="R353">
        <v>2004</v>
      </c>
      <c r="S353" t="s">
        <v>83</v>
      </c>
    </row>
    <row r="354" spans="1:19" x14ac:dyDescent="0.25">
      <c r="A354">
        <v>10377</v>
      </c>
      <c r="B354" t="s">
        <v>220</v>
      </c>
      <c r="C354" t="s">
        <v>60</v>
      </c>
      <c r="D354" t="s">
        <v>61</v>
      </c>
      <c r="E354" t="s">
        <v>62</v>
      </c>
      <c r="F354" t="s">
        <v>30</v>
      </c>
      <c r="G354" t="s">
        <v>33</v>
      </c>
      <c r="H354">
        <v>2</v>
      </c>
      <c r="I354">
        <v>35</v>
      </c>
      <c r="J354">
        <v>100</v>
      </c>
      <c r="K354">
        <v>141</v>
      </c>
      <c r="L354">
        <v>5895.05</v>
      </c>
      <c r="M354">
        <v>960.05</v>
      </c>
      <c r="N354" s="1">
        <v>38392</v>
      </c>
      <c r="O354" t="s">
        <v>25</v>
      </c>
      <c r="P354">
        <v>1</v>
      </c>
      <c r="Q354">
        <v>2</v>
      </c>
      <c r="R354">
        <v>2005</v>
      </c>
      <c r="S354" t="s">
        <v>83</v>
      </c>
    </row>
    <row r="355" spans="1:19" x14ac:dyDescent="0.25">
      <c r="A355">
        <v>10102</v>
      </c>
      <c r="B355" t="s">
        <v>225</v>
      </c>
      <c r="C355" t="s">
        <v>51</v>
      </c>
      <c r="D355" t="s">
        <v>21</v>
      </c>
      <c r="E355" t="s">
        <v>22</v>
      </c>
      <c r="F355" t="s">
        <v>23</v>
      </c>
      <c r="G355" t="s">
        <v>33</v>
      </c>
      <c r="H355">
        <v>2</v>
      </c>
      <c r="I355">
        <v>39</v>
      </c>
      <c r="J355">
        <v>100</v>
      </c>
      <c r="K355">
        <v>102</v>
      </c>
      <c r="L355">
        <v>4808.3100000000004</v>
      </c>
      <c r="M355">
        <v>830.31</v>
      </c>
      <c r="N355" s="1">
        <v>37631</v>
      </c>
      <c r="O355" t="s">
        <v>25</v>
      </c>
      <c r="P355">
        <v>1</v>
      </c>
      <c r="Q355">
        <v>1</v>
      </c>
      <c r="R355">
        <v>2003</v>
      </c>
      <c r="S355" t="s">
        <v>226</v>
      </c>
    </row>
    <row r="356" spans="1:19" x14ac:dyDescent="0.25">
      <c r="A356">
        <v>10162</v>
      </c>
      <c r="B356" t="s">
        <v>225</v>
      </c>
      <c r="C356" t="s">
        <v>36</v>
      </c>
      <c r="D356" t="s">
        <v>37</v>
      </c>
      <c r="E356" t="s">
        <v>22</v>
      </c>
      <c r="F356" t="s">
        <v>23</v>
      </c>
      <c r="G356" t="s">
        <v>33</v>
      </c>
      <c r="H356">
        <v>2</v>
      </c>
      <c r="I356">
        <v>48</v>
      </c>
      <c r="J356">
        <v>91.44</v>
      </c>
      <c r="K356">
        <v>102</v>
      </c>
      <c r="L356">
        <v>4389.12</v>
      </c>
      <c r="M356">
        <v>-506.88</v>
      </c>
      <c r="N356" s="1">
        <v>37912</v>
      </c>
      <c r="O356" t="s">
        <v>25</v>
      </c>
      <c r="P356">
        <v>4</v>
      </c>
      <c r="Q356">
        <v>10</v>
      </c>
      <c r="R356">
        <v>2003</v>
      </c>
      <c r="S356" t="s">
        <v>226</v>
      </c>
    </row>
    <row r="357" spans="1:19" x14ac:dyDescent="0.25">
      <c r="A357">
        <v>10205</v>
      </c>
      <c r="B357" t="s">
        <v>225</v>
      </c>
      <c r="C357" t="s">
        <v>78</v>
      </c>
      <c r="D357" t="s">
        <v>79</v>
      </c>
      <c r="E357" t="s">
        <v>80</v>
      </c>
      <c r="F357" t="s">
        <v>30</v>
      </c>
      <c r="G357" t="s">
        <v>33</v>
      </c>
      <c r="H357">
        <v>2</v>
      </c>
      <c r="I357">
        <v>36</v>
      </c>
      <c r="J357">
        <v>100</v>
      </c>
      <c r="K357">
        <v>102</v>
      </c>
      <c r="L357">
        <v>3735.72</v>
      </c>
      <c r="M357">
        <v>63.72</v>
      </c>
      <c r="N357" s="1">
        <v>37958</v>
      </c>
      <c r="O357" t="s">
        <v>25</v>
      </c>
      <c r="P357">
        <v>4</v>
      </c>
      <c r="Q357">
        <v>12</v>
      </c>
      <c r="R357">
        <v>2003</v>
      </c>
      <c r="S357" t="s">
        <v>226</v>
      </c>
    </row>
    <row r="358" spans="1:19" x14ac:dyDescent="0.25">
      <c r="A358">
        <v>10256</v>
      </c>
      <c r="B358" t="s">
        <v>225</v>
      </c>
      <c r="C358" t="s">
        <v>135</v>
      </c>
      <c r="D358" t="s">
        <v>136</v>
      </c>
      <c r="E358" t="s">
        <v>137</v>
      </c>
      <c r="F358" t="s">
        <v>30</v>
      </c>
      <c r="G358" t="s">
        <v>33</v>
      </c>
      <c r="H358">
        <v>2</v>
      </c>
      <c r="I358">
        <v>34</v>
      </c>
      <c r="J358">
        <v>95.55</v>
      </c>
      <c r="K358">
        <v>102</v>
      </c>
      <c r="L358">
        <v>3248.7</v>
      </c>
      <c r="M358">
        <v>-219.3</v>
      </c>
      <c r="N358" s="1">
        <v>38146</v>
      </c>
      <c r="O358" t="s">
        <v>25</v>
      </c>
      <c r="P358">
        <v>2</v>
      </c>
      <c r="Q358">
        <v>6</v>
      </c>
      <c r="R358">
        <v>2004</v>
      </c>
      <c r="S358" t="s">
        <v>226</v>
      </c>
    </row>
    <row r="359" spans="1:19" x14ac:dyDescent="0.25">
      <c r="A359">
        <v>10289</v>
      </c>
      <c r="B359" t="s">
        <v>225</v>
      </c>
      <c r="C359" t="s">
        <v>42</v>
      </c>
      <c r="D359" t="s">
        <v>43</v>
      </c>
      <c r="E359" t="s">
        <v>44</v>
      </c>
      <c r="F359" t="s">
        <v>30</v>
      </c>
      <c r="G359" t="s">
        <v>33</v>
      </c>
      <c r="H359">
        <v>2</v>
      </c>
      <c r="I359">
        <v>38</v>
      </c>
      <c r="J359">
        <v>100</v>
      </c>
      <c r="K359">
        <v>102</v>
      </c>
      <c r="L359">
        <v>4567.9799999999996</v>
      </c>
      <c r="M359">
        <v>691.98</v>
      </c>
      <c r="N359" s="1">
        <v>38233</v>
      </c>
      <c r="O359" t="s">
        <v>25</v>
      </c>
      <c r="P359">
        <v>3</v>
      </c>
      <c r="Q359">
        <v>9</v>
      </c>
      <c r="R359">
        <v>2004</v>
      </c>
      <c r="S359" t="s">
        <v>226</v>
      </c>
    </row>
    <row r="360" spans="1:19" x14ac:dyDescent="0.25">
      <c r="A360">
        <v>10391</v>
      </c>
      <c r="B360" t="s">
        <v>225</v>
      </c>
      <c r="C360" t="s">
        <v>121</v>
      </c>
      <c r="D360" t="s">
        <v>122</v>
      </c>
      <c r="E360" t="s">
        <v>49</v>
      </c>
      <c r="F360" t="s">
        <v>50</v>
      </c>
      <c r="G360" t="s">
        <v>33</v>
      </c>
      <c r="H360">
        <v>2</v>
      </c>
      <c r="I360">
        <v>35</v>
      </c>
      <c r="J360">
        <v>100</v>
      </c>
      <c r="K360">
        <v>102</v>
      </c>
      <c r="L360">
        <v>5548.9</v>
      </c>
      <c r="M360">
        <v>1978.9</v>
      </c>
      <c r="N360" s="1">
        <v>38420</v>
      </c>
      <c r="O360" t="s">
        <v>25</v>
      </c>
      <c r="P360">
        <v>1</v>
      </c>
      <c r="Q360">
        <v>3</v>
      </c>
      <c r="R360">
        <v>2005</v>
      </c>
      <c r="S360" t="s">
        <v>226</v>
      </c>
    </row>
    <row r="361" spans="1:19" x14ac:dyDescent="0.25">
      <c r="A361">
        <v>10422</v>
      </c>
      <c r="B361" t="s">
        <v>225</v>
      </c>
      <c r="C361" t="s">
        <v>65</v>
      </c>
      <c r="D361" t="s">
        <v>66</v>
      </c>
      <c r="E361" t="s">
        <v>22</v>
      </c>
      <c r="F361" t="s">
        <v>23</v>
      </c>
      <c r="G361" t="s">
        <v>33</v>
      </c>
      <c r="H361">
        <v>2</v>
      </c>
      <c r="I361">
        <v>51</v>
      </c>
      <c r="J361">
        <v>95.55</v>
      </c>
      <c r="K361">
        <v>102</v>
      </c>
      <c r="L361">
        <v>4873.05</v>
      </c>
      <c r="M361">
        <v>-328.95</v>
      </c>
      <c r="N361" s="1">
        <v>38502</v>
      </c>
      <c r="O361" t="s">
        <v>125</v>
      </c>
      <c r="P361">
        <v>2</v>
      </c>
      <c r="Q361">
        <v>5</v>
      </c>
      <c r="R361">
        <v>2005</v>
      </c>
      <c r="S361" t="s">
        <v>226</v>
      </c>
    </row>
    <row r="362" spans="1:19" x14ac:dyDescent="0.25">
      <c r="A362">
        <v>10182</v>
      </c>
      <c r="B362" t="s">
        <v>231</v>
      </c>
      <c r="C362" t="s">
        <v>115</v>
      </c>
      <c r="D362" t="s">
        <v>116</v>
      </c>
      <c r="E362" t="s">
        <v>22</v>
      </c>
      <c r="F362" t="s">
        <v>23</v>
      </c>
      <c r="G362" t="s">
        <v>24</v>
      </c>
      <c r="H362">
        <v>2</v>
      </c>
      <c r="I362">
        <v>32</v>
      </c>
      <c r="J362">
        <v>54.45</v>
      </c>
      <c r="K362">
        <v>53</v>
      </c>
      <c r="L362">
        <v>1742.4</v>
      </c>
      <c r="M362">
        <v>46.4</v>
      </c>
      <c r="N362" s="1">
        <v>37937</v>
      </c>
      <c r="O362" t="s">
        <v>25</v>
      </c>
      <c r="P362">
        <v>4</v>
      </c>
      <c r="Q362">
        <v>11</v>
      </c>
      <c r="R362">
        <v>2003</v>
      </c>
      <c r="S362" t="s">
        <v>226</v>
      </c>
    </row>
    <row r="363" spans="1:19" x14ac:dyDescent="0.25">
      <c r="A363">
        <v>10227</v>
      </c>
      <c r="B363" t="s">
        <v>231</v>
      </c>
      <c r="C363" t="s">
        <v>95</v>
      </c>
      <c r="D363" t="s">
        <v>96</v>
      </c>
      <c r="E363" t="s">
        <v>29</v>
      </c>
      <c r="F363" t="s">
        <v>30</v>
      </c>
      <c r="G363" t="s">
        <v>24</v>
      </c>
      <c r="H363">
        <v>2</v>
      </c>
      <c r="I363">
        <v>31</v>
      </c>
      <c r="J363">
        <v>48.52</v>
      </c>
      <c r="K363">
        <v>53</v>
      </c>
      <c r="L363">
        <v>1504.12</v>
      </c>
      <c r="M363">
        <v>-138.88</v>
      </c>
      <c r="N363" s="1">
        <v>38048</v>
      </c>
      <c r="O363" t="s">
        <v>25</v>
      </c>
      <c r="P363">
        <v>1</v>
      </c>
      <c r="Q363">
        <v>3</v>
      </c>
      <c r="R363">
        <v>2004</v>
      </c>
      <c r="S363" t="s">
        <v>226</v>
      </c>
    </row>
    <row r="364" spans="1:19" x14ac:dyDescent="0.25">
      <c r="A364">
        <v>10123</v>
      </c>
      <c r="B364" t="s">
        <v>232</v>
      </c>
      <c r="C364" t="s">
        <v>130</v>
      </c>
      <c r="D364" t="s">
        <v>57</v>
      </c>
      <c r="E364" t="s">
        <v>29</v>
      </c>
      <c r="F364" t="s">
        <v>30</v>
      </c>
      <c r="G364" t="s">
        <v>33</v>
      </c>
      <c r="H364">
        <v>2</v>
      </c>
      <c r="I364">
        <v>26</v>
      </c>
      <c r="J364">
        <v>100</v>
      </c>
      <c r="K364">
        <v>124</v>
      </c>
      <c r="L364">
        <v>3073.72</v>
      </c>
      <c r="M364">
        <v>-150.28</v>
      </c>
      <c r="N364" s="1">
        <v>37761</v>
      </c>
      <c r="O364" t="s">
        <v>25</v>
      </c>
      <c r="P364">
        <v>2</v>
      </c>
      <c r="Q364">
        <v>5</v>
      </c>
      <c r="R364">
        <v>2003</v>
      </c>
      <c r="S364" t="s">
        <v>83</v>
      </c>
    </row>
    <row r="365" spans="1:19" x14ac:dyDescent="0.25">
      <c r="A365">
        <v>10137</v>
      </c>
      <c r="B365" t="s">
        <v>232</v>
      </c>
      <c r="C365" t="s">
        <v>27</v>
      </c>
      <c r="D365" t="s">
        <v>28</v>
      </c>
      <c r="E365" t="s">
        <v>29</v>
      </c>
      <c r="F365" t="s">
        <v>30</v>
      </c>
      <c r="G365" t="s">
        <v>33</v>
      </c>
      <c r="H365">
        <v>2</v>
      </c>
      <c r="I365">
        <v>44</v>
      </c>
      <c r="J365">
        <v>99.55</v>
      </c>
      <c r="K365">
        <v>124</v>
      </c>
      <c r="L365">
        <v>4380.2</v>
      </c>
      <c r="M365">
        <v>-1075.8</v>
      </c>
      <c r="N365" s="1">
        <v>37812</v>
      </c>
      <c r="O365" t="s">
        <v>25</v>
      </c>
      <c r="P365">
        <v>3</v>
      </c>
      <c r="Q365">
        <v>7</v>
      </c>
      <c r="R365">
        <v>2003</v>
      </c>
      <c r="S365" t="s">
        <v>83</v>
      </c>
    </row>
    <row r="366" spans="1:19" x14ac:dyDescent="0.25">
      <c r="A366">
        <v>10181</v>
      </c>
      <c r="B366" t="s">
        <v>232</v>
      </c>
      <c r="C366" t="s">
        <v>42</v>
      </c>
      <c r="D366" t="s">
        <v>43</v>
      </c>
      <c r="E366" t="s">
        <v>44</v>
      </c>
      <c r="F366" t="s">
        <v>30</v>
      </c>
      <c r="G366" t="s">
        <v>33</v>
      </c>
      <c r="H366">
        <v>2</v>
      </c>
      <c r="I366">
        <v>42</v>
      </c>
      <c r="J366">
        <v>100</v>
      </c>
      <c r="K366">
        <v>124</v>
      </c>
      <c r="L366">
        <v>5435.64</v>
      </c>
      <c r="M366">
        <v>227.64</v>
      </c>
      <c r="N366" s="1">
        <v>37937</v>
      </c>
      <c r="O366" t="s">
        <v>25</v>
      </c>
      <c r="P366">
        <v>4</v>
      </c>
      <c r="Q366">
        <v>11</v>
      </c>
      <c r="R366">
        <v>2003</v>
      </c>
      <c r="S366" t="s">
        <v>83</v>
      </c>
    </row>
    <row r="367" spans="1:19" x14ac:dyDescent="0.25">
      <c r="A367">
        <v>10266</v>
      </c>
      <c r="B367" t="s">
        <v>232</v>
      </c>
      <c r="C367" t="s">
        <v>184</v>
      </c>
      <c r="D367" t="s">
        <v>185</v>
      </c>
      <c r="E367" t="s">
        <v>110</v>
      </c>
      <c r="F367" t="s">
        <v>30</v>
      </c>
      <c r="G367" t="s">
        <v>33</v>
      </c>
      <c r="H367">
        <v>2</v>
      </c>
      <c r="I367">
        <v>36</v>
      </c>
      <c r="J367">
        <v>100</v>
      </c>
      <c r="K367">
        <v>124</v>
      </c>
      <c r="L367">
        <v>5196.6000000000004</v>
      </c>
      <c r="M367">
        <v>732.6</v>
      </c>
      <c r="N367" s="1">
        <v>38174</v>
      </c>
      <c r="O367" t="s">
        <v>25</v>
      </c>
      <c r="P367">
        <v>3</v>
      </c>
      <c r="Q367">
        <v>7</v>
      </c>
      <c r="R367">
        <v>2004</v>
      </c>
      <c r="S367" t="s">
        <v>83</v>
      </c>
    </row>
    <row r="368" spans="1:19" x14ac:dyDescent="0.25">
      <c r="A368">
        <v>10278</v>
      </c>
      <c r="B368" t="s">
        <v>232</v>
      </c>
      <c r="C368" t="s">
        <v>221</v>
      </c>
      <c r="D368" t="s">
        <v>222</v>
      </c>
      <c r="E368" t="s">
        <v>22</v>
      </c>
      <c r="F368" t="s">
        <v>23</v>
      </c>
      <c r="G368" t="s">
        <v>24</v>
      </c>
      <c r="H368">
        <v>2</v>
      </c>
      <c r="I368">
        <v>23</v>
      </c>
      <c r="J368">
        <v>100</v>
      </c>
      <c r="K368">
        <v>124</v>
      </c>
      <c r="L368">
        <v>2604.52</v>
      </c>
      <c r="M368">
        <v>-247.48</v>
      </c>
      <c r="N368" s="1">
        <v>38205</v>
      </c>
      <c r="O368" t="s">
        <v>25</v>
      </c>
      <c r="P368">
        <v>3</v>
      </c>
      <c r="Q368">
        <v>8</v>
      </c>
      <c r="R368">
        <v>2004</v>
      </c>
      <c r="S368" t="s">
        <v>83</v>
      </c>
    </row>
    <row r="369" spans="1:19" x14ac:dyDescent="0.25">
      <c r="A369">
        <v>10241</v>
      </c>
      <c r="B369" t="s">
        <v>240</v>
      </c>
      <c r="C369" t="s">
        <v>217</v>
      </c>
      <c r="D369" t="s">
        <v>218</v>
      </c>
      <c r="E369" t="s">
        <v>29</v>
      </c>
      <c r="F369" t="s">
        <v>30</v>
      </c>
      <c r="G369" t="s">
        <v>70</v>
      </c>
      <c r="H369">
        <v>2</v>
      </c>
      <c r="I369">
        <v>41</v>
      </c>
      <c r="J369">
        <v>100</v>
      </c>
      <c r="K369">
        <v>170</v>
      </c>
      <c r="L369">
        <v>7597.3</v>
      </c>
      <c r="M369">
        <v>627.29999999999995</v>
      </c>
      <c r="N369" s="1">
        <v>38090</v>
      </c>
      <c r="O369" t="s">
        <v>25</v>
      </c>
      <c r="P369">
        <v>2</v>
      </c>
      <c r="Q369">
        <v>4</v>
      </c>
      <c r="R369">
        <v>2004</v>
      </c>
      <c r="S369" t="s">
        <v>226</v>
      </c>
    </row>
    <row r="370" spans="1:19" x14ac:dyDescent="0.25">
      <c r="A370">
        <v>10379</v>
      </c>
      <c r="B370" t="s">
        <v>240</v>
      </c>
      <c r="C370" t="s">
        <v>78</v>
      </c>
      <c r="D370" t="s">
        <v>79</v>
      </c>
      <c r="E370" t="s">
        <v>80</v>
      </c>
      <c r="F370" t="s">
        <v>30</v>
      </c>
      <c r="G370" t="s">
        <v>33</v>
      </c>
      <c r="H370">
        <v>2</v>
      </c>
      <c r="I370">
        <v>39</v>
      </c>
      <c r="J370">
        <v>100</v>
      </c>
      <c r="K370">
        <v>170</v>
      </c>
      <c r="L370">
        <v>5399.55</v>
      </c>
      <c r="M370">
        <v>-1230.45</v>
      </c>
      <c r="N370" s="1">
        <v>38393</v>
      </c>
      <c r="O370" t="s">
        <v>25</v>
      </c>
      <c r="P370">
        <v>1</v>
      </c>
      <c r="Q370">
        <v>2</v>
      </c>
      <c r="R370">
        <v>2005</v>
      </c>
      <c r="S370" t="s">
        <v>226</v>
      </c>
    </row>
    <row r="371" spans="1:19" x14ac:dyDescent="0.25">
      <c r="A371">
        <v>10407</v>
      </c>
      <c r="B371" t="s">
        <v>240</v>
      </c>
      <c r="C371" t="s">
        <v>162</v>
      </c>
      <c r="D371" t="s">
        <v>163</v>
      </c>
      <c r="E371" t="s">
        <v>22</v>
      </c>
      <c r="F371" t="s">
        <v>23</v>
      </c>
      <c r="G371" t="s">
        <v>70</v>
      </c>
      <c r="H371">
        <v>2</v>
      </c>
      <c r="I371">
        <v>76</v>
      </c>
      <c r="J371">
        <v>100</v>
      </c>
      <c r="K371">
        <v>170</v>
      </c>
      <c r="L371">
        <v>14082.8</v>
      </c>
      <c r="M371">
        <v>1162.8</v>
      </c>
      <c r="N371" s="1">
        <v>38464</v>
      </c>
      <c r="O371" t="s">
        <v>164</v>
      </c>
      <c r="P371">
        <v>2</v>
      </c>
      <c r="Q371">
        <v>4</v>
      </c>
      <c r="R371">
        <v>2005</v>
      </c>
      <c r="S371" t="s">
        <v>226</v>
      </c>
    </row>
    <row r="372" spans="1:19" x14ac:dyDescent="0.25">
      <c r="A372">
        <v>10108</v>
      </c>
      <c r="B372" t="s">
        <v>241</v>
      </c>
      <c r="C372" t="s">
        <v>173</v>
      </c>
      <c r="D372" t="s">
        <v>174</v>
      </c>
      <c r="E372" t="s">
        <v>175</v>
      </c>
      <c r="F372" t="s">
        <v>50</v>
      </c>
      <c r="G372" t="s">
        <v>33</v>
      </c>
      <c r="H372">
        <v>2</v>
      </c>
      <c r="I372">
        <v>38</v>
      </c>
      <c r="J372">
        <v>82.39</v>
      </c>
      <c r="K372">
        <v>77</v>
      </c>
      <c r="L372">
        <v>3130.82</v>
      </c>
      <c r="M372">
        <v>204.82</v>
      </c>
      <c r="N372" s="1">
        <v>37683</v>
      </c>
      <c r="O372" t="s">
        <v>25</v>
      </c>
      <c r="P372">
        <v>1</v>
      </c>
      <c r="Q372">
        <v>3</v>
      </c>
      <c r="R372">
        <v>2003</v>
      </c>
      <c r="S372" t="s">
        <v>83</v>
      </c>
    </row>
    <row r="373" spans="1:19" x14ac:dyDescent="0.25">
      <c r="A373">
        <v>10170</v>
      </c>
      <c r="B373" t="s">
        <v>241</v>
      </c>
      <c r="C373" t="s">
        <v>167</v>
      </c>
      <c r="D373" t="s">
        <v>168</v>
      </c>
      <c r="E373" t="s">
        <v>69</v>
      </c>
      <c r="F373" t="s">
        <v>30</v>
      </c>
      <c r="G373" t="s">
        <v>24</v>
      </c>
      <c r="H373">
        <v>2</v>
      </c>
      <c r="I373">
        <v>20</v>
      </c>
      <c r="J373">
        <v>63.14</v>
      </c>
      <c r="K373">
        <v>77</v>
      </c>
      <c r="L373">
        <v>1262.8</v>
      </c>
      <c r="M373">
        <v>-277.2</v>
      </c>
      <c r="N373" s="1">
        <v>37929</v>
      </c>
      <c r="O373" t="s">
        <v>25</v>
      </c>
      <c r="P373">
        <v>4</v>
      </c>
      <c r="Q373">
        <v>11</v>
      </c>
      <c r="R373">
        <v>2003</v>
      </c>
      <c r="S373" t="s">
        <v>83</v>
      </c>
    </row>
    <row r="374" spans="1:19" x14ac:dyDescent="0.25">
      <c r="A374">
        <v>10240</v>
      </c>
      <c r="B374" t="s">
        <v>242</v>
      </c>
      <c r="C374" t="s">
        <v>127</v>
      </c>
      <c r="D374" t="s">
        <v>128</v>
      </c>
      <c r="E374" t="s">
        <v>107</v>
      </c>
      <c r="F374" t="s">
        <v>50</v>
      </c>
      <c r="G374" t="s">
        <v>33</v>
      </c>
      <c r="H374">
        <v>2</v>
      </c>
      <c r="I374">
        <v>37</v>
      </c>
      <c r="J374">
        <v>100</v>
      </c>
      <c r="K374">
        <v>142</v>
      </c>
      <c r="L374">
        <v>5526.32</v>
      </c>
      <c r="M374">
        <v>272.32</v>
      </c>
      <c r="N374" s="1">
        <v>38090</v>
      </c>
      <c r="O374" t="s">
        <v>25</v>
      </c>
      <c r="P374">
        <v>2</v>
      </c>
      <c r="Q374">
        <v>4</v>
      </c>
      <c r="R374">
        <v>2004</v>
      </c>
      <c r="S374" t="s">
        <v>83</v>
      </c>
    </row>
    <row r="375" spans="1:19" x14ac:dyDescent="0.25">
      <c r="A375">
        <v>10356</v>
      </c>
      <c r="B375" t="s">
        <v>242</v>
      </c>
      <c r="C375" t="s">
        <v>31</v>
      </c>
      <c r="D375" t="s">
        <v>32</v>
      </c>
      <c r="E375" t="s">
        <v>29</v>
      </c>
      <c r="F375" t="s">
        <v>30</v>
      </c>
      <c r="G375" t="s">
        <v>24</v>
      </c>
      <c r="H375">
        <v>2</v>
      </c>
      <c r="I375">
        <v>27</v>
      </c>
      <c r="J375">
        <v>64.69</v>
      </c>
      <c r="K375">
        <v>142</v>
      </c>
      <c r="L375">
        <v>1746.63</v>
      </c>
      <c r="M375">
        <v>-2087.37</v>
      </c>
      <c r="N375" s="1">
        <v>38330</v>
      </c>
      <c r="O375" t="s">
        <v>25</v>
      </c>
      <c r="P375">
        <v>4</v>
      </c>
      <c r="Q375">
        <v>12</v>
      </c>
      <c r="R375">
        <v>2004</v>
      </c>
      <c r="S375" t="s">
        <v>83</v>
      </c>
    </row>
    <row r="376" spans="1:19" x14ac:dyDescent="0.25">
      <c r="A376">
        <v>10406</v>
      </c>
      <c r="B376" t="s">
        <v>242</v>
      </c>
      <c r="C376" t="s">
        <v>135</v>
      </c>
      <c r="D376" t="s">
        <v>136</v>
      </c>
      <c r="E376" t="s">
        <v>137</v>
      </c>
      <c r="F376" t="s">
        <v>30</v>
      </c>
      <c r="G376" t="s">
        <v>70</v>
      </c>
      <c r="H376">
        <v>2</v>
      </c>
      <c r="I376">
        <v>48</v>
      </c>
      <c r="J376">
        <v>100</v>
      </c>
      <c r="K376">
        <v>142</v>
      </c>
      <c r="L376">
        <v>7169.28</v>
      </c>
      <c r="M376">
        <v>353.28</v>
      </c>
      <c r="N376" s="1">
        <v>38457</v>
      </c>
      <c r="O376" t="s">
        <v>81</v>
      </c>
      <c r="P376">
        <v>2</v>
      </c>
      <c r="Q376">
        <v>4</v>
      </c>
      <c r="R376">
        <v>2005</v>
      </c>
      <c r="S376" t="s">
        <v>83</v>
      </c>
    </row>
    <row r="377" spans="1:19" x14ac:dyDescent="0.25">
      <c r="A377">
        <v>10151</v>
      </c>
      <c r="B377" t="s">
        <v>243</v>
      </c>
      <c r="C377" t="s">
        <v>160</v>
      </c>
      <c r="D377" t="s">
        <v>161</v>
      </c>
      <c r="E377" t="s">
        <v>62</v>
      </c>
      <c r="F377" t="s">
        <v>30</v>
      </c>
      <c r="G377" t="s">
        <v>70</v>
      </c>
      <c r="H377">
        <v>2</v>
      </c>
      <c r="I377">
        <v>43</v>
      </c>
      <c r="J377">
        <v>100</v>
      </c>
      <c r="K377">
        <v>163</v>
      </c>
      <c r="L377">
        <v>7110.91</v>
      </c>
      <c r="M377">
        <v>101.91</v>
      </c>
      <c r="N377" s="1">
        <v>37885</v>
      </c>
      <c r="O377" t="s">
        <v>25</v>
      </c>
      <c r="P377">
        <v>3</v>
      </c>
      <c r="Q377">
        <v>9</v>
      </c>
      <c r="R377">
        <v>2003</v>
      </c>
      <c r="S377" t="s">
        <v>83</v>
      </c>
    </row>
    <row r="378" spans="1:19" x14ac:dyDescent="0.25">
      <c r="A378">
        <v>10100</v>
      </c>
      <c r="B378" t="s">
        <v>244</v>
      </c>
      <c r="C378" t="s">
        <v>117</v>
      </c>
      <c r="D378" t="s">
        <v>118</v>
      </c>
      <c r="E378" t="s">
        <v>22</v>
      </c>
      <c r="F378" t="s">
        <v>23</v>
      </c>
      <c r="G378" t="s">
        <v>33</v>
      </c>
      <c r="H378">
        <v>2</v>
      </c>
      <c r="I378">
        <v>50</v>
      </c>
      <c r="J378">
        <v>67.8</v>
      </c>
      <c r="K378">
        <v>60</v>
      </c>
      <c r="L378">
        <v>3390</v>
      </c>
      <c r="M378">
        <v>390</v>
      </c>
      <c r="N378" s="1">
        <v>37627</v>
      </c>
      <c r="O378" t="s">
        <v>25</v>
      </c>
      <c r="P378">
        <v>1</v>
      </c>
      <c r="Q378">
        <v>1</v>
      </c>
      <c r="R378">
        <v>2003</v>
      </c>
      <c r="S378" t="s">
        <v>226</v>
      </c>
    </row>
    <row r="379" spans="1:19" x14ac:dyDescent="0.25">
      <c r="A379">
        <v>10303</v>
      </c>
      <c r="B379" t="s">
        <v>244</v>
      </c>
      <c r="C379" t="s">
        <v>212</v>
      </c>
      <c r="D379" t="s">
        <v>213</v>
      </c>
      <c r="E379" t="s">
        <v>80</v>
      </c>
      <c r="F379" t="s">
        <v>30</v>
      </c>
      <c r="G379" t="s">
        <v>24</v>
      </c>
      <c r="H379">
        <v>2</v>
      </c>
      <c r="I379">
        <v>46</v>
      </c>
      <c r="J379">
        <v>49.04</v>
      </c>
      <c r="K379">
        <v>60</v>
      </c>
      <c r="L379">
        <v>2255.84</v>
      </c>
      <c r="M379">
        <v>-504.16</v>
      </c>
      <c r="N379" s="1">
        <v>38266</v>
      </c>
      <c r="O379" t="s">
        <v>25</v>
      </c>
      <c r="P379">
        <v>4</v>
      </c>
      <c r="Q379">
        <v>10</v>
      </c>
      <c r="R379">
        <v>2004</v>
      </c>
      <c r="S379" t="s">
        <v>226</v>
      </c>
    </row>
    <row r="380" spans="1:19" x14ac:dyDescent="0.25">
      <c r="A380">
        <v>10344</v>
      </c>
      <c r="B380" t="s">
        <v>244</v>
      </c>
      <c r="C380" t="s">
        <v>176</v>
      </c>
      <c r="D380" t="s">
        <v>177</v>
      </c>
      <c r="E380" t="s">
        <v>29</v>
      </c>
      <c r="F380" t="s">
        <v>30</v>
      </c>
      <c r="G380" t="s">
        <v>24</v>
      </c>
      <c r="H380">
        <v>2</v>
      </c>
      <c r="I380">
        <v>40</v>
      </c>
      <c r="J380">
        <v>56.91</v>
      </c>
      <c r="K380">
        <v>60</v>
      </c>
      <c r="L380">
        <v>2276.4</v>
      </c>
      <c r="M380">
        <v>-123.6</v>
      </c>
      <c r="N380" s="1">
        <v>38316</v>
      </c>
      <c r="O380" t="s">
        <v>25</v>
      </c>
      <c r="P380">
        <v>4</v>
      </c>
      <c r="Q380">
        <v>11</v>
      </c>
      <c r="R380">
        <v>2004</v>
      </c>
      <c r="S380" t="s">
        <v>226</v>
      </c>
    </row>
    <row r="381" spans="1:19" x14ac:dyDescent="0.25">
      <c r="A381">
        <v>10313</v>
      </c>
      <c r="B381" t="s">
        <v>245</v>
      </c>
      <c r="C381" t="s">
        <v>97</v>
      </c>
      <c r="D381" t="s">
        <v>98</v>
      </c>
      <c r="E381" t="s">
        <v>99</v>
      </c>
      <c r="F381" t="s">
        <v>23</v>
      </c>
      <c r="G381" t="s">
        <v>33</v>
      </c>
      <c r="H381">
        <v>2</v>
      </c>
      <c r="I381">
        <v>29</v>
      </c>
      <c r="J381">
        <v>100</v>
      </c>
      <c r="K381">
        <v>122</v>
      </c>
      <c r="L381">
        <v>3416.78</v>
      </c>
      <c r="M381">
        <v>-121.22</v>
      </c>
      <c r="N381" s="1">
        <v>38282</v>
      </c>
      <c r="O381" t="s">
        <v>25</v>
      </c>
      <c r="P381">
        <v>4</v>
      </c>
      <c r="Q381">
        <v>10</v>
      </c>
      <c r="R381">
        <v>2004</v>
      </c>
      <c r="S381" t="s">
        <v>202</v>
      </c>
    </row>
    <row r="382" spans="1:19" x14ac:dyDescent="0.25">
      <c r="A382">
        <v>10243</v>
      </c>
      <c r="B382" t="s">
        <v>246</v>
      </c>
      <c r="C382" t="s">
        <v>170</v>
      </c>
      <c r="D382" t="s">
        <v>157</v>
      </c>
      <c r="E382" t="s">
        <v>22</v>
      </c>
      <c r="F382" t="s">
        <v>23</v>
      </c>
      <c r="G382" t="s">
        <v>33</v>
      </c>
      <c r="H382">
        <v>2</v>
      </c>
      <c r="I382">
        <v>47</v>
      </c>
      <c r="J382">
        <v>100</v>
      </c>
      <c r="K382">
        <v>127</v>
      </c>
      <c r="L382">
        <v>6154.18</v>
      </c>
      <c r="M382">
        <v>185.18</v>
      </c>
      <c r="N382" s="1">
        <v>38103</v>
      </c>
      <c r="O382" t="s">
        <v>25</v>
      </c>
      <c r="P382">
        <v>2</v>
      </c>
      <c r="Q382">
        <v>4</v>
      </c>
      <c r="R382">
        <v>2004</v>
      </c>
      <c r="S382" t="s">
        <v>226</v>
      </c>
    </row>
    <row r="383" spans="1:19" x14ac:dyDescent="0.25">
      <c r="A383">
        <v>10288</v>
      </c>
      <c r="B383" t="s">
        <v>246</v>
      </c>
      <c r="C383" t="s">
        <v>171</v>
      </c>
      <c r="D383" t="s">
        <v>89</v>
      </c>
      <c r="E383" t="s">
        <v>89</v>
      </c>
      <c r="F383" t="s">
        <v>50</v>
      </c>
      <c r="G383" t="s">
        <v>33</v>
      </c>
      <c r="H383">
        <v>2</v>
      </c>
      <c r="I383">
        <v>31</v>
      </c>
      <c r="J383">
        <v>100</v>
      </c>
      <c r="K383">
        <v>127</v>
      </c>
      <c r="L383">
        <v>3822.92</v>
      </c>
      <c r="M383">
        <v>-114.08</v>
      </c>
      <c r="N383" s="1">
        <v>38231</v>
      </c>
      <c r="O383" t="s">
        <v>25</v>
      </c>
      <c r="P383">
        <v>3</v>
      </c>
      <c r="Q383">
        <v>9</v>
      </c>
      <c r="R383">
        <v>2004</v>
      </c>
      <c r="S383" t="s">
        <v>226</v>
      </c>
    </row>
    <row r="384" spans="1:19" x14ac:dyDescent="0.25">
      <c r="A384">
        <v>10409</v>
      </c>
      <c r="B384" t="s">
        <v>246</v>
      </c>
      <c r="C384" t="s">
        <v>171</v>
      </c>
      <c r="D384" t="s">
        <v>89</v>
      </c>
      <c r="E384" t="s">
        <v>89</v>
      </c>
      <c r="F384" t="s">
        <v>50</v>
      </c>
      <c r="G384" t="s">
        <v>24</v>
      </c>
      <c r="H384">
        <v>2</v>
      </c>
      <c r="I384">
        <v>6</v>
      </c>
      <c r="J384">
        <v>100</v>
      </c>
      <c r="K384">
        <v>127</v>
      </c>
      <c r="L384">
        <v>785.64</v>
      </c>
      <c r="M384">
        <v>23.64</v>
      </c>
      <c r="N384" s="1">
        <v>38465</v>
      </c>
      <c r="O384" t="s">
        <v>25</v>
      </c>
      <c r="P384">
        <v>2</v>
      </c>
      <c r="Q384">
        <v>4</v>
      </c>
      <c r="R384">
        <v>2005</v>
      </c>
      <c r="S384" t="s">
        <v>226</v>
      </c>
    </row>
    <row r="385" spans="1:19" x14ac:dyDescent="0.25">
      <c r="A385">
        <v>10420</v>
      </c>
      <c r="B385" t="s">
        <v>246</v>
      </c>
      <c r="C385" t="s">
        <v>71</v>
      </c>
      <c r="D385" t="s">
        <v>72</v>
      </c>
      <c r="E385" t="s">
        <v>49</v>
      </c>
      <c r="F385" t="s">
        <v>50</v>
      </c>
      <c r="G385" t="s">
        <v>33</v>
      </c>
      <c r="H385">
        <v>2</v>
      </c>
      <c r="I385">
        <v>45</v>
      </c>
      <c r="J385">
        <v>100</v>
      </c>
      <c r="K385">
        <v>127</v>
      </c>
      <c r="L385">
        <v>4977</v>
      </c>
      <c r="M385">
        <v>-738</v>
      </c>
      <c r="N385" s="1">
        <v>38501</v>
      </c>
      <c r="O385" t="s">
        <v>125</v>
      </c>
      <c r="P385">
        <v>2</v>
      </c>
      <c r="Q385">
        <v>5</v>
      </c>
      <c r="R385">
        <v>2005</v>
      </c>
      <c r="S385" t="s">
        <v>226</v>
      </c>
    </row>
    <row r="386" spans="1:19" x14ac:dyDescent="0.25">
      <c r="A386">
        <v>10103</v>
      </c>
      <c r="B386" t="s">
        <v>247</v>
      </c>
      <c r="C386" t="s">
        <v>63</v>
      </c>
      <c r="D386" t="s">
        <v>64</v>
      </c>
      <c r="E386" t="s">
        <v>44</v>
      </c>
      <c r="F386" t="s">
        <v>30</v>
      </c>
      <c r="G386" t="s">
        <v>24</v>
      </c>
      <c r="H386">
        <v>2</v>
      </c>
      <c r="I386">
        <v>22</v>
      </c>
      <c r="J386">
        <v>54.09</v>
      </c>
      <c r="K386">
        <v>60</v>
      </c>
      <c r="L386">
        <v>1189.98</v>
      </c>
      <c r="M386">
        <v>-130.02000000000001</v>
      </c>
      <c r="N386" s="1">
        <v>37650</v>
      </c>
      <c r="O386" t="s">
        <v>25</v>
      </c>
      <c r="P386">
        <v>1</v>
      </c>
      <c r="Q386">
        <v>1</v>
      </c>
      <c r="R386">
        <v>2003</v>
      </c>
      <c r="S386" t="s">
        <v>202</v>
      </c>
    </row>
    <row r="387" spans="1:19" x14ac:dyDescent="0.25">
      <c r="A387">
        <v>10126</v>
      </c>
      <c r="B387" t="s">
        <v>247</v>
      </c>
      <c r="C387" t="s">
        <v>87</v>
      </c>
      <c r="D387" t="s">
        <v>79</v>
      </c>
      <c r="E387" t="s">
        <v>80</v>
      </c>
      <c r="F387" t="s">
        <v>30</v>
      </c>
      <c r="G387" t="s">
        <v>24</v>
      </c>
      <c r="H387">
        <v>2</v>
      </c>
      <c r="I387">
        <v>43</v>
      </c>
      <c r="J387">
        <v>65.02</v>
      </c>
      <c r="K387">
        <v>60</v>
      </c>
      <c r="L387">
        <v>2795.86</v>
      </c>
      <c r="M387">
        <v>215.86</v>
      </c>
      <c r="N387" s="1">
        <v>37769</v>
      </c>
      <c r="O387" t="s">
        <v>25</v>
      </c>
      <c r="P387">
        <v>2</v>
      </c>
      <c r="Q387">
        <v>5</v>
      </c>
      <c r="R387">
        <v>2003</v>
      </c>
      <c r="S387" t="s">
        <v>202</v>
      </c>
    </row>
    <row r="388" spans="1:19" x14ac:dyDescent="0.25">
      <c r="A388">
        <v>10140</v>
      </c>
      <c r="B388" t="s">
        <v>247</v>
      </c>
      <c r="C388" t="s">
        <v>38</v>
      </c>
      <c r="D388" t="s">
        <v>39</v>
      </c>
      <c r="E388" t="s">
        <v>22</v>
      </c>
      <c r="F388" t="s">
        <v>23</v>
      </c>
      <c r="G388" t="s">
        <v>24</v>
      </c>
      <c r="H388">
        <v>2</v>
      </c>
      <c r="I388">
        <v>46</v>
      </c>
      <c r="J388">
        <v>61.99</v>
      </c>
      <c r="K388">
        <v>60</v>
      </c>
      <c r="L388">
        <v>2851.54</v>
      </c>
      <c r="M388">
        <v>91.54</v>
      </c>
      <c r="N388" s="1">
        <v>37826</v>
      </c>
      <c r="O388" t="s">
        <v>25</v>
      </c>
      <c r="P388">
        <v>3</v>
      </c>
      <c r="Q388">
        <v>7</v>
      </c>
      <c r="R388">
        <v>2003</v>
      </c>
      <c r="S388" t="s">
        <v>202</v>
      </c>
    </row>
    <row r="389" spans="1:19" x14ac:dyDescent="0.25">
      <c r="A389">
        <v>10194</v>
      </c>
      <c r="B389" t="s">
        <v>247</v>
      </c>
      <c r="C389" t="s">
        <v>95</v>
      </c>
      <c r="D389" t="s">
        <v>96</v>
      </c>
      <c r="E389" t="s">
        <v>29</v>
      </c>
      <c r="F389" t="s">
        <v>30</v>
      </c>
      <c r="G389" t="s">
        <v>33</v>
      </c>
      <c r="H389">
        <v>2</v>
      </c>
      <c r="I389">
        <v>45</v>
      </c>
      <c r="J389">
        <v>70.489999999999995</v>
      </c>
      <c r="K389">
        <v>60</v>
      </c>
      <c r="L389">
        <v>3172.05</v>
      </c>
      <c r="M389">
        <v>472.05</v>
      </c>
      <c r="N389" s="1">
        <v>37950</v>
      </c>
      <c r="O389" t="s">
        <v>25</v>
      </c>
      <c r="P389">
        <v>4</v>
      </c>
      <c r="Q389">
        <v>11</v>
      </c>
      <c r="R389">
        <v>2003</v>
      </c>
      <c r="S389" t="s">
        <v>202</v>
      </c>
    </row>
    <row r="390" spans="1:19" x14ac:dyDescent="0.25">
      <c r="A390">
        <v>10217</v>
      </c>
      <c r="B390" t="s">
        <v>247</v>
      </c>
      <c r="C390" t="s">
        <v>171</v>
      </c>
      <c r="D390" t="s">
        <v>89</v>
      </c>
      <c r="E390" t="s">
        <v>89</v>
      </c>
      <c r="F390" t="s">
        <v>50</v>
      </c>
      <c r="G390" t="s">
        <v>24</v>
      </c>
      <c r="H390">
        <v>2</v>
      </c>
      <c r="I390">
        <v>35</v>
      </c>
      <c r="J390">
        <v>61.38</v>
      </c>
      <c r="K390">
        <v>60</v>
      </c>
      <c r="L390">
        <v>2148.3000000000002</v>
      </c>
      <c r="M390">
        <v>48.3</v>
      </c>
      <c r="N390" s="1">
        <v>38021</v>
      </c>
      <c r="O390" t="s">
        <v>25</v>
      </c>
      <c r="P390">
        <v>1</v>
      </c>
      <c r="Q390">
        <v>2</v>
      </c>
      <c r="R390">
        <v>2004</v>
      </c>
      <c r="S390" t="s">
        <v>202</v>
      </c>
    </row>
    <row r="391" spans="1:19" x14ac:dyDescent="0.25">
      <c r="A391">
        <v>10291</v>
      </c>
      <c r="B391" t="s">
        <v>247</v>
      </c>
      <c r="C391" t="s">
        <v>111</v>
      </c>
      <c r="D391" t="s">
        <v>112</v>
      </c>
      <c r="E391" t="s">
        <v>86</v>
      </c>
      <c r="F391" t="s">
        <v>30</v>
      </c>
      <c r="G391" t="s">
        <v>24</v>
      </c>
      <c r="H391">
        <v>2</v>
      </c>
      <c r="I391">
        <v>26</v>
      </c>
      <c r="J391">
        <v>57.73</v>
      </c>
      <c r="K391">
        <v>60</v>
      </c>
      <c r="L391">
        <v>1500.98</v>
      </c>
      <c r="M391">
        <v>-59.02</v>
      </c>
      <c r="N391" s="1">
        <v>38238</v>
      </c>
      <c r="O391" t="s">
        <v>25</v>
      </c>
      <c r="P391">
        <v>3</v>
      </c>
      <c r="Q391">
        <v>9</v>
      </c>
      <c r="R391">
        <v>2004</v>
      </c>
      <c r="S391" t="s">
        <v>202</v>
      </c>
    </row>
    <row r="392" spans="1:19" x14ac:dyDescent="0.25">
      <c r="A392">
        <v>10106</v>
      </c>
      <c r="B392" t="s">
        <v>248</v>
      </c>
      <c r="C392" t="s">
        <v>227</v>
      </c>
      <c r="D392" t="s">
        <v>228</v>
      </c>
      <c r="E392" t="s">
        <v>110</v>
      </c>
      <c r="F392" t="s">
        <v>30</v>
      </c>
      <c r="G392" t="s">
        <v>33</v>
      </c>
      <c r="H392">
        <v>2</v>
      </c>
      <c r="I392">
        <v>34</v>
      </c>
      <c r="J392">
        <v>90.39</v>
      </c>
      <c r="K392">
        <v>84</v>
      </c>
      <c r="L392">
        <v>3073.26</v>
      </c>
      <c r="M392">
        <v>217.26</v>
      </c>
      <c r="N392" s="1">
        <v>37669</v>
      </c>
      <c r="O392" t="s">
        <v>25</v>
      </c>
      <c r="P392">
        <v>1</v>
      </c>
      <c r="Q392">
        <v>2</v>
      </c>
      <c r="R392">
        <v>2003</v>
      </c>
      <c r="S392" t="s">
        <v>234</v>
      </c>
    </row>
    <row r="393" spans="1:19" x14ac:dyDescent="0.25">
      <c r="A393">
        <v>10339</v>
      </c>
      <c r="B393" t="s">
        <v>248</v>
      </c>
      <c r="C393" t="s">
        <v>105</v>
      </c>
      <c r="D393" t="s">
        <v>106</v>
      </c>
      <c r="E393" t="s">
        <v>107</v>
      </c>
      <c r="F393" t="s">
        <v>50</v>
      </c>
      <c r="G393" t="s">
        <v>24</v>
      </c>
      <c r="H393">
        <v>2</v>
      </c>
      <c r="I393">
        <v>27</v>
      </c>
      <c r="J393">
        <v>100</v>
      </c>
      <c r="K393">
        <v>84</v>
      </c>
      <c r="L393">
        <v>2810.7</v>
      </c>
      <c r="M393">
        <v>542.70000000000005</v>
      </c>
      <c r="N393" s="1">
        <v>38314</v>
      </c>
      <c r="O393" t="s">
        <v>25</v>
      </c>
      <c r="P393">
        <v>4</v>
      </c>
      <c r="Q393">
        <v>11</v>
      </c>
      <c r="R393">
        <v>2004</v>
      </c>
      <c r="S393" t="s">
        <v>234</v>
      </c>
    </row>
    <row r="394" spans="1:19" x14ac:dyDescent="0.25">
      <c r="A394">
        <v>10374</v>
      </c>
      <c r="B394" t="s">
        <v>248</v>
      </c>
      <c r="C394" t="s">
        <v>91</v>
      </c>
      <c r="D394" t="s">
        <v>92</v>
      </c>
      <c r="E394" t="s">
        <v>49</v>
      </c>
      <c r="F394" t="s">
        <v>50</v>
      </c>
      <c r="G394" t="s">
        <v>24</v>
      </c>
      <c r="H394">
        <v>2</v>
      </c>
      <c r="I394">
        <v>42</v>
      </c>
      <c r="J394">
        <v>69.27</v>
      </c>
      <c r="K394">
        <v>84</v>
      </c>
      <c r="L394">
        <v>2909.34</v>
      </c>
      <c r="M394">
        <v>-618.66</v>
      </c>
      <c r="N394" s="1">
        <v>38385</v>
      </c>
      <c r="O394" t="s">
        <v>25</v>
      </c>
      <c r="P394">
        <v>1</v>
      </c>
      <c r="Q394">
        <v>2</v>
      </c>
      <c r="R394">
        <v>2005</v>
      </c>
      <c r="S394" t="s">
        <v>234</v>
      </c>
    </row>
    <row r="395" spans="1:19" x14ac:dyDescent="0.25">
      <c r="A395">
        <v>10236</v>
      </c>
      <c r="B395" t="s">
        <v>249</v>
      </c>
      <c r="C395" t="s">
        <v>129</v>
      </c>
      <c r="D395" t="s">
        <v>94</v>
      </c>
      <c r="E395" t="s">
        <v>22</v>
      </c>
      <c r="F395" t="s">
        <v>23</v>
      </c>
      <c r="G395" t="s">
        <v>24</v>
      </c>
      <c r="H395">
        <v>2</v>
      </c>
      <c r="I395">
        <v>23</v>
      </c>
      <c r="J395">
        <v>55.72</v>
      </c>
      <c r="K395">
        <v>60</v>
      </c>
      <c r="L395">
        <v>1281.56</v>
      </c>
      <c r="M395">
        <v>-98.44</v>
      </c>
      <c r="N395" s="1">
        <v>38080</v>
      </c>
      <c r="O395" t="s">
        <v>25</v>
      </c>
      <c r="P395">
        <v>2</v>
      </c>
      <c r="Q395">
        <v>4</v>
      </c>
      <c r="R395">
        <v>2004</v>
      </c>
      <c r="S395" t="s">
        <v>26</v>
      </c>
    </row>
    <row r="396" spans="1:19" x14ac:dyDescent="0.25">
      <c r="A396">
        <v>10298</v>
      </c>
      <c r="B396" t="s">
        <v>249</v>
      </c>
      <c r="C396" t="s">
        <v>130</v>
      </c>
      <c r="D396" t="s">
        <v>57</v>
      </c>
      <c r="E396" t="s">
        <v>29</v>
      </c>
      <c r="F396" t="s">
        <v>30</v>
      </c>
      <c r="G396" t="s">
        <v>24</v>
      </c>
      <c r="H396">
        <v>2</v>
      </c>
      <c r="I396">
        <v>32</v>
      </c>
      <c r="J396">
        <v>48.46</v>
      </c>
      <c r="K396">
        <v>60</v>
      </c>
      <c r="L396">
        <v>1550.72</v>
      </c>
      <c r="M396">
        <v>-369.28</v>
      </c>
      <c r="N396" s="1">
        <v>38257</v>
      </c>
      <c r="O396" t="s">
        <v>25</v>
      </c>
      <c r="P396">
        <v>3</v>
      </c>
      <c r="Q396">
        <v>9</v>
      </c>
      <c r="R396">
        <v>2004</v>
      </c>
      <c r="S396" t="s">
        <v>26</v>
      </c>
    </row>
    <row r="397" spans="1:19" x14ac:dyDescent="0.25">
      <c r="A397">
        <v>10402</v>
      </c>
      <c r="B397" t="s">
        <v>249</v>
      </c>
      <c r="C397" t="s">
        <v>46</v>
      </c>
      <c r="D397" t="s">
        <v>32</v>
      </c>
      <c r="E397" t="s">
        <v>29</v>
      </c>
      <c r="F397" t="s">
        <v>30</v>
      </c>
      <c r="G397" t="s">
        <v>33</v>
      </c>
      <c r="H397">
        <v>2</v>
      </c>
      <c r="I397">
        <v>55</v>
      </c>
      <c r="J397">
        <v>55.72</v>
      </c>
      <c r="K397">
        <v>60</v>
      </c>
      <c r="L397">
        <v>3064.6</v>
      </c>
      <c r="M397">
        <v>-235.4</v>
      </c>
      <c r="N397" s="1">
        <v>38449</v>
      </c>
      <c r="O397" t="s">
        <v>25</v>
      </c>
      <c r="P397">
        <v>2</v>
      </c>
      <c r="Q397">
        <v>4</v>
      </c>
      <c r="R397">
        <v>2005</v>
      </c>
      <c r="S397" t="s">
        <v>26</v>
      </c>
    </row>
    <row r="398" spans="1:19" x14ac:dyDescent="0.25">
      <c r="A398">
        <v>10125</v>
      </c>
      <c r="B398" t="s">
        <v>250</v>
      </c>
      <c r="C398" t="s">
        <v>47</v>
      </c>
      <c r="D398" t="s">
        <v>48</v>
      </c>
      <c r="E398" t="s">
        <v>49</v>
      </c>
      <c r="F398" t="s">
        <v>50</v>
      </c>
      <c r="G398" t="s">
        <v>33</v>
      </c>
      <c r="H398">
        <v>2</v>
      </c>
      <c r="I398">
        <v>34</v>
      </c>
      <c r="J398">
        <v>100</v>
      </c>
      <c r="K398">
        <v>168</v>
      </c>
      <c r="L398">
        <v>6483.46</v>
      </c>
      <c r="M398">
        <v>771.46</v>
      </c>
      <c r="N398" s="1">
        <v>37762</v>
      </c>
      <c r="O398" t="s">
        <v>25</v>
      </c>
      <c r="P398">
        <v>2</v>
      </c>
      <c r="Q398">
        <v>5</v>
      </c>
      <c r="R398">
        <v>2003</v>
      </c>
      <c r="S398" t="s">
        <v>226</v>
      </c>
    </row>
    <row r="399" spans="1:19" x14ac:dyDescent="0.25">
      <c r="A399">
        <v>10322</v>
      </c>
      <c r="B399" t="s">
        <v>250</v>
      </c>
      <c r="C399" t="s">
        <v>117</v>
      </c>
      <c r="D399" t="s">
        <v>118</v>
      </c>
      <c r="E399" t="s">
        <v>22</v>
      </c>
      <c r="F399" t="s">
        <v>23</v>
      </c>
      <c r="G399" t="s">
        <v>33</v>
      </c>
      <c r="H399">
        <v>2</v>
      </c>
      <c r="I399">
        <v>36</v>
      </c>
      <c r="J399">
        <v>100</v>
      </c>
      <c r="K399">
        <v>168</v>
      </c>
      <c r="L399">
        <v>5797.44</v>
      </c>
      <c r="M399">
        <v>-250.56</v>
      </c>
      <c r="N399" s="1">
        <v>38295</v>
      </c>
      <c r="O399" t="s">
        <v>25</v>
      </c>
      <c r="P399">
        <v>4</v>
      </c>
      <c r="Q399">
        <v>11</v>
      </c>
      <c r="R399">
        <v>2004</v>
      </c>
      <c r="S399" t="s">
        <v>226</v>
      </c>
    </row>
    <row r="400" spans="1:19" x14ac:dyDescent="0.25">
      <c r="A400">
        <v>10253</v>
      </c>
      <c r="B400" t="s">
        <v>251</v>
      </c>
      <c r="C400" t="s">
        <v>75</v>
      </c>
      <c r="D400" t="s">
        <v>76</v>
      </c>
      <c r="E400" t="s">
        <v>77</v>
      </c>
      <c r="F400" t="s">
        <v>30</v>
      </c>
      <c r="G400" t="s">
        <v>33</v>
      </c>
      <c r="H400">
        <v>2</v>
      </c>
      <c r="I400">
        <v>37</v>
      </c>
      <c r="J400">
        <v>100</v>
      </c>
      <c r="K400">
        <v>132</v>
      </c>
      <c r="L400">
        <v>5177.04</v>
      </c>
      <c r="M400">
        <v>293.04000000000002</v>
      </c>
      <c r="N400" s="1">
        <v>38139</v>
      </c>
      <c r="O400" t="s">
        <v>141</v>
      </c>
      <c r="P400">
        <v>2</v>
      </c>
      <c r="Q400">
        <v>6</v>
      </c>
      <c r="R400">
        <v>2004</v>
      </c>
      <c r="S400" t="s">
        <v>83</v>
      </c>
    </row>
    <row r="401" spans="1:19" x14ac:dyDescent="0.25">
      <c r="A401">
        <v>10366</v>
      </c>
      <c r="B401" t="s">
        <v>251</v>
      </c>
      <c r="C401" t="s">
        <v>238</v>
      </c>
      <c r="D401" t="s">
        <v>239</v>
      </c>
      <c r="E401" t="s">
        <v>153</v>
      </c>
      <c r="F401" t="s">
        <v>30</v>
      </c>
      <c r="G401" t="s">
        <v>33</v>
      </c>
      <c r="H401">
        <v>2</v>
      </c>
      <c r="I401">
        <v>49</v>
      </c>
      <c r="J401">
        <v>100</v>
      </c>
      <c r="K401">
        <v>132</v>
      </c>
      <c r="L401">
        <v>6144.6</v>
      </c>
      <c r="M401">
        <v>-323.39999999999998</v>
      </c>
      <c r="N401" s="1">
        <v>38362</v>
      </c>
      <c r="O401" t="s">
        <v>25</v>
      </c>
      <c r="P401">
        <v>1</v>
      </c>
      <c r="Q401">
        <v>1</v>
      </c>
      <c r="R401">
        <v>2005</v>
      </c>
      <c r="S401" t="s">
        <v>83</v>
      </c>
    </row>
    <row r="402" spans="1:19" x14ac:dyDescent="0.25">
      <c r="A402">
        <v>10419</v>
      </c>
      <c r="B402" t="s">
        <v>251</v>
      </c>
      <c r="C402" t="s">
        <v>67</v>
      </c>
      <c r="D402" t="s">
        <v>68</v>
      </c>
      <c r="E402" t="s">
        <v>69</v>
      </c>
      <c r="F402" t="s">
        <v>30</v>
      </c>
      <c r="G402" t="s">
        <v>70</v>
      </c>
      <c r="H402">
        <v>2</v>
      </c>
      <c r="I402">
        <v>55</v>
      </c>
      <c r="J402">
        <v>100</v>
      </c>
      <c r="K402">
        <v>132</v>
      </c>
      <c r="L402">
        <v>7695.6</v>
      </c>
      <c r="M402">
        <v>435.6</v>
      </c>
      <c r="N402" s="1">
        <v>38489</v>
      </c>
      <c r="O402" t="s">
        <v>25</v>
      </c>
      <c r="P402">
        <v>2</v>
      </c>
      <c r="Q402">
        <v>5</v>
      </c>
      <c r="R402">
        <v>2005</v>
      </c>
      <c r="S402" t="s">
        <v>83</v>
      </c>
    </row>
    <row r="403" spans="1:19" x14ac:dyDescent="0.25">
      <c r="A403">
        <v>10112</v>
      </c>
      <c r="B403" t="s">
        <v>252</v>
      </c>
      <c r="C403" t="s">
        <v>84</v>
      </c>
      <c r="D403" t="s">
        <v>85</v>
      </c>
      <c r="E403" t="s">
        <v>86</v>
      </c>
      <c r="F403" t="s">
        <v>30</v>
      </c>
      <c r="G403" t="s">
        <v>24</v>
      </c>
      <c r="H403">
        <v>2</v>
      </c>
      <c r="I403">
        <v>23</v>
      </c>
      <c r="J403">
        <v>100</v>
      </c>
      <c r="K403">
        <v>101</v>
      </c>
      <c r="L403">
        <v>2539.89</v>
      </c>
      <c r="M403">
        <v>216.89</v>
      </c>
      <c r="N403" s="1">
        <v>37704</v>
      </c>
      <c r="O403" t="s">
        <v>25</v>
      </c>
      <c r="P403">
        <v>1</v>
      </c>
      <c r="Q403">
        <v>3</v>
      </c>
      <c r="R403">
        <v>2003</v>
      </c>
      <c r="S403" t="s">
        <v>226</v>
      </c>
    </row>
    <row r="404" spans="1:19" x14ac:dyDescent="0.25">
      <c r="A404">
        <v>10163</v>
      </c>
      <c r="B404" t="s">
        <v>252</v>
      </c>
      <c r="C404" t="s">
        <v>90</v>
      </c>
      <c r="D404" t="s">
        <v>21</v>
      </c>
      <c r="E404" t="s">
        <v>22</v>
      </c>
      <c r="F404" t="s">
        <v>23</v>
      </c>
      <c r="G404" t="s">
        <v>33</v>
      </c>
      <c r="H404">
        <v>2</v>
      </c>
      <c r="I404">
        <v>31</v>
      </c>
      <c r="J404">
        <v>100</v>
      </c>
      <c r="K404">
        <v>101</v>
      </c>
      <c r="L404">
        <v>3329.09</v>
      </c>
      <c r="M404">
        <v>198.09</v>
      </c>
      <c r="N404" s="1">
        <v>37914</v>
      </c>
      <c r="O404" t="s">
        <v>25</v>
      </c>
      <c r="P404">
        <v>4</v>
      </c>
      <c r="Q404">
        <v>10</v>
      </c>
      <c r="R404">
        <v>2003</v>
      </c>
      <c r="S404" t="s">
        <v>226</v>
      </c>
    </row>
    <row r="405" spans="1:19" x14ac:dyDescent="0.25">
      <c r="A405">
        <v>10111</v>
      </c>
      <c r="B405" t="s">
        <v>253</v>
      </c>
      <c r="C405" t="s">
        <v>45</v>
      </c>
      <c r="D405" t="s">
        <v>37</v>
      </c>
      <c r="E405" t="s">
        <v>22</v>
      </c>
      <c r="F405" t="s">
        <v>23</v>
      </c>
      <c r="G405" t="s">
        <v>24</v>
      </c>
      <c r="H405">
        <v>2</v>
      </c>
      <c r="I405">
        <v>28</v>
      </c>
      <c r="J405">
        <v>64.33</v>
      </c>
      <c r="K405">
        <v>62</v>
      </c>
      <c r="L405">
        <v>1801.24</v>
      </c>
      <c r="M405">
        <v>65.239999999999995</v>
      </c>
      <c r="N405" s="1">
        <v>37705</v>
      </c>
      <c r="O405" t="s">
        <v>25</v>
      </c>
      <c r="P405">
        <v>1</v>
      </c>
      <c r="Q405">
        <v>3</v>
      </c>
      <c r="R405">
        <v>2003</v>
      </c>
      <c r="S405" t="s">
        <v>226</v>
      </c>
    </row>
    <row r="406" spans="1:19" x14ac:dyDescent="0.25">
      <c r="A406">
        <v>10173</v>
      </c>
      <c r="B406" t="s">
        <v>253</v>
      </c>
      <c r="C406" t="s">
        <v>227</v>
      </c>
      <c r="D406" t="s">
        <v>228</v>
      </c>
      <c r="E406" t="s">
        <v>110</v>
      </c>
      <c r="F406" t="s">
        <v>30</v>
      </c>
      <c r="G406" t="s">
        <v>24</v>
      </c>
      <c r="H406">
        <v>2</v>
      </c>
      <c r="I406">
        <v>28</v>
      </c>
      <c r="J406">
        <v>53.72</v>
      </c>
      <c r="K406">
        <v>62</v>
      </c>
      <c r="L406">
        <v>1504.16</v>
      </c>
      <c r="M406">
        <v>-231.84</v>
      </c>
      <c r="N406" s="1">
        <v>37930</v>
      </c>
      <c r="O406" t="s">
        <v>25</v>
      </c>
      <c r="P406">
        <v>4</v>
      </c>
      <c r="Q406">
        <v>11</v>
      </c>
      <c r="R406">
        <v>2003</v>
      </c>
      <c r="S406" t="s">
        <v>226</v>
      </c>
    </row>
    <row r="407" spans="1:19" x14ac:dyDescent="0.25">
      <c r="A407">
        <v>10130</v>
      </c>
      <c r="B407" t="s">
        <v>254</v>
      </c>
      <c r="C407" t="s">
        <v>256</v>
      </c>
      <c r="D407" t="s">
        <v>120</v>
      </c>
      <c r="E407" t="s">
        <v>22</v>
      </c>
      <c r="F407" t="s">
        <v>23</v>
      </c>
      <c r="G407" t="s">
        <v>33</v>
      </c>
      <c r="H407">
        <v>2</v>
      </c>
      <c r="I407">
        <v>40</v>
      </c>
      <c r="J407">
        <v>96.34</v>
      </c>
      <c r="K407">
        <v>86</v>
      </c>
      <c r="L407">
        <v>3853.6</v>
      </c>
      <c r="M407">
        <v>413.6</v>
      </c>
      <c r="N407" s="1">
        <v>37788</v>
      </c>
      <c r="O407" t="s">
        <v>25</v>
      </c>
      <c r="P407">
        <v>2</v>
      </c>
      <c r="Q407">
        <v>6</v>
      </c>
      <c r="R407">
        <v>2003</v>
      </c>
      <c r="S407" t="s">
        <v>255</v>
      </c>
    </row>
    <row r="408" spans="1:19" x14ac:dyDescent="0.25">
      <c r="A408">
        <v>10273</v>
      </c>
      <c r="B408" t="s">
        <v>254</v>
      </c>
      <c r="C408" t="s">
        <v>151</v>
      </c>
      <c r="D408" t="s">
        <v>152</v>
      </c>
      <c r="E408" t="s">
        <v>153</v>
      </c>
      <c r="F408" t="s">
        <v>30</v>
      </c>
      <c r="G408" t="s">
        <v>33</v>
      </c>
      <c r="H408">
        <v>2</v>
      </c>
      <c r="I408">
        <v>34</v>
      </c>
      <c r="J408">
        <v>98.06</v>
      </c>
      <c r="K408">
        <v>86</v>
      </c>
      <c r="L408">
        <v>3334.04</v>
      </c>
      <c r="M408">
        <v>410.04</v>
      </c>
      <c r="N408" s="1">
        <v>38189</v>
      </c>
      <c r="O408" t="s">
        <v>25</v>
      </c>
      <c r="P408">
        <v>3</v>
      </c>
      <c r="Q408">
        <v>7</v>
      </c>
      <c r="R408">
        <v>2004</v>
      </c>
      <c r="S408" t="s">
        <v>255</v>
      </c>
    </row>
    <row r="409" spans="1:19" x14ac:dyDescent="0.25">
      <c r="A409">
        <v>10139</v>
      </c>
      <c r="B409" t="s">
        <v>257</v>
      </c>
      <c r="C409" t="s">
        <v>71</v>
      </c>
      <c r="D409" t="s">
        <v>72</v>
      </c>
      <c r="E409" t="s">
        <v>49</v>
      </c>
      <c r="F409" t="s">
        <v>50</v>
      </c>
      <c r="G409" t="s">
        <v>24</v>
      </c>
      <c r="H409">
        <v>2</v>
      </c>
      <c r="I409">
        <v>20</v>
      </c>
      <c r="J409">
        <v>90.06</v>
      </c>
      <c r="K409">
        <v>104</v>
      </c>
      <c r="L409">
        <v>1801.2</v>
      </c>
      <c r="M409">
        <v>-278.8</v>
      </c>
      <c r="N409" s="1">
        <v>37818</v>
      </c>
      <c r="O409" t="s">
        <v>25</v>
      </c>
      <c r="P409">
        <v>3</v>
      </c>
      <c r="Q409">
        <v>7</v>
      </c>
      <c r="R409">
        <v>2003</v>
      </c>
      <c r="S409" t="s">
        <v>226</v>
      </c>
    </row>
    <row r="410" spans="1:19" x14ac:dyDescent="0.25">
      <c r="A410">
        <v>10193</v>
      </c>
      <c r="B410" t="s">
        <v>257</v>
      </c>
      <c r="C410" t="s">
        <v>229</v>
      </c>
      <c r="D410" t="s">
        <v>230</v>
      </c>
      <c r="E410" t="s">
        <v>49</v>
      </c>
      <c r="F410" t="s">
        <v>50</v>
      </c>
      <c r="G410" t="s">
        <v>24</v>
      </c>
      <c r="H410">
        <v>2</v>
      </c>
      <c r="I410">
        <v>23</v>
      </c>
      <c r="J410">
        <v>100</v>
      </c>
      <c r="K410">
        <v>104</v>
      </c>
      <c r="L410">
        <v>2769.89</v>
      </c>
      <c r="M410">
        <v>377.89</v>
      </c>
      <c r="N410" s="1">
        <v>37946</v>
      </c>
      <c r="O410" t="s">
        <v>25</v>
      </c>
      <c r="P410">
        <v>4</v>
      </c>
      <c r="Q410">
        <v>11</v>
      </c>
      <c r="R410">
        <v>2003</v>
      </c>
      <c r="S410" t="s">
        <v>226</v>
      </c>
    </row>
    <row r="411" spans="1:19" x14ac:dyDescent="0.25">
      <c r="A411">
        <v>10244</v>
      </c>
      <c r="B411" t="s">
        <v>257</v>
      </c>
      <c r="C411" t="s">
        <v>78</v>
      </c>
      <c r="D411" t="s">
        <v>79</v>
      </c>
      <c r="E411" t="s">
        <v>80</v>
      </c>
      <c r="F411" t="s">
        <v>30</v>
      </c>
      <c r="G411" t="s">
        <v>33</v>
      </c>
      <c r="H411">
        <v>2</v>
      </c>
      <c r="I411">
        <v>29</v>
      </c>
      <c r="J411">
        <v>100</v>
      </c>
      <c r="K411">
        <v>104</v>
      </c>
      <c r="L411">
        <v>3340.51</v>
      </c>
      <c r="M411">
        <v>324.51</v>
      </c>
      <c r="N411" s="1">
        <v>38106</v>
      </c>
      <c r="O411" t="s">
        <v>25</v>
      </c>
      <c r="P411">
        <v>2</v>
      </c>
      <c r="Q411">
        <v>4</v>
      </c>
      <c r="R411">
        <v>2004</v>
      </c>
      <c r="S411" t="s">
        <v>226</v>
      </c>
    </row>
    <row r="412" spans="1:19" x14ac:dyDescent="0.25">
      <c r="A412">
        <v>10257</v>
      </c>
      <c r="B412" t="s">
        <v>257</v>
      </c>
      <c r="C412" t="s">
        <v>162</v>
      </c>
      <c r="D412" t="s">
        <v>163</v>
      </c>
      <c r="E412" t="s">
        <v>22</v>
      </c>
      <c r="F412" t="s">
        <v>23</v>
      </c>
      <c r="G412" t="s">
        <v>33</v>
      </c>
      <c r="H412">
        <v>2</v>
      </c>
      <c r="I412">
        <v>37</v>
      </c>
      <c r="J412">
        <v>84.82</v>
      </c>
      <c r="K412">
        <v>104</v>
      </c>
      <c r="L412">
        <v>3138.34</v>
      </c>
      <c r="M412">
        <v>-709.66</v>
      </c>
      <c r="N412" s="1">
        <v>38152</v>
      </c>
      <c r="O412" t="s">
        <v>25</v>
      </c>
      <c r="P412">
        <v>2</v>
      </c>
      <c r="Q412">
        <v>6</v>
      </c>
      <c r="R412">
        <v>2004</v>
      </c>
      <c r="S412" t="s">
        <v>226</v>
      </c>
    </row>
    <row r="413" spans="1:19" x14ac:dyDescent="0.25">
      <c r="A413">
        <v>10392</v>
      </c>
      <c r="B413" t="s">
        <v>257</v>
      </c>
      <c r="C413" t="s">
        <v>167</v>
      </c>
      <c r="D413" t="s">
        <v>168</v>
      </c>
      <c r="E413" t="s">
        <v>69</v>
      </c>
      <c r="F413" t="s">
        <v>30</v>
      </c>
      <c r="G413" t="s">
        <v>24</v>
      </c>
      <c r="H413">
        <v>2</v>
      </c>
      <c r="I413">
        <v>29</v>
      </c>
      <c r="J413">
        <v>86.92</v>
      </c>
      <c r="K413">
        <v>104</v>
      </c>
      <c r="L413">
        <v>2520.6799999999998</v>
      </c>
      <c r="M413">
        <v>-495.32</v>
      </c>
      <c r="N413" s="1">
        <v>38421</v>
      </c>
      <c r="O413" t="s">
        <v>25</v>
      </c>
      <c r="P413">
        <v>1</v>
      </c>
      <c r="Q413">
        <v>3</v>
      </c>
      <c r="R413">
        <v>2005</v>
      </c>
      <c r="S413" t="s">
        <v>226</v>
      </c>
    </row>
    <row r="414" spans="1:19" x14ac:dyDescent="0.25">
      <c r="A414">
        <v>10423</v>
      </c>
      <c r="B414" t="s">
        <v>257</v>
      </c>
      <c r="C414" t="s">
        <v>151</v>
      </c>
      <c r="D414" t="s">
        <v>152</v>
      </c>
      <c r="E414" t="s">
        <v>153</v>
      </c>
      <c r="F414" t="s">
        <v>30</v>
      </c>
      <c r="G414" t="s">
        <v>24</v>
      </c>
      <c r="H414">
        <v>2</v>
      </c>
      <c r="I414">
        <v>21</v>
      </c>
      <c r="J414">
        <v>84.82</v>
      </c>
      <c r="K414">
        <v>104</v>
      </c>
      <c r="L414">
        <v>1781.22</v>
      </c>
      <c r="M414">
        <v>-402.78</v>
      </c>
      <c r="N414" s="1">
        <v>38502</v>
      </c>
      <c r="O414" t="s">
        <v>125</v>
      </c>
      <c r="P414">
        <v>2</v>
      </c>
      <c r="Q414">
        <v>5</v>
      </c>
      <c r="R414">
        <v>2005</v>
      </c>
      <c r="S414" t="s">
        <v>226</v>
      </c>
    </row>
    <row r="415" spans="1:19" x14ac:dyDescent="0.25">
      <c r="A415">
        <v>10128</v>
      </c>
      <c r="B415" t="s">
        <v>258</v>
      </c>
      <c r="C415" t="s">
        <v>78</v>
      </c>
      <c r="D415" t="s">
        <v>79</v>
      </c>
      <c r="E415" t="s">
        <v>80</v>
      </c>
      <c r="F415" t="s">
        <v>30</v>
      </c>
      <c r="G415" t="s">
        <v>33</v>
      </c>
      <c r="H415">
        <v>2</v>
      </c>
      <c r="I415">
        <v>41</v>
      </c>
      <c r="J415">
        <v>100</v>
      </c>
      <c r="K415">
        <v>136</v>
      </c>
      <c r="L415">
        <v>5544.02</v>
      </c>
      <c r="M415">
        <v>-31.98</v>
      </c>
      <c r="N415" s="1">
        <v>37778</v>
      </c>
      <c r="O415" t="s">
        <v>25</v>
      </c>
      <c r="P415">
        <v>2</v>
      </c>
      <c r="Q415">
        <v>6</v>
      </c>
      <c r="R415">
        <v>2003</v>
      </c>
      <c r="S415" t="s">
        <v>226</v>
      </c>
    </row>
    <row r="416" spans="1:19" x14ac:dyDescent="0.25">
      <c r="A416">
        <v>10166</v>
      </c>
      <c r="B416" t="s">
        <v>258</v>
      </c>
      <c r="C416" t="s">
        <v>73</v>
      </c>
      <c r="D416" t="s">
        <v>74</v>
      </c>
      <c r="E416" t="s">
        <v>22</v>
      </c>
      <c r="F416" t="s">
        <v>23</v>
      </c>
      <c r="G416" t="s">
        <v>33</v>
      </c>
      <c r="H416">
        <v>2</v>
      </c>
      <c r="I416">
        <v>43</v>
      </c>
      <c r="J416">
        <v>100</v>
      </c>
      <c r="K416">
        <v>136</v>
      </c>
      <c r="L416">
        <v>6930.74</v>
      </c>
      <c r="M416">
        <v>1082.74</v>
      </c>
      <c r="N416" s="1">
        <v>37915</v>
      </c>
      <c r="O416" t="s">
        <v>25</v>
      </c>
      <c r="P416">
        <v>4</v>
      </c>
      <c r="Q416">
        <v>10</v>
      </c>
      <c r="R416">
        <v>2003</v>
      </c>
      <c r="S416" t="s">
        <v>226</v>
      </c>
    </row>
    <row r="417" spans="1:19" x14ac:dyDescent="0.25">
      <c r="A417">
        <v>10396</v>
      </c>
      <c r="B417" t="s">
        <v>258</v>
      </c>
      <c r="C417" t="s">
        <v>115</v>
      </c>
      <c r="D417" t="s">
        <v>116</v>
      </c>
      <c r="E417" t="s">
        <v>22</v>
      </c>
      <c r="F417" t="s">
        <v>23</v>
      </c>
      <c r="G417" t="s">
        <v>33</v>
      </c>
      <c r="H417">
        <v>2</v>
      </c>
      <c r="I417">
        <v>33</v>
      </c>
      <c r="J417">
        <v>100</v>
      </c>
      <c r="K417">
        <v>136</v>
      </c>
      <c r="L417">
        <v>5273.73</v>
      </c>
      <c r="M417">
        <v>785.73</v>
      </c>
      <c r="N417" s="1">
        <v>38434</v>
      </c>
      <c r="O417" t="s">
        <v>25</v>
      </c>
      <c r="P417">
        <v>1</v>
      </c>
      <c r="Q417">
        <v>3</v>
      </c>
      <c r="R417">
        <v>2005</v>
      </c>
      <c r="S417" t="s">
        <v>226</v>
      </c>
    </row>
    <row r="418" spans="1:19" x14ac:dyDescent="0.25">
      <c r="A418">
        <v>10225</v>
      </c>
      <c r="B418" t="s">
        <v>259</v>
      </c>
      <c r="C418" t="s">
        <v>181</v>
      </c>
      <c r="D418" t="s">
        <v>182</v>
      </c>
      <c r="E418" t="s">
        <v>183</v>
      </c>
      <c r="F418" t="s">
        <v>30</v>
      </c>
      <c r="G418" t="s">
        <v>33</v>
      </c>
      <c r="H418">
        <v>2</v>
      </c>
      <c r="I418">
        <v>43</v>
      </c>
      <c r="J418">
        <v>100</v>
      </c>
      <c r="K418">
        <v>169</v>
      </c>
      <c r="L418">
        <v>6407.86</v>
      </c>
      <c r="M418">
        <v>-859.14</v>
      </c>
      <c r="N418" s="1">
        <v>38039</v>
      </c>
      <c r="O418" t="s">
        <v>25</v>
      </c>
      <c r="P418">
        <v>1</v>
      </c>
      <c r="Q418">
        <v>2</v>
      </c>
      <c r="R418">
        <v>2004</v>
      </c>
      <c r="S418" t="s">
        <v>83</v>
      </c>
    </row>
    <row r="419" spans="1:19" x14ac:dyDescent="0.25">
      <c r="A419">
        <v>10350</v>
      </c>
      <c r="B419" t="s">
        <v>260</v>
      </c>
      <c r="C419" t="s">
        <v>78</v>
      </c>
      <c r="D419" t="s">
        <v>79</v>
      </c>
      <c r="E419" t="s">
        <v>80</v>
      </c>
      <c r="F419" t="s">
        <v>30</v>
      </c>
      <c r="G419" t="s">
        <v>33</v>
      </c>
      <c r="H419">
        <v>2</v>
      </c>
      <c r="I419">
        <v>41</v>
      </c>
      <c r="J419">
        <v>93.04</v>
      </c>
      <c r="K419">
        <v>100</v>
      </c>
      <c r="L419">
        <v>3814.64</v>
      </c>
      <c r="M419">
        <v>-285.36</v>
      </c>
      <c r="N419" s="1">
        <v>38323</v>
      </c>
      <c r="O419" t="s">
        <v>25</v>
      </c>
      <c r="P419">
        <v>4</v>
      </c>
      <c r="Q419">
        <v>12</v>
      </c>
      <c r="R419">
        <v>2004</v>
      </c>
      <c r="S419" t="s">
        <v>261</v>
      </c>
    </row>
    <row r="420" spans="1:19" x14ac:dyDescent="0.25">
      <c r="A420">
        <v>10252</v>
      </c>
      <c r="B420" t="s">
        <v>262</v>
      </c>
      <c r="C420" t="s">
        <v>46</v>
      </c>
      <c r="D420" t="s">
        <v>32</v>
      </c>
      <c r="E420" t="s">
        <v>29</v>
      </c>
      <c r="F420" t="s">
        <v>30</v>
      </c>
      <c r="G420" t="s">
        <v>24</v>
      </c>
      <c r="H420">
        <v>2</v>
      </c>
      <c r="I420">
        <v>20</v>
      </c>
      <c r="J420">
        <v>76.39</v>
      </c>
      <c r="K420">
        <v>80</v>
      </c>
      <c r="L420">
        <v>1527.8</v>
      </c>
      <c r="M420">
        <v>-72.2</v>
      </c>
      <c r="N420" s="1">
        <v>38133</v>
      </c>
      <c r="O420" t="s">
        <v>25</v>
      </c>
      <c r="P420">
        <v>2</v>
      </c>
      <c r="Q420">
        <v>5</v>
      </c>
      <c r="R420">
        <v>2004</v>
      </c>
      <c r="S420" t="s">
        <v>83</v>
      </c>
    </row>
    <row r="421" spans="1:19" x14ac:dyDescent="0.25">
      <c r="A421">
        <v>10265</v>
      </c>
      <c r="B421" t="s">
        <v>262</v>
      </c>
      <c r="C421" t="s">
        <v>229</v>
      </c>
      <c r="D421" t="s">
        <v>230</v>
      </c>
      <c r="E421" t="s">
        <v>49</v>
      </c>
      <c r="F421" t="s">
        <v>50</v>
      </c>
      <c r="G421" t="s">
        <v>33</v>
      </c>
      <c r="H421">
        <v>2</v>
      </c>
      <c r="I421">
        <v>45</v>
      </c>
      <c r="J421">
        <v>86.84</v>
      </c>
      <c r="K421">
        <v>80</v>
      </c>
      <c r="L421">
        <v>3907.8</v>
      </c>
      <c r="M421">
        <v>307.8</v>
      </c>
      <c r="N421" s="1">
        <v>38170</v>
      </c>
      <c r="O421" t="s">
        <v>25</v>
      </c>
      <c r="P421">
        <v>3</v>
      </c>
      <c r="Q421">
        <v>7</v>
      </c>
      <c r="R421">
        <v>2004</v>
      </c>
      <c r="S421" t="s">
        <v>83</v>
      </c>
    </row>
    <row r="422" spans="1:19" x14ac:dyDescent="0.25">
      <c r="A422">
        <v>10149</v>
      </c>
      <c r="B422" t="s">
        <v>263</v>
      </c>
      <c r="C422" t="s">
        <v>214</v>
      </c>
      <c r="D422" t="s">
        <v>215</v>
      </c>
      <c r="E422" t="s">
        <v>22</v>
      </c>
      <c r="F422" t="s">
        <v>23</v>
      </c>
      <c r="G422" t="s">
        <v>33</v>
      </c>
      <c r="H422">
        <v>2</v>
      </c>
      <c r="I422">
        <v>42</v>
      </c>
      <c r="J422">
        <v>94.25</v>
      </c>
      <c r="K422">
        <v>99</v>
      </c>
      <c r="L422">
        <v>3958.5</v>
      </c>
      <c r="M422">
        <v>-199.5</v>
      </c>
      <c r="N422" s="1">
        <v>37876</v>
      </c>
      <c r="O422" t="s">
        <v>25</v>
      </c>
      <c r="P422">
        <v>3</v>
      </c>
      <c r="Q422">
        <v>9</v>
      </c>
      <c r="R422">
        <v>2003</v>
      </c>
      <c r="S422" t="s">
        <v>226</v>
      </c>
    </row>
    <row r="423" spans="1:19" x14ac:dyDescent="0.25">
      <c r="A423">
        <v>10290</v>
      </c>
      <c r="B423" t="s">
        <v>263</v>
      </c>
      <c r="C423" t="s">
        <v>256</v>
      </c>
      <c r="D423" t="s">
        <v>120</v>
      </c>
      <c r="E423" t="s">
        <v>22</v>
      </c>
      <c r="F423" t="s">
        <v>23</v>
      </c>
      <c r="G423" t="s">
        <v>24</v>
      </c>
      <c r="H423">
        <v>2</v>
      </c>
      <c r="I423">
        <v>26</v>
      </c>
      <c r="J423">
        <v>96.23</v>
      </c>
      <c r="K423">
        <v>99</v>
      </c>
      <c r="L423">
        <v>2501.98</v>
      </c>
      <c r="M423">
        <v>-72.02</v>
      </c>
      <c r="N423" s="1">
        <v>38237</v>
      </c>
      <c r="O423" t="s">
        <v>25</v>
      </c>
      <c r="P423">
        <v>3</v>
      </c>
      <c r="Q423">
        <v>9</v>
      </c>
      <c r="R423">
        <v>2004</v>
      </c>
      <c r="S423" t="s">
        <v>226</v>
      </c>
    </row>
    <row r="424" spans="1:19" x14ac:dyDescent="0.25">
      <c r="A424">
        <v>10323</v>
      </c>
      <c r="B424" t="s">
        <v>263</v>
      </c>
      <c r="C424" t="s">
        <v>187</v>
      </c>
      <c r="D424" t="s">
        <v>188</v>
      </c>
      <c r="E424" t="s">
        <v>180</v>
      </c>
      <c r="F424" t="s">
        <v>30</v>
      </c>
      <c r="G424" t="s">
        <v>33</v>
      </c>
      <c r="H424">
        <v>2</v>
      </c>
      <c r="I424">
        <v>33</v>
      </c>
      <c r="J424">
        <v>91.27</v>
      </c>
      <c r="K424">
        <v>99</v>
      </c>
      <c r="L424">
        <v>3011.91</v>
      </c>
      <c r="M424">
        <v>-255.09</v>
      </c>
      <c r="N424" s="1">
        <v>38296</v>
      </c>
      <c r="O424" t="s">
        <v>25</v>
      </c>
      <c r="P424">
        <v>4</v>
      </c>
      <c r="Q424">
        <v>11</v>
      </c>
      <c r="R424">
        <v>2004</v>
      </c>
      <c r="S424" t="s">
        <v>226</v>
      </c>
    </row>
    <row r="425" spans="1:19" x14ac:dyDescent="0.25">
      <c r="A425">
        <v>10333</v>
      </c>
      <c r="B425" t="s">
        <v>263</v>
      </c>
      <c r="C425" t="s">
        <v>45</v>
      </c>
      <c r="D425" t="s">
        <v>37</v>
      </c>
      <c r="E425" t="s">
        <v>22</v>
      </c>
      <c r="F425" t="s">
        <v>23</v>
      </c>
      <c r="G425" t="s">
        <v>70</v>
      </c>
      <c r="H425">
        <v>2</v>
      </c>
      <c r="I425">
        <v>46</v>
      </c>
      <c r="J425">
        <v>100</v>
      </c>
      <c r="K425">
        <v>99</v>
      </c>
      <c r="L425">
        <v>11336.7</v>
      </c>
      <c r="M425">
        <v>6782.7</v>
      </c>
      <c r="N425" s="1">
        <v>38309</v>
      </c>
      <c r="O425" t="s">
        <v>25</v>
      </c>
      <c r="P425">
        <v>4</v>
      </c>
      <c r="Q425">
        <v>11</v>
      </c>
      <c r="R425">
        <v>2004</v>
      </c>
      <c r="S425" t="s">
        <v>226</v>
      </c>
    </row>
    <row r="426" spans="1:19" x14ac:dyDescent="0.25">
      <c r="A426">
        <v>10109</v>
      </c>
      <c r="B426" t="s">
        <v>265</v>
      </c>
      <c r="C426" t="s">
        <v>129</v>
      </c>
      <c r="D426" t="s">
        <v>94</v>
      </c>
      <c r="E426" t="s">
        <v>22</v>
      </c>
      <c r="F426" t="s">
        <v>23</v>
      </c>
      <c r="G426" t="s">
        <v>33</v>
      </c>
      <c r="H426">
        <v>2</v>
      </c>
      <c r="I426">
        <v>47</v>
      </c>
      <c r="J426">
        <v>100</v>
      </c>
      <c r="K426">
        <v>141</v>
      </c>
      <c r="L426">
        <v>6241.6</v>
      </c>
      <c r="M426">
        <v>-385.4</v>
      </c>
      <c r="N426" s="1">
        <v>37690</v>
      </c>
      <c r="O426" t="s">
        <v>25</v>
      </c>
      <c r="P426">
        <v>1</v>
      </c>
      <c r="Q426">
        <v>3</v>
      </c>
      <c r="R426">
        <v>2003</v>
      </c>
      <c r="S426" t="s">
        <v>83</v>
      </c>
    </row>
    <row r="427" spans="1:19" x14ac:dyDescent="0.25">
      <c r="A427">
        <v>10287</v>
      </c>
      <c r="B427" t="s">
        <v>265</v>
      </c>
      <c r="C427" t="s">
        <v>181</v>
      </c>
      <c r="D427" t="s">
        <v>182</v>
      </c>
      <c r="E427" t="s">
        <v>183</v>
      </c>
      <c r="F427" t="s">
        <v>30</v>
      </c>
      <c r="G427" t="s">
        <v>33</v>
      </c>
      <c r="H427">
        <v>2</v>
      </c>
      <c r="I427">
        <v>27</v>
      </c>
      <c r="J427">
        <v>100</v>
      </c>
      <c r="K427">
        <v>141</v>
      </c>
      <c r="L427">
        <v>4310.55</v>
      </c>
      <c r="M427">
        <v>503.55</v>
      </c>
      <c r="N427" s="1">
        <v>38229</v>
      </c>
      <c r="O427" t="s">
        <v>25</v>
      </c>
      <c r="P427">
        <v>3</v>
      </c>
      <c r="Q427">
        <v>8</v>
      </c>
      <c r="R427">
        <v>2004</v>
      </c>
      <c r="S427" t="s">
        <v>83</v>
      </c>
    </row>
    <row r="428" spans="1:19" x14ac:dyDescent="0.25">
      <c r="A428">
        <v>10343</v>
      </c>
      <c r="B428" t="s">
        <v>265</v>
      </c>
      <c r="C428" t="s">
        <v>27</v>
      </c>
      <c r="D428" t="s">
        <v>28</v>
      </c>
      <c r="E428" t="s">
        <v>29</v>
      </c>
      <c r="F428" t="s">
        <v>30</v>
      </c>
      <c r="G428" t="s">
        <v>33</v>
      </c>
      <c r="H428">
        <v>2</v>
      </c>
      <c r="I428">
        <v>44</v>
      </c>
      <c r="J428">
        <v>84.88</v>
      </c>
      <c r="K428">
        <v>141</v>
      </c>
      <c r="L428">
        <v>3734.72</v>
      </c>
      <c r="M428">
        <v>-2469.2800000000002</v>
      </c>
      <c r="N428" s="1">
        <v>38315</v>
      </c>
      <c r="O428" t="s">
        <v>25</v>
      </c>
      <c r="P428">
        <v>4</v>
      </c>
      <c r="Q428">
        <v>11</v>
      </c>
      <c r="R428">
        <v>2004</v>
      </c>
      <c r="S428" t="s">
        <v>83</v>
      </c>
    </row>
    <row r="429" spans="1:19" x14ac:dyDescent="0.25">
      <c r="A429">
        <v>10146</v>
      </c>
      <c r="B429" t="s">
        <v>266</v>
      </c>
      <c r="C429" t="s">
        <v>235</v>
      </c>
      <c r="D429" t="s">
        <v>208</v>
      </c>
      <c r="E429" t="s">
        <v>22</v>
      </c>
      <c r="F429" t="s">
        <v>23</v>
      </c>
      <c r="G429" t="s">
        <v>33</v>
      </c>
      <c r="H429">
        <v>2</v>
      </c>
      <c r="I429">
        <v>47</v>
      </c>
      <c r="J429">
        <v>67.14</v>
      </c>
      <c r="K429">
        <v>62</v>
      </c>
      <c r="L429">
        <v>3155.58</v>
      </c>
      <c r="M429">
        <v>241.58</v>
      </c>
      <c r="N429" s="1">
        <v>37867</v>
      </c>
      <c r="O429" t="s">
        <v>25</v>
      </c>
      <c r="P429">
        <v>3</v>
      </c>
      <c r="Q429">
        <v>9</v>
      </c>
      <c r="R429">
        <v>2003</v>
      </c>
      <c r="S429" t="s">
        <v>26</v>
      </c>
    </row>
    <row r="430" spans="1:19" x14ac:dyDescent="0.25">
      <c r="A430">
        <v>10330</v>
      </c>
      <c r="B430" t="s">
        <v>266</v>
      </c>
      <c r="C430" t="s">
        <v>173</v>
      </c>
      <c r="D430" t="s">
        <v>174</v>
      </c>
      <c r="E430" t="s">
        <v>175</v>
      </c>
      <c r="F430" t="s">
        <v>50</v>
      </c>
      <c r="G430" t="s">
        <v>24</v>
      </c>
      <c r="H430">
        <v>2</v>
      </c>
      <c r="I430">
        <v>29</v>
      </c>
      <c r="J430">
        <v>69.63</v>
      </c>
      <c r="K430">
        <v>62</v>
      </c>
      <c r="L430">
        <v>2019.27</v>
      </c>
      <c r="M430">
        <v>221.27</v>
      </c>
      <c r="N430" s="1">
        <v>38307</v>
      </c>
      <c r="O430" t="s">
        <v>25</v>
      </c>
      <c r="P430">
        <v>4</v>
      </c>
      <c r="Q430">
        <v>11</v>
      </c>
      <c r="R430">
        <v>2004</v>
      </c>
      <c r="S430" t="s">
        <v>26</v>
      </c>
    </row>
    <row r="431" spans="1:19" x14ac:dyDescent="0.25">
      <c r="A431">
        <v>10390</v>
      </c>
      <c r="B431" t="s">
        <v>266</v>
      </c>
      <c r="C431" t="s">
        <v>115</v>
      </c>
      <c r="D431" t="s">
        <v>116</v>
      </c>
      <c r="E431" t="s">
        <v>22</v>
      </c>
      <c r="F431" t="s">
        <v>23</v>
      </c>
      <c r="G431" t="s">
        <v>33</v>
      </c>
      <c r="H431">
        <v>2</v>
      </c>
      <c r="I431">
        <v>36</v>
      </c>
      <c r="J431">
        <v>100</v>
      </c>
      <c r="K431">
        <v>62</v>
      </c>
      <c r="L431">
        <v>5079.96</v>
      </c>
      <c r="M431">
        <v>2847.96</v>
      </c>
      <c r="N431" s="1">
        <v>38415</v>
      </c>
      <c r="O431" t="s">
        <v>25</v>
      </c>
      <c r="P431">
        <v>1</v>
      </c>
      <c r="Q431">
        <v>3</v>
      </c>
      <c r="R431">
        <v>2005</v>
      </c>
      <c r="S431" t="s">
        <v>26</v>
      </c>
    </row>
    <row r="432" spans="1:19" x14ac:dyDescent="0.25">
      <c r="A432">
        <v>10338</v>
      </c>
      <c r="B432" t="s">
        <v>267</v>
      </c>
      <c r="C432" t="s">
        <v>238</v>
      </c>
      <c r="D432" t="s">
        <v>239</v>
      </c>
      <c r="E432" t="s">
        <v>153</v>
      </c>
      <c r="F432" t="s">
        <v>30</v>
      </c>
      <c r="G432" t="s">
        <v>33</v>
      </c>
      <c r="H432">
        <v>2</v>
      </c>
      <c r="I432">
        <v>45</v>
      </c>
      <c r="J432">
        <v>100</v>
      </c>
      <c r="K432">
        <v>105</v>
      </c>
      <c r="L432">
        <v>5526.45</v>
      </c>
      <c r="M432">
        <v>801.45</v>
      </c>
      <c r="N432" s="1">
        <v>38313</v>
      </c>
      <c r="O432" t="s">
        <v>25</v>
      </c>
      <c r="P432">
        <v>4</v>
      </c>
      <c r="Q432">
        <v>11</v>
      </c>
      <c r="R432">
        <v>2004</v>
      </c>
      <c r="S432" t="s">
        <v>226</v>
      </c>
    </row>
    <row r="433" spans="1:19" x14ac:dyDescent="0.25">
      <c r="A433">
        <v>10351</v>
      </c>
      <c r="B433" t="s">
        <v>267</v>
      </c>
      <c r="C433" t="s">
        <v>138</v>
      </c>
      <c r="D433" t="s">
        <v>139</v>
      </c>
      <c r="E433" t="s">
        <v>77</v>
      </c>
      <c r="F433" t="s">
        <v>30</v>
      </c>
      <c r="G433" t="s">
        <v>33</v>
      </c>
      <c r="H433">
        <v>2</v>
      </c>
      <c r="I433">
        <v>20</v>
      </c>
      <c r="J433">
        <v>100</v>
      </c>
      <c r="K433">
        <v>105</v>
      </c>
      <c r="L433">
        <v>3374.6</v>
      </c>
      <c r="M433">
        <v>1274.5999999999999</v>
      </c>
      <c r="N433" s="1">
        <v>38324</v>
      </c>
      <c r="O433" t="s">
        <v>25</v>
      </c>
      <c r="P433">
        <v>4</v>
      </c>
      <c r="Q433">
        <v>12</v>
      </c>
      <c r="R433">
        <v>2004</v>
      </c>
      <c r="S433" t="s">
        <v>226</v>
      </c>
    </row>
    <row r="434" spans="1:19" x14ac:dyDescent="0.25">
      <c r="A434">
        <v>10292</v>
      </c>
      <c r="B434" t="s">
        <v>268</v>
      </c>
      <c r="C434" t="s">
        <v>20</v>
      </c>
      <c r="D434" t="s">
        <v>21</v>
      </c>
      <c r="E434" t="s">
        <v>22</v>
      </c>
      <c r="F434" t="s">
        <v>23</v>
      </c>
      <c r="G434" t="s">
        <v>70</v>
      </c>
      <c r="H434">
        <v>2</v>
      </c>
      <c r="I434">
        <v>44</v>
      </c>
      <c r="J434">
        <v>100</v>
      </c>
      <c r="K434">
        <v>143</v>
      </c>
      <c r="L434">
        <v>7140.76</v>
      </c>
      <c r="M434">
        <v>848.76</v>
      </c>
      <c r="N434" s="1">
        <v>38238</v>
      </c>
      <c r="O434" t="s">
        <v>25</v>
      </c>
      <c r="P434">
        <v>3</v>
      </c>
      <c r="Q434">
        <v>9</v>
      </c>
      <c r="R434">
        <v>2004</v>
      </c>
      <c r="S434" t="s">
        <v>83</v>
      </c>
    </row>
    <row r="435" spans="1:19" x14ac:dyDescent="0.25">
      <c r="A435">
        <v>10302</v>
      </c>
      <c r="B435" t="s">
        <v>269</v>
      </c>
      <c r="C435" t="s">
        <v>75</v>
      </c>
      <c r="D435" t="s">
        <v>76</v>
      </c>
      <c r="E435" t="s">
        <v>77</v>
      </c>
      <c r="F435" t="s">
        <v>30</v>
      </c>
      <c r="G435" t="s">
        <v>33</v>
      </c>
      <c r="H435">
        <v>2</v>
      </c>
      <c r="I435">
        <v>38</v>
      </c>
      <c r="J435">
        <v>89.27</v>
      </c>
      <c r="K435">
        <v>92</v>
      </c>
      <c r="L435">
        <v>3392.26</v>
      </c>
      <c r="M435">
        <v>-103.74</v>
      </c>
      <c r="N435" s="1">
        <v>37900</v>
      </c>
      <c r="O435" t="s">
        <v>25</v>
      </c>
      <c r="P435">
        <v>4</v>
      </c>
      <c r="Q435">
        <v>10</v>
      </c>
      <c r="R435">
        <v>2003</v>
      </c>
      <c r="S435" t="s">
        <v>226</v>
      </c>
    </row>
    <row r="436" spans="1:19" x14ac:dyDescent="0.25">
      <c r="A436">
        <v>10332</v>
      </c>
      <c r="B436" t="s">
        <v>269</v>
      </c>
      <c r="C436" t="s">
        <v>197</v>
      </c>
      <c r="D436" t="s">
        <v>198</v>
      </c>
      <c r="E436" t="s">
        <v>77</v>
      </c>
      <c r="F436" t="s">
        <v>30</v>
      </c>
      <c r="G436" t="s">
        <v>70</v>
      </c>
      <c r="H436">
        <v>2</v>
      </c>
      <c r="I436">
        <v>50</v>
      </c>
      <c r="J436">
        <v>100</v>
      </c>
      <c r="K436">
        <v>92</v>
      </c>
      <c r="L436">
        <v>7310</v>
      </c>
      <c r="M436">
        <v>2710</v>
      </c>
      <c r="N436" s="1">
        <v>38308</v>
      </c>
      <c r="O436" t="s">
        <v>25</v>
      </c>
      <c r="P436">
        <v>4</v>
      </c>
      <c r="Q436">
        <v>11</v>
      </c>
      <c r="R436">
        <v>2004</v>
      </c>
      <c r="S436" t="s">
        <v>226</v>
      </c>
    </row>
    <row r="437" spans="1:19" x14ac:dyDescent="0.25">
      <c r="A437">
        <v>10221</v>
      </c>
      <c r="B437" t="s">
        <v>270</v>
      </c>
      <c r="C437" t="s">
        <v>151</v>
      </c>
      <c r="D437" t="s">
        <v>152</v>
      </c>
      <c r="E437" t="s">
        <v>153</v>
      </c>
      <c r="F437" t="s">
        <v>30</v>
      </c>
      <c r="G437" t="s">
        <v>33</v>
      </c>
      <c r="H437">
        <v>2</v>
      </c>
      <c r="I437">
        <v>39</v>
      </c>
      <c r="J437">
        <v>89.53</v>
      </c>
      <c r="K437">
        <v>87</v>
      </c>
      <c r="L437">
        <v>3491.67</v>
      </c>
      <c r="M437">
        <v>98.67</v>
      </c>
      <c r="N437" s="1">
        <v>38035</v>
      </c>
      <c r="O437" t="s">
        <v>25</v>
      </c>
      <c r="P437">
        <v>1</v>
      </c>
      <c r="Q437">
        <v>2</v>
      </c>
      <c r="R437">
        <v>2004</v>
      </c>
      <c r="S437" t="s">
        <v>226</v>
      </c>
    </row>
    <row r="438" spans="1:19" x14ac:dyDescent="0.25">
      <c r="A438">
        <v>10337</v>
      </c>
      <c r="B438" t="s">
        <v>270</v>
      </c>
      <c r="C438" t="s">
        <v>90</v>
      </c>
      <c r="D438" t="s">
        <v>21</v>
      </c>
      <c r="E438" t="s">
        <v>22</v>
      </c>
      <c r="F438" t="s">
        <v>23</v>
      </c>
      <c r="G438" t="s">
        <v>33</v>
      </c>
      <c r="H438">
        <v>2</v>
      </c>
      <c r="I438">
        <v>29</v>
      </c>
      <c r="J438">
        <v>100</v>
      </c>
      <c r="K438">
        <v>87</v>
      </c>
      <c r="L438">
        <v>4498.1899999999996</v>
      </c>
      <c r="M438">
        <v>1975.19</v>
      </c>
      <c r="N438" s="1">
        <v>38312</v>
      </c>
      <c r="O438" t="s">
        <v>25</v>
      </c>
      <c r="P438">
        <v>4</v>
      </c>
      <c r="Q438">
        <v>11</v>
      </c>
      <c r="R438">
        <v>2004</v>
      </c>
      <c r="S438" t="s">
        <v>226</v>
      </c>
    </row>
    <row r="439" spans="1:19" x14ac:dyDescent="0.25">
      <c r="A439">
        <v>10150</v>
      </c>
      <c r="B439" t="s">
        <v>271</v>
      </c>
      <c r="C439" t="s">
        <v>88</v>
      </c>
      <c r="D439" t="s">
        <v>89</v>
      </c>
      <c r="E439" t="s">
        <v>89</v>
      </c>
      <c r="F439" t="s">
        <v>50</v>
      </c>
      <c r="G439" t="s">
        <v>33</v>
      </c>
      <c r="H439">
        <v>2</v>
      </c>
      <c r="I439">
        <v>49</v>
      </c>
      <c r="J439">
        <v>100</v>
      </c>
      <c r="K439">
        <v>121</v>
      </c>
      <c r="L439">
        <v>6467.02</v>
      </c>
      <c r="M439">
        <v>538.02</v>
      </c>
      <c r="N439" s="1">
        <v>37883</v>
      </c>
      <c r="O439" t="s">
        <v>25</v>
      </c>
      <c r="P439">
        <v>3</v>
      </c>
      <c r="Q439">
        <v>9</v>
      </c>
      <c r="R439">
        <v>2003</v>
      </c>
      <c r="S439" t="s">
        <v>202</v>
      </c>
    </row>
    <row r="440" spans="1:19" x14ac:dyDescent="0.25">
      <c r="A440">
        <v>10183</v>
      </c>
      <c r="B440" t="s">
        <v>271</v>
      </c>
      <c r="C440" t="s">
        <v>93</v>
      </c>
      <c r="D440" t="s">
        <v>94</v>
      </c>
      <c r="E440" t="s">
        <v>22</v>
      </c>
      <c r="F440" t="s">
        <v>23</v>
      </c>
      <c r="G440" t="s">
        <v>24</v>
      </c>
      <c r="H440">
        <v>2</v>
      </c>
      <c r="I440">
        <v>21</v>
      </c>
      <c r="J440">
        <v>100</v>
      </c>
      <c r="K440">
        <v>121</v>
      </c>
      <c r="L440">
        <v>2441.04</v>
      </c>
      <c r="M440">
        <v>-99.96</v>
      </c>
      <c r="N440" s="1">
        <v>37938</v>
      </c>
      <c r="O440" t="s">
        <v>25</v>
      </c>
      <c r="P440">
        <v>4</v>
      </c>
      <c r="Q440">
        <v>11</v>
      </c>
      <c r="R440">
        <v>2003</v>
      </c>
      <c r="S440" t="s">
        <v>202</v>
      </c>
    </row>
    <row r="441" spans="1:19" x14ac:dyDescent="0.25">
      <c r="A441">
        <v>10357</v>
      </c>
      <c r="B441" t="s">
        <v>271</v>
      </c>
      <c r="C441" t="s">
        <v>115</v>
      </c>
      <c r="D441" t="s">
        <v>116</v>
      </c>
      <c r="E441" t="s">
        <v>22</v>
      </c>
      <c r="F441" t="s">
        <v>23</v>
      </c>
      <c r="G441" t="s">
        <v>33</v>
      </c>
      <c r="H441">
        <v>2</v>
      </c>
      <c r="I441">
        <v>28</v>
      </c>
      <c r="J441">
        <v>100</v>
      </c>
      <c r="K441">
        <v>121</v>
      </c>
      <c r="L441">
        <v>3559.64</v>
      </c>
      <c r="M441">
        <v>171.64</v>
      </c>
      <c r="N441" s="1">
        <v>38331</v>
      </c>
      <c r="O441" t="s">
        <v>25</v>
      </c>
      <c r="P441">
        <v>4</v>
      </c>
      <c r="Q441">
        <v>12</v>
      </c>
      <c r="R441">
        <v>2004</v>
      </c>
      <c r="S441" t="s">
        <v>202</v>
      </c>
    </row>
    <row r="442" spans="1:19" x14ac:dyDescent="0.25">
      <c r="A442">
        <v>10174</v>
      </c>
      <c r="B442" t="s">
        <v>272</v>
      </c>
      <c r="C442" t="s">
        <v>91</v>
      </c>
      <c r="D442" t="s">
        <v>92</v>
      </c>
      <c r="E442" t="s">
        <v>49</v>
      </c>
      <c r="F442" t="s">
        <v>50</v>
      </c>
      <c r="G442" t="s">
        <v>24</v>
      </c>
      <c r="H442">
        <v>2</v>
      </c>
      <c r="I442">
        <v>49</v>
      </c>
      <c r="J442">
        <v>44.78</v>
      </c>
      <c r="K442">
        <v>50</v>
      </c>
      <c r="L442">
        <v>2194.2199999999998</v>
      </c>
      <c r="M442">
        <v>-255.78</v>
      </c>
      <c r="N442" s="1">
        <v>37931</v>
      </c>
      <c r="O442" t="s">
        <v>25</v>
      </c>
      <c r="P442">
        <v>4</v>
      </c>
      <c r="Q442">
        <v>11</v>
      </c>
      <c r="R442">
        <v>2003</v>
      </c>
      <c r="S442" t="s">
        <v>226</v>
      </c>
    </row>
    <row r="443" spans="1:19" x14ac:dyDescent="0.25">
      <c r="A443">
        <v>10370</v>
      </c>
      <c r="B443" t="s">
        <v>272</v>
      </c>
      <c r="C443" t="s">
        <v>121</v>
      </c>
      <c r="D443" t="s">
        <v>122</v>
      </c>
      <c r="E443" t="s">
        <v>49</v>
      </c>
      <c r="F443" t="s">
        <v>50</v>
      </c>
      <c r="G443" t="s">
        <v>24</v>
      </c>
      <c r="H443">
        <v>2</v>
      </c>
      <c r="I443">
        <v>20</v>
      </c>
      <c r="J443">
        <v>100</v>
      </c>
      <c r="K443">
        <v>50</v>
      </c>
      <c r="L443">
        <v>2730</v>
      </c>
      <c r="M443">
        <v>1730</v>
      </c>
      <c r="N443" s="1">
        <v>38372</v>
      </c>
      <c r="O443" t="s">
        <v>25</v>
      </c>
      <c r="P443">
        <v>1</v>
      </c>
      <c r="Q443">
        <v>1</v>
      </c>
      <c r="R443">
        <v>2005</v>
      </c>
      <c r="S443" t="s">
        <v>226</v>
      </c>
    </row>
    <row r="444" spans="1:19" x14ac:dyDescent="0.25">
      <c r="A444">
        <v>10382</v>
      </c>
      <c r="B444" t="s">
        <v>272</v>
      </c>
      <c r="C444" t="s">
        <v>115</v>
      </c>
      <c r="D444" t="s">
        <v>116</v>
      </c>
      <c r="E444" t="s">
        <v>22</v>
      </c>
      <c r="F444" t="s">
        <v>23</v>
      </c>
      <c r="G444" t="s">
        <v>70</v>
      </c>
      <c r="H444">
        <v>2</v>
      </c>
      <c r="I444">
        <v>39</v>
      </c>
      <c r="J444">
        <v>100</v>
      </c>
      <c r="K444">
        <v>50</v>
      </c>
      <c r="L444">
        <v>7827.3</v>
      </c>
      <c r="M444">
        <v>5877.3</v>
      </c>
      <c r="N444" s="1">
        <v>38400</v>
      </c>
      <c r="O444" t="s">
        <v>25</v>
      </c>
      <c r="P444">
        <v>1</v>
      </c>
      <c r="Q444">
        <v>2</v>
      </c>
      <c r="R444">
        <v>2005</v>
      </c>
      <c r="S444" t="s">
        <v>226</v>
      </c>
    </row>
    <row r="445" spans="1:19" x14ac:dyDescent="0.25">
      <c r="A445">
        <v>10180</v>
      </c>
      <c r="B445" t="s">
        <v>273</v>
      </c>
      <c r="C445" t="s">
        <v>40</v>
      </c>
      <c r="D445" t="s">
        <v>41</v>
      </c>
      <c r="E445" t="s">
        <v>29</v>
      </c>
      <c r="F445" t="s">
        <v>30</v>
      </c>
      <c r="G445" t="s">
        <v>33</v>
      </c>
      <c r="H445">
        <v>2</v>
      </c>
      <c r="I445">
        <v>44</v>
      </c>
      <c r="J445">
        <v>100</v>
      </c>
      <c r="K445">
        <v>148</v>
      </c>
      <c r="L445">
        <v>5565.12</v>
      </c>
      <c r="M445">
        <v>-946.88</v>
      </c>
      <c r="N445" s="1">
        <v>37936</v>
      </c>
      <c r="O445" t="s">
        <v>25</v>
      </c>
      <c r="P445">
        <v>4</v>
      </c>
      <c r="Q445">
        <v>11</v>
      </c>
      <c r="R445">
        <v>2003</v>
      </c>
      <c r="S445" t="s">
        <v>83</v>
      </c>
    </row>
    <row r="446" spans="1:19" x14ac:dyDescent="0.25">
      <c r="A446">
        <v>10264</v>
      </c>
      <c r="B446" t="s">
        <v>273</v>
      </c>
      <c r="C446" t="s">
        <v>156</v>
      </c>
      <c r="D446" t="s">
        <v>157</v>
      </c>
      <c r="E446" t="s">
        <v>22</v>
      </c>
      <c r="F446" t="s">
        <v>23</v>
      </c>
      <c r="G446" t="s">
        <v>24</v>
      </c>
      <c r="H446">
        <v>2</v>
      </c>
      <c r="I446">
        <v>20</v>
      </c>
      <c r="J446">
        <v>100</v>
      </c>
      <c r="K446">
        <v>148</v>
      </c>
      <c r="L446">
        <v>2410.6</v>
      </c>
      <c r="M446">
        <v>-549.4</v>
      </c>
      <c r="N446" s="1">
        <v>38168</v>
      </c>
      <c r="O446" t="s">
        <v>25</v>
      </c>
      <c r="P446">
        <v>2</v>
      </c>
      <c r="Q446">
        <v>6</v>
      </c>
      <c r="R446">
        <v>2004</v>
      </c>
      <c r="S446" t="s">
        <v>83</v>
      </c>
    </row>
    <row r="447" spans="1:19" x14ac:dyDescent="0.25">
      <c r="A447">
        <v>10299</v>
      </c>
      <c r="B447" t="s">
        <v>273</v>
      </c>
      <c r="C447" t="s">
        <v>60</v>
      </c>
      <c r="D447" t="s">
        <v>61</v>
      </c>
      <c r="E447" t="s">
        <v>62</v>
      </c>
      <c r="F447" t="s">
        <v>30</v>
      </c>
      <c r="G447" t="s">
        <v>70</v>
      </c>
      <c r="H447">
        <v>2</v>
      </c>
      <c r="I447">
        <v>49</v>
      </c>
      <c r="J447">
        <v>100</v>
      </c>
      <c r="K447">
        <v>148</v>
      </c>
      <c r="L447">
        <v>7947.31</v>
      </c>
      <c r="M447">
        <v>695.31</v>
      </c>
      <c r="N447" s="1">
        <v>38260</v>
      </c>
      <c r="O447" t="s">
        <v>25</v>
      </c>
      <c r="P447">
        <v>3</v>
      </c>
      <c r="Q447">
        <v>9</v>
      </c>
      <c r="R447">
        <v>2004</v>
      </c>
      <c r="S447" t="s">
        <v>83</v>
      </c>
    </row>
    <row r="448" spans="1:19" x14ac:dyDescent="0.25">
      <c r="A448">
        <v>10355</v>
      </c>
      <c r="B448" t="s">
        <v>273</v>
      </c>
      <c r="C448" t="s">
        <v>78</v>
      </c>
      <c r="D448" t="s">
        <v>79</v>
      </c>
      <c r="E448" t="s">
        <v>80</v>
      </c>
      <c r="F448" t="s">
        <v>30</v>
      </c>
      <c r="G448" t="s">
        <v>33</v>
      </c>
      <c r="H448">
        <v>2</v>
      </c>
      <c r="I448">
        <v>25</v>
      </c>
      <c r="J448">
        <v>100</v>
      </c>
      <c r="K448">
        <v>148</v>
      </c>
      <c r="L448">
        <v>4203.5</v>
      </c>
      <c r="M448">
        <v>503.5</v>
      </c>
      <c r="N448" s="1">
        <v>38328</v>
      </c>
      <c r="O448" t="s">
        <v>25</v>
      </c>
      <c r="P448">
        <v>4</v>
      </c>
      <c r="Q448">
        <v>12</v>
      </c>
      <c r="R448">
        <v>2004</v>
      </c>
      <c r="S448" t="s">
        <v>83</v>
      </c>
    </row>
    <row r="449" spans="1:19" x14ac:dyDescent="0.25">
      <c r="A449">
        <v>10148</v>
      </c>
      <c r="B449" t="s">
        <v>274</v>
      </c>
      <c r="C449" t="s">
        <v>121</v>
      </c>
      <c r="D449" t="s">
        <v>122</v>
      </c>
      <c r="E449" t="s">
        <v>49</v>
      </c>
      <c r="F449" t="s">
        <v>50</v>
      </c>
      <c r="G449" t="s">
        <v>24</v>
      </c>
      <c r="H449">
        <v>2</v>
      </c>
      <c r="I449">
        <v>29</v>
      </c>
      <c r="J449">
        <v>81.25</v>
      </c>
      <c r="K449">
        <v>71</v>
      </c>
      <c r="L449">
        <v>2356.25</v>
      </c>
      <c r="M449">
        <v>297.25</v>
      </c>
      <c r="N449" s="1">
        <v>37875</v>
      </c>
      <c r="O449" t="s">
        <v>25</v>
      </c>
      <c r="P449">
        <v>3</v>
      </c>
      <c r="Q449">
        <v>9</v>
      </c>
      <c r="R449">
        <v>2003</v>
      </c>
      <c r="S449" t="s">
        <v>83</v>
      </c>
    </row>
    <row r="450" spans="1:19" x14ac:dyDescent="0.25">
      <c r="A450">
        <v>10213</v>
      </c>
      <c r="B450" t="s">
        <v>274</v>
      </c>
      <c r="C450" t="s">
        <v>144</v>
      </c>
      <c r="D450" t="s">
        <v>139</v>
      </c>
      <c r="E450" t="s">
        <v>77</v>
      </c>
      <c r="F450" t="s">
        <v>30</v>
      </c>
      <c r="G450" t="s">
        <v>24</v>
      </c>
      <c r="H450">
        <v>2</v>
      </c>
      <c r="I450">
        <v>25</v>
      </c>
      <c r="J450">
        <v>83.39</v>
      </c>
      <c r="K450">
        <v>71</v>
      </c>
      <c r="L450">
        <v>2084.75</v>
      </c>
      <c r="M450">
        <v>309.75</v>
      </c>
      <c r="N450" s="1">
        <v>38008</v>
      </c>
      <c r="O450" t="s">
        <v>25</v>
      </c>
      <c r="P450">
        <v>1</v>
      </c>
      <c r="Q450">
        <v>1</v>
      </c>
      <c r="R450">
        <v>2004</v>
      </c>
      <c r="S450" t="s">
        <v>83</v>
      </c>
    </row>
    <row r="451" spans="1:19" x14ac:dyDescent="0.25">
      <c r="A451">
        <v>10311</v>
      </c>
      <c r="B451" t="s">
        <v>274</v>
      </c>
      <c r="C451" t="s">
        <v>78</v>
      </c>
      <c r="D451" t="s">
        <v>79</v>
      </c>
      <c r="E451" t="s">
        <v>80</v>
      </c>
      <c r="F451" t="s">
        <v>30</v>
      </c>
      <c r="G451" t="s">
        <v>24</v>
      </c>
      <c r="H451">
        <v>2</v>
      </c>
      <c r="I451">
        <v>25</v>
      </c>
      <c r="J451">
        <v>66.989999999999995</v>
      </c>
      <c r="K451">
        <v>71</v>
      </c>
      <c r="L451">
        <v>1674.75</v>
      </c>
      <c r="M451">
        <v>-100.25</v>
      </c>
      <c r="N451" s="1">
        <v>38276</v>
      </c>
      <c r="O451" t="s">
        <v>25</v>
      </c>
      <c r="P451">
        <v>4</v>
      </c>
      <c r="Q451">
        <v>10</v>
      </c>
      <c r="R451">
        <v>2004</v>
      </c>
      <c r="S451" t="s">
        <v>83</v>
      </c>
    </row>
    <row r="452" spans="1:19" x14ac:dyDescent="0.25">
      <c r="A452">
        <v>10380</v>
      </c>
      <c r="B452" t="s">
        <v>274</v>
      </c>
      <c r="C452" t="s">
        <v>78</v>
      </c>
      <c r="D452" t="s">
        <v>79</v>
      </c>
      <c r="E452" t="s">
        <v>80</v>
      </c>
      <c r="F452" t="s">
        <v>30</v>
      </c>
      <c r="G452" t="s">
        <v>33</v>
      </c>
      <c r="H452">
        <v>2</v>
      </c>
      <c r="I452">
        <v>24</v>
      </c>
      <c r="J452">
        <v>100</v>
      </c>
      <c r="K452">
        <v>71</v>
      </c>
      <c r="L452">
        <v>4536</v>
      </c>
      <c r="M452">
        <v>2832</v>
      </c>
      <c r="N452" s="1">
        <v>38399</v>
      </c>
      <c r="O452" t="s">
        <v>25</v>
      </c>
      <c r="P452">
        <v>1</v>
      </c>
      <c r="Q452">
        <v>2</v>
      </c>
      <c r="R452">
        <v>2005</v>
      </c>
      <c r="S452" t="s">
        <v>83</v>
      </c>
    </row>
    <row r="453" spans="1:19" x14ac:dyDescent="0.25">
      <c r="A453">
        <v>10115</v>
      </c>
      <c r="B453" t="s">
        <v>276</v>
      </c>
      <c r="C453" t="s">
        <v>90</v>
      </c>
      <c r="D453" t="s">
        <v>21</v>
      </c>
      <c r="E453" t="s">
        <v>22</v>
      </c>
      <c r="F453" t="s">
        <v>23</v>
      </c>
      <c r="G453" t="s">
        <v>33</v>
      </c>
      <c r="H453">
        <v>2</v>
      </c>
      <c r="I453">
        <v>47</v>
      </c>
      <c r="J453">
        <v>69.36</v>
      </c>
      <c r="K453">
        <v>57</v>
      </c>
      <c r="L453">
        <v>3259.92</v>
      </c>
      <c r="M453">
        <v>580.91999999999996</v>
      </c>
      <c r="N453" s="1">
        <v>37715</v>
      </c>
      <c r="O453" t="s">
        <v>25</v>
      </c>
      <c r="P453">
        <v>2</v>
      </c>
      <c r="Q453">
        <v>4</v>
      </c>
      <c r="R453">
        <v>2003</v>
      </c>
      <c r="S453" t="s">
        <v>83</v>
      </c>
    </row>
    <row r="454" spans="1:19" x14ac:dyDescent="0.25">
      <c r="A454">
        <v>10141</v>
      </c>
      <c r="B454" t="s">
        <v>276</v>
      </c>
      <c r="C454" t="s">
        <v>189</v>
      </c>
      <c r="D454" t="s">
        <v>190</v>
      </c>
      <c r="E454" t="s">
        <v>62</v>
      </c>
      <c r="F454" t="s">
        <v>30</v>
      </c>
      <c r="G454" t="s">
        <v>24</v>
      </c>
      <c r="H454">
        <v>2</v>
      </c>
      <c r="I454">
        <v>20</v>
      </c>
      <c r="J454">
        <v>54.33</v>
      </c>
      <c r="K454">
        <v>57</v>
      </c>
      <c r="L454">
        <v>1086.5999999999999</v>
      </c>
      <c r="M454">
        <v>-53.4</v>
      </c>
      <c r="N454" s="1">
        <v>37834</v>
      </c>
      <c r="O454" t="s">
        <v>25</v>
      </c>
      <c r="P454">
        <v>3</v>
      </c>
      <c r="Q454">
        <v>8</v>
      </c>
      <c r="R454">
        <v>2003</v>
      </c>
      <c r="S454" t="s">
        <v>83</v>
      </c>
    </row>
    <row r="455" spans="1:19" x14ac:dyDescent="0.25">
      <c r="A455">
        <v>10246</v>
      </c>
      <c r="B455" t="s">
        <v>276</v>
      </c>
      <c r="C455" t="s">
        <v>78</v>
      </c>
      <c r="D455" t="s">
        <v>79</v>
      </c>
      <c r="E455" t="s">
        <v>80</v>
      </c>
      <c r="F455" t="s">
        <v>30</v>
      </c>
      <c r="G455" t="s">
        <v>24</v>
      </c>
      <c r="H455">
        <v>2</v>
      </c>
      <c r="I455">
        <v>44</v>
      </c>
      <c r="J455">
        <v>52.6</v>
      </c>
      <c r="K455">
        <v>57</v>
      </c>
      <c r="L455">
        <v>2314.4</v>
      </c>
      <c r="M455">
        <v>-193.6</v>
      </c>
      <c r="N455" s="1">
        <v>38112</v>
      </c>
      <c r="O455" t="s">
        <v>25</v>
      </c>
      <c r="P455">
        <v>2</v>
      </c>
      <c r="Q455">
        <v>5</v>
      </c>
      <c r="R455">
        <v>2004</v>
      </c>
      <c r="S455" t="s">
        <v>83</v>
      </c>
    </row>
    <row r="456" spans="1:19" x14ac:dyDescent="0.25">
      <c r="A456">
        <v>10271</v>
      </c>
      <c r="B456" t="s">
        <v>276</v>
      </c>
      <c r="C456" t="s">
        <v>115</v>
      </c>
      <c r="D456" t="s">
        <v>116</v>
      </c>
      <c r="E456" t="s">
        <v>22</v>
      </c>
      <c r="F456" t="s">
        <v>23</v>
      </c>
      <c r="G456" t="s">
        <v>24</v>
      </c>
      <c r="H456">
        <v>2</v>
      </c>
      <c r="I456">
        <v>45</v>
      </c>
      <c r="J456">
        <v>64.739999999999995</v>
      </c>
      <c r="K456">
        <v>57</v>
      </c>
      <c r="L456">
        <v>2913.3</v>
      </c>
      <c r="M456">
        <v>348.3</v>
      </c>
      <c r="N456" s="1">
        <v>38188</v>
      </c>
      <c r="O456" t="s">
        <v>25</v>
      </c>
      <c r="P456">
        <v>3</v>
      </c>
      <c r="Q456">
        <v>7</v>
      </c>
      <c r="R456">
        <v>2004</v>
      </c>
      <c r="S456" t="s">
        <v>83</v>
      </c>
    </row>
    <row r="457" spans="1:19" x14ac:dyDescent="0.25">
      <c r="A457">
        <v>10305</v>
      </c>
      <c r="B457" t="s">
        <v>276</v>
      </c>
      <c r="C457" t="s">
        <v>58</v>
      </c>
      <c r="D457" t="s">
        <v>59</v>
      </c>
      <c r="E457" t="s">
        <v>22</v>
      </c>
      <c r="F457" t="s">
        <v>23</v>
      </c>
      <c r="G457" t="s">
        <v>24</v>
      </c>
      <c r="H457">
        <v>2</v>
      </c>
      <c r="I457">
        <v>45</v>
      </c>
      <c r="J457">
        <v>61.85</v>
      </c>
      <c r="K457">
        <v>57</v>
      </c>
      <c r="L457">
        <v>2783.25</v>
      </c>
      <c r="M457">
        <v>218.25</v>
      </c>
      <c r="N457" s="1">
        <v>38273</v>
      </c>
      <c r="O457" t="s">
        <v>25</v>
      </c>
      <c r="P457">
        <v>4</v>
      </c>
      <c r="Q457">
        <v>10</v>
      </c>
      <c r="R457">
        <v>2004</v>
      </c>
      <c r="S457" t="s">
        <v>83</v>
      </c>
    </row>
    <row r="458" spans="1:19" x14ac:dyDescent="0.25">
      <c r="A458">
        <v>10383</v>
      </c>
      <c r="B458" t="s">
        <v>276</v>
      </c>
      <c r="C458" t="s">
        <v>78</v>
      </c>
      <c r="D458" t="s">
        <v>79</v>
      </c>
      <c r="E458" t="s">
        <v>80</v>
      </c>
      <c r="F458" t="s">
        <v>30</v>
      </c>
      <c r="G458" t="s">
        <v>24</v>
      </c>
      <c r="H458">
        <v>2</v>
      </c>
      <c r="I458">
        <v>22</v>
      </c>
      <c r="J458">
        <v>91.76</v>
      </c>
      <c r="K458">
        <v>57</v>
      </c>
      <c r="L458">
        <v>2018.72</v>
      </c>
      <c r="M458">
        <v>764.72</v>
      </c>
      <c r="N458" s="1">
        <v>38405</v>
      </c>
      <c r="O458" t="s">
        <v>25</v>
      </c>
      <c r="P458">
        <v>1</v>
      </c>
      <c r="Q458">
        <v>2</v>
      </c>
      <c r="R458">
        <v>2005</v>
      </c>
      <c r="S458" t="s">
        <v>83</v>
      </c>
    </row>
    <row r="459" spans="1:19" x14ac:dyDescent="0.25">
      <c r="A459">
        <v>10394</v>
      </c>
      <c r="B459" t="s">
        <v>276</v>
      </c>
      <c r="C459" t="s">
        <v>78</v>
      </c>
      <c r="D459" t="s">
        <v>79</v>
      </c>
      <c r="E459" t="s">
        <v>80</v>
      </c>
      <c r="F459" t="s">
        <v>30</v>
      </c>
      <c r="G459" t="s">
        <v>24</v>
      </c>
      <c r="H459">
        <v>2</v>
      </c>
      <c r="I459">
        <v>31</v>
      </c>
      <c r="J459">
        <v>50.29</v>
      </c>
      <c r="K459">
        <v>57</v>
      </c>
      <c r="L459">
        <v>1558.99</v>
      </c>
      <c r="M459">
        <v>-208.01</v>
      </c>
      <c r="N459" s="1">
        <v>38426</v>
      </c>
      <c r="O459" t="s">
        <v>25</v>
      </c>
      <c r="P459">
        <v>1</v>
      </c>
      <c r="Q459">
        <v>3</v>
      </c>
      <c r="R459">
        <v>2005</v>
      </c>
      <c r="S459" t="s">
        <v>83</v>
      </c>
    </row>
    <row r="460" spans="1:19" x14ac:dyDescent="0.25">
      <c r="A460">
        <v>10412</v>
      </c>
      <c r="B460" t="s">
        <v>276</v>
      </c>
      <c r="C460" t="s">
        <v>78</v>
      </c>
      <c r="D460" t="s">
        <v>79</v>
      </c>
      <c r="E460" t="s">
        <v>80</v>
      </c>
      <c r="F460" t="s">
        <v>30</v>
      </c>
      <c r="G460" t="s">
        <v>24</v>
      </c>
      <c r="H460">
        <v>2</v>
      </c>
      <c r="I460">
        <v>21</v>
      </c>
      <c r="J460">
        <v>52.6</v>
      </c>
      <c r="K460">
        <v>57</v>
      </c>
      <c r="L460">
        <v>1104.5999999999999</v>
      </c>
      <c r="M460">
        <v>-92.4</v>
      </c>
      <c r="N460" s="1">
        <v>38475</v>
      </c>
      <c r="O460" t="s">
        <v>25</v>
      </c>
      <c r="P460">
        <v>2</v>
      </c>
      <c r="Q460">
        <v>5</v>
      </c>
      <c r="R460">
        <v>2005</v>
      </c>
      <c r="S460" t="s">
        <v>83</v>
      </c>
    </row>
    <row r="461" spans="1:19" x14ac:dyDescent="0.25">
      <c r="A461">
        <v>10168</v>
      </c>
      <c r="B461" t="s">
        <v>277</v>
      </c>
      <c r="C461" t="s">
        <v>38</v>
      </c>
      <c r="D461" t="s">
        <v>39</v>
      </c>
      <c r="E461" t="s">
        <v>22</v>
      </c>
      <c r="F461" t="s">
        <v>23</v>
      </c>
      <c r="G461" t="s">
        <v>33</v>
      </c>
      <c r="H461">
        <v>2</v>
      </c>
      <c r="I461">
        <v>50</v>
      </c>
      <c r="J461">
        <v>100</v>
      </c>
      <c r="K461">
        <v>112</v>
      </c>
      <c r="L461">
        <v>5747.5</v>
      </c>
      <c r="M461">
        <v>147.5</v>
      </c>
      <c r="N461" s="1">
        <v>37922</v>
      </c>
      <c r="O461" t="s">
        <v>25</v>
      </c>
      <c r="P461">
        <v>4</v>
      </c>
      <c r="Q461">
        <v>10</v>
      </c>
      <c r="R461">
        <v>2003</v>
      </c>
      <c r="S461" t="s">
        <v>26</v>
      </c>
    </row>
    <row r="462" spans="1:19" x14ac:dyDescent="0.25">
      <c r="A462">
        <v>10188</v>
      </c>
      <c r="B462" t="s">
        <v>277</v>
      </c>
      <c r="C462" t="s">
        <v>42</v>
      </c>
      <c r="D462" t="s">
        <v>43</v>
      </c>
      <c r="E462" t="s">
        <v>44</v>
      </c>
      <c r="F462" t="s">
        <v>30</v>
      </c>
      <c r="G462" t="s">
        <v>24</v>
      </c>
      <c r="H462">
        <v>2</v>
      </c>
      <c r="I462">
        <v>25</v>
      </c>
      <c r="J462">
        <v>100</v>
      </c>
      <c r="K462">
        <v>112</v>
      </c>
      <c r="L462">
        <v>2535.75</v>
      </c>
      <c r="M462">
        <v>-264.25</v>
      </c>
      <c r="N462" s="1">
        <v>37943</v>
      </c>
      <c r="O462" t="s">
        <v>25</v>
      </c>
      <c r="P462">
        <v>4</v>
      </c>
      <c r="Q462">
        <v>11</v>
      </c>
      <c r="R462">
        <v>2003</v>
      </c>
      <c r="S462" t="s">
        <v>26</v>
      </c>
    </row>
    <row r="463" spans="1:19" x14ac:dyDescent="0.25">
      <c r="A463">
        <v>10223</v>
      </c>
      <c r="B463" t="s">
        <v>277</v>
      </c>
      <c r="C463" t="s">
        <v>47</v>
      </c>
      <c r="D463" t="s">
        <v>48</v>
      </c>
      <c r="E463" t="s">
        <v>49</v>
      </c>
      <c r="F463" t="s">
        <v>50</v>
      </c>
      <c r="G463" t="s">
        <v>24</v>
      </c>
      <c r="H463">
        <v>2</v>
      </c>
      <c r="I463">
        <v>32</v>
      </c>
      <c r="J463">
        <v>91.29</v>
      </c>
      <c r="K463">
        <v>112</v>
      </c>
      <c r="L463">
        <v>2921.28</v>
      </c>
      <c r="M463">
        <v>-662.72</v>
      </c>
      <c r="N463" s="1">
        <v>38037</v>
      </c>
      <c r="O463" t="s">
        <v>25</v>
      </c>
      <c r="P463">
        <v>1</v>
      </c>
      <c r="Q463">
        <v>2</v>
      </c>
      <c r="R463">
        <v>2004</v>
      </c>
      <c r="S463" t="s">
        <v>26</v>
      </c>
    </row>
    <row r="464" spans="1:19" x14ac:dyDescent="0.25">
      <c r="A464">
        <v>10275</v>
      </c>
      <c r="B464" t="s">
        <v>277</v>
      </c>
      <c r="C464" t="s">
        <v>56</v>
      </c>
      <c r="D464" t="s">
        <v>57</v>
      </c>
      <c r="E464" t="s">
        <v>29</v>
      </c>
      <c r="F464" t="s">
        <v>30</v>
      </c>
      <c r="G464" t="s">
        <v>24</v>
      </c>
      <c r="H464">
        <v>2</v>
      </c>
      <c r="I464">
        <v>21</v>
      </c>
      <c r="J464">
        <v>100</v>
      </c>
      <c r="K464">
        <v>112</v>
      </c>
      <c r="L464">
        <v>2153.7600000000002</v>
      </c>
      <c r="M464">
        <v>-198.24</v>
      </c>
      <c r="N464" s="1">
        <v>38191</v>
      </c>
      <c r="O464" t="s">
        <v>25</v>
      </c>
      <c r="P464">
        <v>3</v>
      </c>
      <c r="Q464">
        <v>7</v>
      </c>
      <c r="R464">
        <v>2004</v>
      </c>
      <c r="S464" t="s">
        <v>26</v>
      </c>
    </row>
    <row r="465" spans="1:19" x14ac:dyDescent="0.25">
      <c r="A465">
        <v>10318</v>
      </c>
      <c r="B465" t="s">
        <v>277</v>
      </c>
      <c r="C465" t="s">
        <v>65</v>
      </c>
      <c r="D465" t="s">
        <v>66</v>
      </c>
      <c r="E465" t="s">
        <v>22</v>
      </c>
      <c r="F465" t="s">
        <v>23</v>
      </c>
      <c r="G465" t="s">
        <v>33</v>
      </c>
      <c r="H465">
        <v>2</v>
      </c>
      <c r="I465">
        <v>48</v>
      </c>
      <c r="J465">
        <v>100</v>
      </c>
      <c r="K465">
        <v>112</v>
      </c>
      <c r="L465">
        <v>6437.28</v>
      </c>
      <c r="M465">
        <v>1061.28</v>
      </c>
      <c r="N465" s="1">
        <v>38293</v>
      </c>
      <c r="O465" t="s">
        <v>25</v>
      </c>
      <c r="P465">
        <v>4</v>
      </c>
      <c r="Q465">
        <v>11</v>
      </c>
      <c r="R465">
        <v>2004</v>
      </c>
      <c r="S465" t="s">
        <v>26</v>
      </c>
    </row>
    <row r="466" spans="1:19" x14ac:dyDescent="0.25">
      <c r="A466">
        <v>10362</v>
      </c>
      <c r="B466" t="s">
        <v>277</v>
      </c>
      <c r="C466" t="s">
        <v>38</v>
      </c>
      <c r="D466" t="s">
        <v>39</v>
      </c>
      <c r="E466" t="s">
        <v>22</v>
      </c>
      <c r="F466" t="s">
        <v>23</v>
      </c>
      <c r="G466" t="s">
        <v>33</v>
      </c>
      <c r="H466">
        <v>2</v>
      </c>
      <c r="I466">
        <v>50</v>
      </c>
      <c r="J466">
        <v>96.92</v>
      </c>
      <c r="K466">
        <v>112</v>
      </c>
      <c r="L466">
        <v>4846</v>
      </c>
      <c r="M466">
        <v>-754</v>
      </c>
      <c r="N466" s="1">
        <v>38357</v>
      </c>
      <c r="O466" t="s">
        <v>25</v>
      </c>
      <c r="P466">
        <v>1</v>
      </c>
      <c r="Q466">
        <v>1</v>
      </c>
      <c r="R466">
        <v>2005</v>
      </c>
      <c r="S466" t="s">
        <v>26</v>
      </c>
    </row>
    <row r="467" spans="1:19" x14ac:dyDescent="0.25">
      <c r="A467">
        <v>10353</v>
      </c>
      <c r="B467" t="s">
        <v>279</v>
      </c>
      <c r="C467" t="s">
        <v>235</v>
      </c>
      <c r="D467" t="s">
        <v>208</v>
      </c>
      <c r="E467" t="s">
        <v>22</v>
      </c>
      <c r="F467" t="s">
        <v>23</v>
      </c>
      <c r="G467" t="s">
        <v>24</v>
      </c>
      <c r="H467">
        <v>2</v>
      </c>
      <c r="I467">
        <v>28</v>
      </c>
      <c r="J467">
        <v>71.73</v>
      </c>
      <c r="K467">
        <v>109</v>
      </c>
      <c r="L467">
        <v>2008.44</v>
      </c>
      <c r="M467">
        <v>-1043.56</v>
      </c>
      <c r="N467" s="1">
        <v>38325</v>
      </c>
      <c r="O467" t="s">
        <v>25</v>
      </c>
      <c r="P467">
        <v>4</v>
      </c>
      <c r="Q467">
        <v>12</v>
      </c>
      <c r="R467">
        <v>2004</v>
      </c>
      <c r="S467" t="s">
        <v>234</v>
      </c>
    </row>
    <row r="468" spans="1:19" x14ac:dyDescent="0.25">
      <c r="A468">
        <v>10124</v>
      </c>
      <c r="B468" t="s">
        <v>280</v>
      </c>
      <c r="C468" t="s">
        <v>221</v>
      </c>
      <c r="D468" t="s">
        <v>222</v>
      </c>
      <c r="E468" t="s">
        <v>22</v>
      </c>
      <c r="F468" t="s">
        <v>23</v>
      </c>
      <c r="G468" t="s">
        <v>24</v>
      </c>
      <c r="H468">
        <v>2</v>
      </c>
      <c r="I468">
        <v>45</v>
      </c>
      <c r="J468">
        <v>37.840000000000003</v>
      </c>
      <c r="K468">
        <v>33</v>
      </c>
      <c r="L468">
        <v>1702.8</v>
      </c>
      <c r="M468">
        <v>217.8</v>
      </c>
      <c r="N468" s="1">
        <v>37762</v>
      </c>
      <c r="O468" t="s">
        <v>25</v>
      </c>
      <c r="P468">
        <v>2</v>
      </c>
      <c r="Q468">
        <v>5</v>
      </c>
      <c r="R468">
        <v>2003</v>
      </c>
      <c r="S468" t="s">
        <v>226</v>
      </c>
    </row>
    <row r="469" spans="1:19" x14ac:dyDescent="0.25">
      <c r="A469">
        <v>10389</v>
      </c>
      <c r="B469" t="s">
        <v>281</v>
      </c>
      <c r="C469" t="s">
        <v>111</v>
      </c>
      <c r="D469" t="s">
        <v>112</v>
      </c>
      <c r="E469" t="s">
        <v>86</v>
      </c>
      <c r="F469" t="s">
        <v>30</v>
      </c>
      <c r="G469" t="s">
        <v>33</v>
      </c>
      <c r="H469">
        <v>2</v>
      </c>
      <c r="I469">
        <v>49</v>
      </c>
      <c r="J469">
        <v>81.400000000000006</v>
      </c>
      <c r="K469">
        <v>76</v>
      </c>
      <c r="L469">
        <v>3988.6</v>
      </c>
      <c r="M469">
        <v>264.60000000000002</v>
      </c>
      <c r="N469" s="1">
        <v>38414</v>
      </c>
      <c r="O469" t="s">
        <v>25</v>
      </c>
      <c r="P469">
        <v>1</v>
      </c>
      <c r="Q469">
        <v>3</v>
      </c>
      <c r="R469">
        <v>2005</v>
      </c>
      <c r="S469" t="s">
        <v>26</v>
      </c>
    </row>
    <row r="470" spans="1:19" x14ac:dyDescent="0.25">
      <c r="A470">
        <v>10293</v>
      </c>
      <c r="B470" t="s">
        <v>282</v>
      </c>
      <c r="C470" t="s">
        <v>108</v>
      </c>
      <c r="D470" t="s">
        <v>109</v>
      </c>
      <c r="E470" t="s">
        <v>110</v>
      </c>
      <c r="F470" t="s">
        <v>30</v>
      </c>
      <c r="G470" t="s">
        <v>24</v>
      </c>
      <c r="H470">
        <v>2</v>
      </c>
      <c r="I470">
        <v>21</v>
      </c>
      <c r="J470">
        <v>100</v>
      </c>
      <c r="K470">
        <v>122</v>
      </c>
      <c r="L470">
        <v>2941.89</v>
      </c>
      <c r="M470">
        <v>379.89</v>
      </c>
      <c r="N470" s="1">
        <v>38239</v>
      </c>
      <c r="O470" t="s">
        <v>25</v>
      </c>
      <c r="P470">
        <v>3</v>
      </c>
      <c r="Q470">
        <v>9</v>
      </c>
      <c r="R470">
        <v>2004</v>
      </c>
      <c r="S470" t="s">
        <v>255</v>
      </c>
    </row>
    <row r="471" spans="1:19" x14ac:dyDescent="0.25">
      <c r="A471">
        <v>10101</v>
      </c>
      <c r="B471" t="s">
        <v>283</v>
      </c>
      <c r="C471" t="s">
        <v>187</v>
      </c>
      <c r="D471" t="s">
        <v>188</v>
      </c>
      <c r="E471" t="s">
        <v>180</v>
      </c>
      <c r="F471" t="s">
        <v>30</v>
      </c>
      <c r="G471" t="s">
        <v>24</v>
      </c>
      <c r="H471">
        <v>2</v>
      </c>
      <c r="I471">
        <v>46</v>
      </c>
      <c r="J471">
        <v>53.76</v>
      </c>
      <c r="K471">
        <v>44</v>
      </c>
      <c r="L471">
        <v>2472.96</v>
      </c>
      <c r="M471">
        <v>448.96</v>
      </c>
      <c r="N471" s="1">
        <v>37630</v>
      </c>
      <c r="O471" t="s">
        <v>25</v>
      </c>
      <c r="P471">
        <v>1</v>
      </c>
      <c r="Q471">
        <v>1</v>
      </c>
      <c r="R471">
        <v>2003</v>
      </c>
      <c r="S471" t="s">
        <v>226</v>
      </c>
    </row>
    <row r="472" spans="1:19" x14ac:dyDescent="0.25">
      <c r="A472">
        <v>10110</v>
      </c>
      <c r="B472" t="s">
        <v>283</v>
      </c>
      <c r="C472" t="s">
        <v>197</v>
      </c>
      <c r="D472" t="s">
        <v>198</v>
      </c>
      <c r="E472" t="s">
        <v>77</v>
      </c>
      <c r="F472" t="s">
        <v>30</v>
      </c>
      <c r="G472" t="s">
        <v>24</v>
      </c>
      <c r="H472">
        <v>2</v>
      </c>
      <c r="I472">
        <v>39</v>
      </c>
      <c r="J472">
        <v>44.35</v>
      </c>
      <c r="K472">
        <v>44</v>
      </c>
      <c r="L472">
        <v>1729.65</v>
      </c>
      <c r="M472">
        <v>13.65</v>
      </c>
      <c r="N472" s="1">
        <v>37698</v>
      </c>
      <c r="O472" t="s">
        <v>25</v>
      </c>
      <c r="P472">
        <v>1</v>
      </c>
      <c r="Q472">
        <v>3</v>
      </c>
      <c r="R472">
        <v>2003</v>
      </c>
      <c r="S472" t="s">
        <v>226</v>
      </c>
    </row>
    <row r="473" spans="1:19" x14ac:dyDescent="0.25">
      <c r="A473">
        <v>10214</v>
      </c>
      <c r="B473" t="s">
        <v>283</v>
      </c>
      <c r="C473" t="s">
        <v>87</v>
      </c>
      <c r="D473" t="s">
        <v>79</v>
      </c>
      <c r="E473" t="s">
        <v>80</v>
      </c>
      <c r="F473" t="s">
        <v>30</v>
      </c>
      <c r="G473" t="s">
        <v>24</v>
      </c>
      <c r="H473">
        <v>2</v>
      </c>
      <c r="I473">
        <v>49</v>
      </c>
      <c r="J473">
        <v>47.94</v>
      </c>
      <c r="K473">
        <v>44</v>
      </c>
      <c r="L473">
        <v>2349.06</v>
      </c>
      <c r="M473">
        <v>193.06</v>
      </c>
      <c r="N473" s="1">
        <v>38012</v>
      </c>
      <c r="O473" t="s">
        <v>25</v>
      </c>
      <c r="P473">
        <v>1</v>
      </c>
      <c r="Q473">
        <v>1</v>
      </c>
      <c r="R473">
        <v>2004</v>
      </c>
      <c r="S473" t="s">
        <v>226</v>
      </c>
    </row>
    <row r="474" spans="1:19" x14ac:dyDescent="0.25">
      <c r="A474">
        <v>10255</v>
      </c>
      <c r="B474" t="s">
        <v>283</v>
      </c>
      <c r="C474" t="s">
        <v>217</v>
      </c>
      <c r="D474" t="s">
        <v>218</v>
      </c>
      <c r="E474" t="s">
        <v>29</v>
      </c>
      <c r="F474" t="s">
        <v>30</v>
      </c>
      <c r="G474" t="s">
        <v>24</v>
      </c>
      <c r="H474">
        <v>2</v>
      </c>
      <c r="I474">
        <v>37</v>
      </c>
      <c r="J474">
        <v>45.7</v>
      </c>
      <c r="K474">
        <v>44</v>
      </c>
      <c r="L474">
        <v>1690.9</v>
      </c>
      <c r="M474">
        <v>62.9</v>
      </c>
      <c r="N474" s="1">
        <v>38142</v>
      </c>
      <c r="O474" t="s">
        <v>25</v>
      </c>
      <c r="P474">
        <v>2</v>
      </c>
      <c r="Q474">
        <v>6</v>
      </c>
      <c r="R474">
        <v>2004</v>
      </c>
      <c r="S474" t="s">
        <v>226</v>
      </c>
    </row>
    <row r="475" spans="1:19" x14ac:dyDescent="0.25">
      <c r="A475">
        <v>10421</v>
      </c>
      <c r="B475" t="s">
        <v>283</v>
      </c>
      <c r="C475" t="s">
        <v>115</v>
      </c>
      <c r="D475" t="s">
        <v>116</v>
      </c>
      <c r="E475" t="s">
        <v>22</v>
      </c>
      <c r="F475" t="s">
        <v>23</v>
      </c>
      <c r="G475" t="s">
        <v>24</v>
      </c>
      <c r="H475">
        <v>2</v>
      </c>
      <c r="I475">
        <v>40</v>
      </c>
      <c r="J475">
        <v>45.7</v>
      </c>
      <c r="K475">
        <v>44</v>
      </c>
      <c r="L475">
        <v>1828</v>
      </c>
      <c r="M475">
        <v>68</v>
      </c>
      <c r="N475" s="1">
        <v>38501</v>
      </c>
      <c r="O475" t="s">
        <v>125</v>
      </c>
      <c r="P475">
        <v>2</v>
      </c>
      <c r="Q475">
        <v>5</v>
      </c>
      <c r="R475">
        <v>2005</v>
      </c>
      <c r="S475" t="s">
        <v>226</v>
      </c>
    </row>
    <row r="476" spans="1:19" x14ac:dyDescent="0.25">
      <c r="A476">
        <v>10324</v>
      </c>
      <c r="B476" t="s">
        <v>284</v>
      </c>
      <c r="C476" t="s">
        <v>51</v>
      </c>
      <c r="D476" t="s">
        <v>21</v>
      </c>
      <c r="E476" t="s">
        <v>22</v>
      </c>
      <c r="F476" t="s">
        <v>23</v>
      </c>
      <c r="G476" t="s">
        <v>33</v>
      </c>
      <c r="H476">
        <v>2</v>
      </c>
      <c r="I476">
        <v>31</v>
      </c>
      <c r="J476">
        <v>100</v>
      </c>
      <c r="K476">
        <v>127</v>
      </c>
      <c r="L476">
        <v>3820.44</v>
      </c>
      <c r="M476">
        <v>-116.56</v>
      </c>
      <c r="N476" s="1">
        <v>38296</v>
      </c>
      <c r="O476" t="s">
        <v>25</v>
      </c>
      <c r="P476">
        <v>4</v>
      </c>
      <c r="Q476">
        <v>11</v>
      </c>
      <c r="R476">
        <v>2004</v>
      </c>
      <c r="S476" t="s">
        <v>202</v>
      </c>
    </row>
    <row r="477" spans="1:19" x14ac:dyDescent="0.25">
      <c r="A477">
        <v>10121</v>
      </c>
      <c r="B477" t="s">
        <v>285</v>
      </c>
      <c r="C477" t="s">
        <v>27</v>
      </c>
      <c r="D477" t="s">
        <v>28</v>
      </c>
      <c r="E477" t="s">
        <v>29</v>
      </c>
      <c r="F477" t="s">
        <v>30</v>
      </c>
      <c r="G477" t="s">
        <v>24</v>
      </c>
      <c r="H477">
        <v>2</v>
      </c>
      <c r="I477">
        <v>32</v>
      </c>
      <c r="J477">
        <v>76.88</v>
      </c>
      <c r="K477">
        <v>69</v>
      </c>
      <c r="L477">
        <v>2460.16</v>
      </c>
      <c r="M477">
        <v>252.16</v>
      </c>
      <c r="N477" s="1">
        <v>37748</v>
      </c>
      <c r="O477" t="s">
        <v>25</v>
      </c>
      <c r="P477">
        <v>2</v>
      </c>
      <c r="Q477">
        <v>5</v>
      </c>
      <c r="R477">
        <v>2003</v>
      </c>
      <c r="S477" t="s">
        <v>26</v>
      </c>
    </row>
    <row r="478" spans="1:19" x14ac:dyDescent="0.25">
      <c r="A478">
        <v>10309</v>
      </c>
      <c r="B478" t="s">
        <v>285</v>
      </c>
      <c r="C478" t="s">
        <v>63</v>
      </c>
      <c r="D478" t="s">
        <v>64</v>
      </c>
      <c r="E478" t="s">
        <v>44</v>
      </c>
      <c r="F478" t="s">
        <v>30</v>
      </c>
      <c r="G478" t="s">
        <v>24</v>
      </c>
      <c r="H478">
        <v>2</v>
      </c>
      <c r="I478">
        <v>24</v>
      </c>
      <c r="J478">
        <v>56.1</v>
      </c>
      <c r="K478">
        <v>69</v>
      </c>
      <c r="L478">
        <v>1346.4</v>
      </c>
      <c r="M478">
        <v>-309.60000000000002</v>
      </c>
      <c r="N478" s="1">
        <v>38275</v>
      </c>
      <c r="O478" t="s">
        <v>25</v>
      </c>
      <c r="P478">
        <v>4</v>
      </c>
      <c r="Q478">
        <v>10</v>
      </c>
      <c r="R478">
        <v>2004</v>
      </c>
      <c r="S478" t="s">
        <v>26</v>
      </c>
    </row>
    <row r="479" spans="1:19" x14ac:dyDescent="0.25">
      <c r="A479">
        <v>10192</v>
      </c>
      <c r="B479" t="s">
        <v>286</v>
      </c>
      <c r="C479" t="s">
        <v>117</v>
      </c>
      <c r="D479" t="s">
        <v>118</v>
      </c>
      <c r="E479" t="s">
        <v>22</v>
      </c>
      <c r="F479" t="s">
        <v>23</v>
      </c>
      <c r="G479" t="s">
        <v>33</v>
      </c>
      <c r="H479">
        <v>2</v>
      </c>
      <c r="I479">
        <v>46</v>
      </c>
      <c r="J479">
        <v>83.6</v>
      </c>
      <c r="K479">
        <v>90</v>
      </c>
      <c r="L479">
        <v>3845.6</v>
      </c>
      <c r="M479">
        <v>-294.39999999999998</v>
      </c>
      <c r="N479" s="1">
        <v>37945</v>
      </c>
      <c r="O479" t="s">
        <v>25</v>
      </c>
      <c r="P479">
        <v>4</v>
      </c>
      <c r="Q479">
        <v>11</v>
      </c>
      <c r="R479">
        <v>2003</v>
      </c>
      <c r="S479" t="s">
        <v>83</v>
      </c>
    </row>
    <row r="480" spans="1:19" x14ac:dyDescent="0.25">
      <c r="A480">
        <v>10368</v>
      </c>
      <c r="B480" t="s">
        <v>286</v>
      </c>
      <c r="C480" t="s">
        <v>115</v>
      </c>
      <c r="D480" t="s">
        <v>116</v>
      </c>
      <c r="E480" t="s">
        <v>22</v>
      </c>
      <c r="F480" t="s">
        <v>23</v>
      </c>
      <c r="G480" t="s">
        <v>33</v>
      </c>
      <c r="H480">
        <v>2</v>
      </c>
      <c r="I480">
        <v>40</v>
      </c>
      <c r="J480">
        <v>100</v>
      </c>
      <c r="K480">
        <v>90</v>
      </c>
      <c r="L480">
        <v>4107.2</v>
      </c>
      <c r="M480">
        <v>507.2</v>
      </c>
      <c r="N480" s="1">
        <v>38371</v>
      </c>
      <c r="O480" t="s">
        <v>25</v>
      </c>
      <c r="P480">
        <v>1</v>
      </c>
      <c r="Q480">
        <v>1</v>
      </c>
      <c r="R480">
        <v>2005</v>
      </c>
      <c r="S480" t="s">
        <v>83</v>
      </c>
    </row>
    <row r="481" spans="1:19" x14ac:dyDescent="0.25">
      <c r="A481">
        <v>10175</v>
      </c>
      <c r="B481" t="s">
        <v>287</v>
      </c>
      <c r="C481" t="s">
        <v>138</v>
      </c>
      <c r="D481" t="s">
        <v>139</v>
      </c>
      <c r="E481" t="s">
        <v>77</v>
      </c>
      <c r="F481" t="s">
        <v>30</v>
      </c>
      <c r="G481" t="s">
        <v>24</v>
      </c>
      <c r="H481">
        <v>2</v>
      </c>
      <c r="I481">
        <v>37</v>
      </c>
      <c r="J481">
        <v>31.12</v>
      </c>
      <c r="K481">
        <v>35</v>
      </c>
      <c r="L481">
        <v>1151.44</v>
      </c>
      <c r="M481">
        <v>-143.56</v>
      </c>
      <c r="N481" s="1">
        <v>37931</v>
      </c>
      <c r="O481" t="s">
        <v>25</v>
      </c>
      <c r="P481">
        <v>4</v>
      </c>
      <c r="Q481">
        <v>11</v>
      </c>
      <c r="R481">
        <v>2003</v>
      </c>
      <c r="S481" t="s">
        <v>83</v>
      </c>
    </row>
    <row r="482" spans="1:19" x14ac:dyDescent="0.25">
      <c r="A482">
        <v>10229</v>
      </c>
      <c r="B482" t="s">
        <v>287</v>
      </c>
      <c r="C482" t="s">
        <v>115</v>
      </c>
      <c r="D482" t="s">
        <v>116</v>
      </c>
      <c r="E482" t="s">
        <v>22</v>
      </c>
      <c r="F482" t="s">
        <v>23</v>
      </c>
      <c r="G482" t="s">
        <v>24</v>
      </c>
      <c r="H482">
        <v>2</v>
      </c>
      <c r="I482">
        <v>33</v>
      </c>
      <c r="J482">
        <v>32.880000000000003</v>
      </c>
      <c r="K482">
        <v>35</v>
      </c>
      <c r="L482">
        <v>1085.04</v>
      </c>
      <c r="M482">
        <v>-69.959999999999994</v>
      </c>
      <c r="N482" s="1">
        <v>38057</v>
      </c>
      <c r="O482" t="s">
        <v>25</v>
      </c>
      <c r="P482">
        <v>1</v>
      </c>
      <c r="Q482">
        <v>3</v>
      </c>
      <c r="R482">
        <v>2004</v>
      </c>
      <c r="S482" t="s">
        <v>83</v>
      </c>
    </row>
    <row r="483" spans="1:19" x14ac:dyDescent="0.25">
      <c r="A483">
        <v>10281</v>
      </c>
      <c r="B483" t="s">
        <v>287</v>
      </c>
      <c r="C483" t="s">
        <v>65</v>
      </c>
      <c r="D483" t="s">
        <v>66</v>
      </c>
      <c r="E483" t="s">
        <v>22</v>
      </c>
      <c r="F483" t="s">
        <v>23</v>
      </c>
      <c r="G483" t="s">
        <v>24</v>
      </c>
      <c r="H483">
        <v>2</v>
      </c>
      <c r="I483">
        <v>20</v>
      </c>
      <c r="J483">
        <v>40.659999999999997</v>
      </c>
      <c r="K483">
        <v>35</v>
      </c>
      <c r="L483">
        <v>813.2</v>
      </c>
      <c r="M483">
        <v>113.2</v>
      </c>
      <c r="N483" s="1">
        <v>38218</v>
      </c>
      <c r="O483" t="s">
        <v>25</v>
      </c>
      <c r="P483">
        <v>3</v>
      </c>
      <c r="Q483">
        <v>8</v>
      </c>
      <c r="R483">
        <v>2004</v>
      </c>
      <c r="S483" t="s">
        <v>83</v>
      </c>
    </row>
    <row r="484" spans="1:19" x14ac:dyDescent="0.25">
      <c r="A484">
        <v>10335</v>
      </c>
      <c r="B484" t="s">
        <v>287</v>
      </c>
      <c r="C484" t="s">
        <v>115</v>
      </c>
      <c r="D484" t="s">
        <v>116</v>
      </c>
      <c r="E484" t="s">
        <v>22</v>
      </c>
      <c r="F484" t="s">
        <v>23</v>
      </c>
      <c r="G484" t="s">
        <v>24</v>
      </c>
      <c r="H484">
        <v>2</v>
      </c>
      <c r="I484">
        <v>33</v>
      </c>
      <c r="J484">
        <v>37.130000000000003</v>
      </c>
      <c r="K484">
        <v>35</v>
      </c>
      <c r="L484">
        <v>1225.29</v>
      </c>
      <c r="M484">
        <v>70.290000000000006</v>
      </c>
      <c r="N484" s="1">
        <v>38310</v>
      </c>
      <c r="O484" t="s">
        <v>25</v>
      </c>
      <c r="P484">
        <v>4</v>
      </c>
      <c r="Q484">
        <v>11</v>
      </c>
      <c r="R484">
        <v>2004</v>
      </c>
      <c r="S484" t="s">
        <v>83</v>
      </c>
    </row>
    <row r="485" spans="1:19" x14ac:dyDescent="0.25">
      <c r="A485">
        <v>10167</v>
      </c>
      <c r="B485" t="s">
        <v>288</v>
      </c>
      <c r="C485" t="s">
        <v>111</v>
      </c>
      <c r="D485" t="s">
        <v>112</v>
      </c>
      <c r="E485" t="s">
        <v>86</v>
      </c>
      <c r="F485" t="s">
        <v>30</v>
      </c>
      <c r="G485" t="s">
        <v>24</v>
      </c>
      <c r="H485">
        <v>2</v>
      </c>
      <c r="I485">
        <v>21</v>
      </c>
      <c r="J485">
        <v>69.88</v>
      </c>
      <c r="K485">
        <v>68</v>
      </c>
      <c r="L485">
        <v>1467.48</v>
      </c>
      <c r="M485">
        <v>39.479999999999997</v>
      </c>
      <c r="N485" s="1">
        <v>37917</v>
      </c>
      <c r="O485" t="s">
        <v>141</v>
      </c>
      <c r="P485">
        <v>4</v>
      </c>
      <c r="Q485">
        <v>10</v>
      </c>
      <c r="R485">
        <v>2003</v>
      </c>
      <c r="S485" t="s">
        <v>234</v>
      </c>
    </row>
    <row r="486" spans="1:19" x14ac:dyDescent="0.25">
      <c r="A486">
        <v>10186</v>
      </c>
      <c r="B486" t="s">
        <v>288</v>
      </c>
      <c r="C486" t="s">
        <v>144</v>
      </c>
      <c r="D486" t="s">
        <v>139</v>
      </c>
      <c r="E486" t="s">
        <v>77</v>
      </c>
      <c r="F486" t="s">
        <v>30</v>
      </c>
      <c r="G486" t="s">
        <v>24</v>
      </c>
      <c r="H486">
        <v>2</v>
      </c>
      <c r="I486">
        <v>22</v>
      </c>
      <c r="J486">
        <v>69.2</v>
      </c>
      <c r="K486">
        <v>68</v>
      </c>
      <c r="L486">
        <v>1522.4</v>
      </c>
      <c r="M486">
        <v>26.4</v>
      </c>
      <c r="N486" s="1">
        <v>37939</v>
      </c>
      <c r="O486" t="s">
        <v>25</v>
      </c>
      <c r="P486">
        <v>4</v>
      </c>
      <c r="Q486">
        <v>11</v>
      </c>
      <c r="R486">
        <v>2003</v>
      </c>
      <c r="S486" t="s">
        <v>234</v>
      </c>
    </row>
    <row r="487" spans="1:19" x14ac:dyDescent="0.25">
      <c r="A487">
        <v>10274</v>
      </c>
      <c r="B487" t="s">
        <v>288</v>
      </c>
      <c r="C487" t="s">
        <v>119</v>
      </c>
      <c r="D487" t="s">
        <v>120</v>
      </c>
      <c r="E487" t="s">
        <v>22</v>
      </c>
      <c r="F487" t="s">
        <v>23</v>
      </c>
      <c r="G487" t="s">
        <v>24</v>
      </c>
      <c r="H487">
        <v>2</v>
      </c>
      <c r="I487">
        <v>40</v>
      </c>
      <c r="J487">
        <v>65.08</v>
      </c>
      <c r="K487">
        <v>68</v>
      </c>
      <c r="L487">
        <v>2603.1999999999998</v>
      </c>
      <c r="M487">
        <v>-116.8</v>
      </c>
      <c r="N487" s="1">
        <v>38189</v>
      </c>
      <c r="O487" t="s">
        <v>25</v>
      </c>
      <c r="P487">
        <v>3</v>
      </c>
      <c r="Q487">
        <v>7</v>
      </c>
      <c r="R487">
        <v>2004</v>
      </c>
      <c r="S487" t="s">
        <v>234</v>
      </c>
    </row>
    <row r="488" spans="1:19" x14ac:dyDescent="0.25">
      <c r="A488">
        <v>10307</v>
      </c>
      <c r="B488" t="s">
        <v>288</v>
      </c>
      <c r="C488" t="s">
        <v>93</v>
      </c>
      <c r="D488" t="s">
        <v>94</v>
      </c>
      <c r="E488" t="s">
        <v>22</v>
      </c>
      <c r="F488" t="s">
        <v>23</v>
      </c>
      <c r="G488" t="s">
        <v>24</v>
      </c>
      <c r="H488">
        <v>2</v>
      </c>
      <c r="I488">
        <v>25</v>
      </c>
      <c r="J488">
        <v>75.36</v>
      </c>
      <c r="K488">
        <v>68</v>
      </c>
      <c r="L488">
        <v>1884</v>
      </c>
      <c r="M488">
        <v>184</v>
      </c>
      <c r="N488" s="1">
        <v>38274</v>
      </c>
      <c r="O488" t="s">
        <v>25</v>
      </c>
      <c r="P488">
        <v>4</v>
      </c>
      <c r="Q488">
        <v>10</v>
      </c>
      <c r="R488">
        <v>2004</v>
      </c>
      <c r="S488" t="s">
        <v>234</v>
      </c>
    </row>
    <row r="489" spans="1:19" x14ac:dyDescent="0.25">
      <c r="A489">
        <v>10400</v>
      </c>
      <c r="B489" t="s">
        <v>288</v>
      </c>
      <c r="C489" t="s">
        <v>162</v>
      </c>
      <c r="D489" t="s">
        <v>163</v>
      </c>
      <c r="E489" t="s">
        <v>22</v>
      </c>
      <c r="F489" t="s">
        <v>23</v>
      </c>
      <c r="G489" t="s">
        <v>24</v>
      </c>
      <c r="H489">
        <v>2</v>
      </c>
      <c r="I489">
        <v>24</v>
      </c>
      <c r="J489">
        <v>61.66</v>
      </c>
      <c r="K489">
        <v>68</v>
      </c>
      <c r="L489">
        <v>1479.84</v>
      </c>
      <c r="M489">
        <v>-152.16</v>
      </c>
      <c r="N489" s="1">
        <v>38443</v>
      </c>
      <c r="O489" t="s">
        <v>25</v>
      </c>
      <c r="P489">
        <v>2</v>
      </c>
      <c r="Q489">
        <v>4</v>
      </c>
      <c r="R489">
        <v>2005</v>
      </c>
      <c r="S489" t="s">
        <v>234</v>
      </c>
    </row>
    <row r="490" spans="1:19" x14ac:dyDescent="0.25">
      <c r="A490">
        <v>10161</v>
      </c>
      <c r="B490" t="s">
        <v>289</v>
      </c>
      <c r="C490" t="s">
        <v>199</v>
      </c>
      <c r="D490" t="s">
        <v>200</v>
      </c>
      <c r="E490" t="s">
        <v>137</v>
      </c>
      <c r="F490" t="s">
        <v>30</v>
      </c>
      <c r="G490" t="s">
        <v>24</v>
      </c>
      <c r="H490">
        <v>2</v>
      </c>
      <c r="I490">
        <v>25</v>
      </c>
      <c r="J490">
        <v>100</v>
      </c>
      <c r="K490">
        <v>117</v>
      </c>
      <c r="L490">
        <v>2759.75</v>
      </c>
      <c r="M490">
        <v>-165.25</v>
      </c>
      <c r="N490" s="1">
        <v>37911</v>
      </c>
      <c r="O490" t="s">
        <v>25</v>
      </c>
      <c r="P490">
        <v>4</v>
      </c>
      <c r="Q490">
        <v>10</v>
      </c>
      <c r="R490">
        <v>2003</v>
      </c>
      <c r="S490" t="s">
        <v>83</v>
      </c>
    </row>
    <row r="491" spans="1:19" x14ac:dyDescent="0.25">
      <c r="A491">
        <v>10267</v>
      </c>
      <c r="B491" t="s">
        <v>289</v>
      </c>
      <c r="C491" t="s">
        <v>192</v>
      </c>
      <c r="D491" t="s">
        <v>21</v>
      </c>
      <c r="E491" t="s">
        <v>22</v>
      </c>
      <c r="F491" t="s">
        <v>23</v>
      </c>
      <c r="G491" t="s">
        <v>33</v>
      </c>
      <c r="H491">
        <v>2</v>
      </c>
      <c r="I491">
        <v>43</v>
      </c>
      <c r="J491">
        <v>100</v>
      </c>
      <c r="K491">
        <v>117</v>
      </c>
      <c r="L491">
        <v>4645.72</v>
      </c>
      <c r="M491">
        <v>-385.28</v>
      </c>
      <c r="N491" s="1">
        <v>38175</v>
      </c>
      <c r="O491" t="s">
        <v>25</v>
      </c>
      <c r="P491">
        <v>3</v>
      </c>
      <c r="Q491">
        <v>7</v>
      </c>
      <c r="R491">
        <v>2004</v>
      </c>
      <c r="S491" t="s">
        <v>83</v>
      </c>
    </row>
    <row r="492" spans="1:19" x14ac:dyDescent="0.25">
      <c r="A492">
        <v>10279</v>
      </c>
      <c r="B492" t="s">
        <v>289</v>
      </c>
      <c r="C492" t="s">
        <v>78</v>
      </c>
      <c r="D492" t="s">
        <v>79</v>
      </c>
      <c r="E492" t="s">
        <v>80</v>
      </c>
      <c r="F492" t="s">
        <v>30</v>
      </c>
      <c r="G492" t="s">
        <v>33</v>
      </c>
      <c r="H492">
        <v>2</v>
      </c>
      <c r="I492">
        <v>48</v>
      </c>
      <c r="J492">
        <v>100</v>
      </c>
      <c r="K492">
        <v>117</v>
      </c>
      <c r="L492">
        <v>5580.96</v>
      </c>
      <c r="M492">
        <v>-35.04</v>
      </c>
      <c r="N492" s="1">
        <v>38208</v>
      </c>
      <c r="O492" t="s">
        <v>25</v>
      </c>
      <c r="P492">
        <v>3</v>
      </c>
      <c r="Q492">
        <v>8</v>
      </c>
      <c r="R492">
        <v>2004</v>
      </c>
      <c r="S492" t="s">
        <v>83</v>
      </c>
    </row>
    <row r="493" spans="1:19" x14ac:dyDescent="0.25">
      <c r="A493">
        <v>10160</v>
      </c>
      <c r="B493" t="s">
        <v>290</v>
      </c>
      <c r="C493" t="s">
        <v>147</v>
      </c>
      <c r="D493" t="s">
        <v>148</v>
      </c>
      <c r="E493" t="s">
        <v>22</v>
      </c>
      <c r="F493" t="s">
        <v>23</v>
      </c>
      <c r="G493" t="s">
        <v>24</v>
      </c>
      <c r="H493">
        <v>2</v>
      </c>
      <c r="I493">
        <v>42</v>
      </c>
      <c r="J493">
        <v>37</v>
      </c>
      <c r="K493">
        <v>37</v>
      </c>
      <c r="L493">
        <v>1554</v>
      </c>
      <c r="M493">
        <v>0</v>
      </c>
      <c r="N493" s="1">
        <v>37905</v>
      </c>
      <c r="O493" t="s">
        <v>25</v>
      </c>
      <c r="P493">
        <v>4</v>
      </c>
      <c r="Q493">
        <v>10</v>
      </c>
      <c r="R493">
        <v>2003</v>
      </c>
      <c r="S493" t="s">
        <v>83</v>
      </c>
    </row>
    <row r="494" spans="1:19" x14ac:dyDescent="0.25">
      <c r="A494">
        <v>10203</v>
      </c>
      <c r="B494" t="s">
        <v>290</v>
      </c>
      <c r="C494" t="s">
        <v>78</v>
      </c>
      <c r="D494" t="s">
        <v>79</v>
      </c>
      <c r="E494" t="s">
        <v>80</v>
      </c>
      <c r="F494" t="s">
        <v>30</v>
      </c>
      <c r="G494" t="s">
        <v>24</v>
      </c>
      <c r="H494">
        <v>2</v>
      </c>
      <c r="I494">
        <v>21</v>
      </c>
      <c r="J494">
        <v>37</v>
      </c>
      <c r="K494">
        <v>37</v>
      </c>
      <c r="L494">
        <v>777</v>
      </c>
      <c r="M494">
        <v>0</v>
      </c>
      <c r="N494" s="1">
        <v>37957</v>
      </c>
      <c r="O494" t="s">
        <v>25</v>
      </c>
      <c r="P494">
        <v>4</v>
      </c>
      <c r="Q494">
        <v>12</v>
      </c>
      <c r="R494">
        <v>2003</v>
      </c>
      <c r="S494" t="s">
        <v>83</v>
      </c>
    </row>
    <row r="495" spans="1:19" x14ac:dyDescent="0.25">
      <c r="A495">
        <v>10239</v>
      </c>
      <c r="B495" t="s">
        <v>290</v>
      </c>
      <c r="C495" t="s">
        <v>160</v>
      </c>
      <c r="D495" t="s">
        <v>161</v>
      </c>
      <c r="E495" t="s">
        <v>62</v>
      </c>
      <c r="F495" t="s">
        <v>30</v>
      </c>
      <c r="G495" t="s">
        <v>24</v>
      </c>
      <c r="H495">
        <v>2</v>
      </c>
      <c r="I495">
        <v>20</v>
      </c>
      <c r="J495">
        <v>44.56</v>
      </c>
      <c r="K495">
        <v>37</v>
      </c>
      <c r="L495">
        <v>891.2</v>
      </c>
      <c r="M495">
        <v>151.19999999999999</v>
      </c>
      <c r="N495" s="1">
        <v>38089</v>
      </c>
      <c r="O495" t="s">
        <v>25</v>
      </c>
      <c r="P495">
        <v>2</v>
      </c>
      <c r="Q495">
        <v>4</v>
      </c>
      <c r="R495">
        <v>2004</v>
      </c>
      <c r="S495" t="s">
        <v>83</v>
      </c>
    </row>
    <row r="496" spans="1:19" x14ac:dyDescent="0.25">
      <c r="A496">
        <v>10367</v>
      </c>
      <c r="B496" t="s">
        <v>290</v>
      </c>
      <c r="C496" t="s">
        <v>34</v>
      </c>
      <c r="D496" t="s">
        <v>35</v>
      </c>
      <c r="E496" t="s">
        <v>22</v>
      </c>
      <c r="F496" t="s">
        <v>23</v>
      </c>
      <c r="G496" t="s">
        <v>33</v>
      </c>
      <c r="H496">
        <v>2</v>
      </c>
      <c r="I496">
        <v>36</v>
      </c>
      <c r="J496">
        <v>100</v>
      </c>
      <c r="K496">
        <v>37</v>
      </c>
      <c r="L496">
        <v>5018.3999999999996</v>
      </c>
      <c r="M496">
        <v>3686.4</v>
      </c>
      <c r="N496" s="1">
        <v>38364</v>
      </c>
      <c r="O496" t="s">
        <v>169</v>
      </c>
      <c r="P496">
        <v>1</v>
      </c>
      <c r="Q496">
        <v>1</v>
      </c>
      <c r="R496">
        <v>2005</v>
      </c>
      <c r="S496" t="s">
        <v>83</v>
      </c>
    </row>
    <row r="497" spans="1:19" x14ac:dyDescent="0.25">
      <c r="A497">
        <v>10405</v>
      </c>
      <c r="B497" t="s">
        <v>290</v>
      </c>
      <c r="C497" t="s">
        <v>217</v>
      </c>
      <c r="D497" t="s">
        <v>218</v>
      </c>
      <c r="E497" t="s">
        <v>29</v>
      </c>
      <c r="F497" t="s">
        <v>30</v>
      </c>
      <c r="G497" t="s">
        <v>24</v>
      </c>
      <c r="H497">
        <v>2</v>
      </c>
      <c r="I497">
        <v>47</v>
      </c>
      <c r="J497">
        <v>44.56</v>
      </c>
      <c r="K497">
        <v>37</v>
      </c>
      <c r="L497">
        <v>2094.3200000000002</v>
      </c>
      <c r="M497">
        <v>355.32</v>
      </c>
      <c r="N497" s="1">
        <v>38456</v>
      </c>
      <c r="O497" t="s">
        <v>25</v>
      </c>
      <c r="P497">
        <v>2</v>
      </c>
      <c r="Q497">
        <v>4</v>
      </c>
      <c r="R497">
        <v>2005</v>
      </c>
      <c r="S497" t="s">
        <v>83</v>
      </c>
    </row>
    <row r="498" spans="1:19" x14ac:dyDescent="0.25">
      <c r="A498">
        <v>10154</v>
      </c>
      <c r="B498" t="s">
        <v>291</v>
      </c>
      <c r="C498" t="s">
        <v>207</v>
      </c>
      <c r="D498" t="s">
        <v>208</v>
      </c>
      <c r="E498" t="s">
        <v>22</v>
      </c>
      <c r="F498" t="s">
        <v>23</v>
      </c>
      <c r="G498" t="s">
        <v>24</v>
      </c>
      <c r="H498">
        <v>2</v>
      </c>
      <c r="I498">
        <v>31</v>
      </c>
      <c r="J498">
        <v>91.17</v>
      </c>
      <c r="K498">
        <v>88</v>
      </c>
      <c r="L498">
        <v>2826.27</v>
      </c>
      <c r="M498">
        <v>98.27</v>
      </c>
      <c r="N498" s="1">
        <v>37896</v>
      </c>
      <c r="O498" t="s">
        <v>25</v>
      </c>
      <c r="P498">
        <v>4</v>
      </c>
      <c r="Q498">
        <v>10</v>
      </c>
      <c r="R498">
        <v>2003</v>
      </c>
      <c r="S498" t="s">
        <v>226</v>
      </c>
    </row>
    <row r="499" spans="1:19" x14ac:dyDescent="0.25">
      <c r="A499">
        <v>10177</v>
      </c>
      <c r="B499" t="s">
        <v>291</v>
      </c>
      <c r="C499" t="s">
        <v>196</v>
      </c>
      <c r="D499" t="s">
        <v>79</v>
      </c>
      <c r="E499" t="s">
        <v>80</v>
      </c>
      <c r="F499" t="s">
        <v>30</v>
      </c>
      <c r="G499" t="s">
        <v>33</v>
      </c>
      <c r="H499">
        <v>2</v>
      </c>
      <c r="I499">
        <v>45</v>
      </c>
      <c r="J499">
        <v>72.58</v>
      </c>
      <c r="K499">
        <v>88</v>
      </c>
      <c r="L499">
        <v>3266.1</v>
      </c>
      <c r="M499">
        <v>-693.9</v>
      </c>
      <c r="N499" s="1">
        <v>37932</v>
      </c>
      <c r="O499" t="s">
        <v>25</v>
      </c>
      <c r="P499">
        <v>4</v>
      </c>
      <c r="Q499">
        <v>11</v>
      </c>
      <c r="R499">
        <v>2003</v>
      </c>
      <c r="S499" t="s">
        <v>226</v>
      </c>
    </row>
    <row r="500" spans="1:19" x14ac:dyDescent="0.25">
      <c r="A500">
        <v>10185</v>
      </c>
      <c r="B500" t="s">
        <v>291</v>
      </c>
      <c r="C500" t="s">
        <v>140</v>
      </c>
      <c r="D500" t="s">
        <v>74</v>
      </c>
      <c r="E500" t="s">
        <v>22</v>
      </c>
      <c r="F500" t="s">
        <v>23</v>
      </c>
      <c r="G500" t="s">
        <v>24</v>
      </c>
      <c r="H500">
        <v>2</v>
      </c>
      <c r="I500">
        <v>33</v>
      </c>
      <c r="J500">
        <v>74.349999999999994</v>
      </c>
      <c r="K500">
        <v>88</v>
      </c>
      <c r="L500">
        <v>2453.5500000000002</v>
      </c>
      <c r="M500">
        <v>-450.45</v>
      </c>
      <c r="N500" s="1">
        <v>37939</v>
      </c>
      <c r="O500" t="s">
        <v>25</v>
      </c>
      <c r="P500">
        <v>4</v>
      </c>
      <c r="Q500">
        <v>11</v>
      </c>
      <c r="R500">
        <v>2003</v>
      </c>
      <c r="S500" t="s">
        <v>226</v>
      </c>
    </row>
    <row r="501" spans="1:19" x14ac:dyDescent="0.25">
      <c r="A501">
        <v>10208</v>
      </c>
      <c r="B501" t="s">
        <v>291</v>
      </c>
      <c r="C501" t="s">
        <v>95</v>
      </c>
      <c r="D501" t="s">
        <v>96</v>
      </c>
      <c r="E501" t="s">
        <v>29</v>
      </c>
      <c r="F501" t="s">
        <v>30</v>
      </c>
      <c r="G501" t="s">
        <v>24</v>
      </c>
      <c r="H501">
        <v>2</v>
      </c>
      <c r="I501">
        <v>20</v>
      </c>
      <c r="J501">
        <v>89.4</v>
      </c>
      <c r="K501">
        <v>88</v>
      </c>
      <c r="L501">
        <v>1788</v>
      </c>
      <c r="M501">
        <v>28</v>
      </c>
      <c r="N501" s="1">
        <v>37988</v>
      </c>
      <c r="O501" t="s">
        <v>25</v>
      </c>
      <c r="P501">
        <v>1</v>
      </c>
      <c r="Q501">
        <v>1</v>
      </c>
      <c r="R501">
        <v>2004</v>
      </c>
      <c r="S501" t="s">
        <v>226</v>
      </c>
    </row>
    <row r="502" spans="1:19" x14ac:dyDescent="0.25">
      <c r="A502">
        <v>10233</v>
      </c>
      <c r="B502" t="s">
        <v>291</v>
      </c>
      <c r="C502" t="s">
        <v>52</v>
      </c>
      <c r="D502" t="s">
        <v>53</v>
      </c>
      <c r="E502" t="s">
        <v>22</v>
      </c>
      <c r="F502" t="s">
        <v>23</v>
      </c>
      <c r="G502" t="s">
        <v>33</v>
      </c>
      <c r="H502">
        <v>2</v>
      </c>
      <c r="I502">
        <v>40</v>
      </c>
      <c r="J502">
        <v>94.71</v>
      </c>
      <c r="K502">
        <v>88</v>
      </c>
      <c r="L502">
        <v>3788.4</v>
      </c>
      <c r="M502">
        <v>268.39999999999998</v>
      </c>
      <c r="N502" s="1">
        <v>38075</v>
      </c>
      <c r="O502" t="s">
        <v>25</v>
      </c>
      <c r="P502">
        <v>1</v>
      </c>
      <c r="Q502">
        <v>3</v>
      </c>
      <c r="R502">
        <v>2004</v>
      </c>
      <c r="S502" t="s">
        <v>226</v>
      </c>
    </row>
    <row r="503" spans="1:19" x14ac:dyDescent="0.25">
      <c r="A503">
        <v>10306</v>
      </c>
      <c r="B503" t="s">
        <v>291</v>
      </c>
      <c r="C503" t="s">
        <v>197</v>
      </c>
      <c r="D503" t="s">
        <v>198</v>
      </c>
      <c r="E503" t="s">
        <v>77</v>
      </c>
      <c r="F503" t="s">
        <v>30</v>
      </c>
      <c r="G503" t="s">
        <v>24</v>
      </c>
      <c r="H503">
        <v>2</v>
      </c>
      <c r="I503">
        <v>31</v>
      </c>
      <c r="J503">
        <v>84.08</v>
      </c>
      <c r="K503">
        <v>88</v>
      </c>
      <c r="L503">
        <v>2606.48</v>
      </c>
      <c r="M503">
        <v>-121.52</v>
      </c>
      <c r="N503" s="1">
        <v>38274</v>
      </c>
      <c r="O503" t="s">
        <v>25</v>
      </c>
      <c r="P503">
        <v>4</v>
      </c>
      <c r="Q503">
        <v>10</v>
      </c>
      <c r="R503">
        <v>2004</v>
      </c>
      <c r="S503" t="s">
        <v>226</v>
      </c>
    </row>
    <row r="504" spans="1:19" x14ac:dyDescent="0.25">
      <c r="A504">
        <v>10384</v>
      </c>
      <c r="B504" t="s">
        <v>291</v>
      </c>
      <c r="C504" t="s">
        <v>36</v>
      </c>
      <c r="D504" t="s">
        <v>37</v>
      </c>
      <c r="E504" t="s">
        <v>22</v>
      </c>
      <c r="F504" t="s">
        <v>23</v>
      </c>
      <c r="G504" t="s">
        <v>33</v>
      </c>
      <c r="H504">
        <v>2</v>
      </c>
      <c r="I504">
        <v>43</v>
      </c>
      <c r="J504">
        <v>97.87</v>
      </c>
      <c r="K504">
        <v>88</v>
      </c>
      <c r="L504">
        <v>4208.41</v>
      </c>
      <c r="M504">
        <v>424.41</v>
      </c>
      <c r="N504" s="1">
        <v>38406</v>
      </c>
      <c r="O504" t="s">
        <v>25</v>
      </c>
      <c r="P504">
        <v>1</v>
      </c>
      <c r="Q504">
        <v>2</v>
      </c>
      <c r="R504">
        <v>2005</v>
      </c>
      <c r="S504" t="s">
        <v>226</v>
      </c>
    </row>
    <row r="505" spans="1:19" x14ac:dyDescent="0.25">
      <c r="A505">
        <v>10172</v>
      </c>
      <c r="B505" t="s">
        <v>292</v>
      </c>
      <c r="C505" t="s">
        <v>54</v>
      </c>
      <c r="D505" t="s">
        <v>55</v>
      </c>
      <c r="E505" t="s">
        <v>22</v>
      </c>
      <c r="F505" t="s">
        <v>23</v>
      </c>
      <c r="G505" t="s">
        <v>24</v>
      </c>
      <c r="H505">
        <v>2</v>
      </c>
      <c r="I505">
        <v>24</v>
      </c>
      <c r="J505">
        <v>81.33</v>
      </c>
      <c r="K505">
        <v>85</v>
      </c>
      <c r="L505">
        <v>1951.92</v>
      </c>
      <c r="M505">
        <v>-88.08</v>
      </c>
      <c r="N505" s="1">
        <v>37930</v>
      </c>
      <c r="O505" t="s">
        <v>25</v>
      </c>
      <c r="P505">
        <v>4</v>
      </c>
      <c r="Q505">
        <v>11</v>
      </c>
      <c r="R505">
        <v>2003</v>
      </c>
      <c r="S505" t="s">
        <v>83</v>
      </c>
    </row>
    <row r="506" spans="1:19" x14ac:dyDescent="0.25">
      <c r="A506">
        <v>10212</v>
      </c>
      <c r="B506" t="s">
        <v>292</v>
      </c>
      <c r="C506" t="s">
        <v>78</v>
      </c>
      <c r="D506" t="s">
        <v>79</v>
      </c>
      <c r="E506" t="s">
        <v>80</v>
      </c>
      <c r="F506" t="s">
        <v>30</v>
      </c>
      <c r="G506" t="s">
        <v>24</v>
      </c>
      <c r="H506">
        <v>2</v>
      </c>
      <c r="I506">
        <v>27</v>
      </c>
      <c r="J506">
        <v>79.62</v>
      </c>
      <c r="K506">
        <v>85</v>
      </c>
      <c r="L506">
        <v>2149.7399999999998</v>
      </c>
      <c r="M506">
        <v>-145.26</v>
      </c>
      <c r="N506" s="1">
        <v>38002</v>
      </c>
      <c r="O506" t="s">
        <v>25</v>
      </c>
      <c r="P506">
        <v>1</v>
      </c>
      <c r="Q506">
        <v>1</v>
      </c>
      <c r="R506">
        <v>2004</v>
      </c>
      <c r="S506" t="s">
        <v>83</v>
      </c>
    </row>
    <row r="507" spans="1:19" x14ac:dyDescent="0.25">
      <c r="A507">
        <v>10321</v>
      </c>
      <c r="B507" t="s">
        <v>292</v>
      </c>
      <c r="C507" t="s">
        <v>73</v>
      </c>
      <c r="D507" t="s">
        <v>74</v>
      </c>
      <c r="E507" t="s">
        <v>22</v>
      </c>
      <c r="F507" t="s">
        <v>23</v>
      </c>
      <c r="G507" t="s">
        <v>33</v>
      </c>
      <c r="H507">
        <v>2</v>
      </c>
      <c r="I507">
        <v>39</v>
      </c>
      <c r="J507">
        <v>84.75</v>
      </c>
      <c r="K507">
        <v>85</v>
      </c>
      <c r="L507">
        <v>3305.25</v>
      </c>
      <c r="M507">
        <v>-9.75</v>
      </c>
      <c r="N507" s="1">
        <v>38295</v>
      </c>
      <c r="O507" t="s">
        <v>25</v>
      </c>
      <c r="P507">
        <v>4</v>
      </c>
      <c r="Q507">
        <v>11</v>
      </c>
      <c r="R507">
        <v>2004</v>
      </c>
      <c r="S507" t="s">
        <v>83</v>
      </c>
    </row>
    <row r="508" spans="1:19" x14ac:dyDescent="0.25">
      <c r="A508">
        <v>10346</v>
      </c>
      <c r="B508" t="s">
        <v>292</v>
      </c>
      <c r="C508" t="s">
        <v>221</v>
      </c>
      <c r="D508" t="s">
        <v>222</v>
      </c>
      <c r="E508" t="s">
        <v>22</v>
      </c>
      <c r="F508" t="s">
        <v>23</v>
      </c>
      <c r="G508" t="s">
        <v>33</v>
      </c>
      <c r="H508">
        <v>2</v>
      </c>
      <c r="I508">
        <v>24</v>
      </c>
      <c r="J508">
        <v>100</v>
      </c>
      <c r="K508">
        <v>85</v>
      </c>
      <c r="L508">
        <v>3325.92</v>
      </c>
      <c r="M508">
        <v>1285.92</v>
      </c>
      <c r="N508" s="1">
        <v>38320</v>
      </c>
      <c r="O508" t="s">
        <v>25</v>
      </c>
      <c r="P508">
        <v>4</v>
      </c>
      <c r="Q508">
        <v>11</v>
      </c>
      <c r="R508">
        <v>2004</v>
      </c>
      <c r="S508" t="s">
        <v>83</v>
      </c>
    </row>
    <row r="509" spans="1:19" x14ac:dyDescent="0.25">
      <c r="A509">
        <v>10191</v>
      </c>
      <c r="B509" t="s">
        <v>293</v>
      </c>
      <c r="C509" t="s">
        <v>178</v>
      </c>
      <c r="D509" t="s">
        <v>179</v>
      </c>
      <c r="E509" t="s">
        <v>180</v>
      </c>
      <c r="F509" t="s">
        <v>30</v>
      </c>
      <c r="G509" t="s">
        <v>24</v>
      </c>
      <c r="H509">
        <v>2</v>
      </c>
      <c r="I509">
        <v>48</v>
      </c>
      <c r="J509">
        <v>60.01</v>
      </c>
      <c r="K509">
        <v>61</v>
      </c>
      <c r="L509">
        <v>2880.48</v>
      </c>
      <c r="M509">
        <v>-47.52</v>
      </c>
      <c r="N509" s="1">
        <v>37945</v>
      </c>
      <c r="O509" t="s">
        <v>25</v>
      </c>
      <c r="P509">
        <v>4</v>
      </c>
      <c r="Q509">
        <v>11</v>
      </c>
      <c r="R509">
        <v>2003</v>
      </c>
      <c r="S509" t="s">
        <v>83</v>
      </c>
    </row>
    <row r="510" spans="1:19" x14ac:dyDescent="0.25">
      <c r="A510">
        <v>10238</v>
      </c>
      <c r="B510" t="s">
        <v>293</v>
      </c>
      <c r="C510" t="s">
        <v>135</v>
      </c>
      <c r="D510" t="s">
        <v>136</v>
      </c>
      <c r="E510" t="s">
        <v>137</v>
      </c>
      <c r="F510" t="s">
        <v>30</v>
      </c>
      <c r="G510" t="s">
        <v>24</v>
      </c>
      <c r="H510">
        <v>2</v>
      </c>
      <c r="I510">
        <v>47</v>
      </c>
      <c r="J510">
        <v>62.45</v>
      </c>
      <c r="K510">
        <v>61</v>
      </c>
      <c r="L510">
        <v>2935.15</v>
      </c>
      <c r="M510">
        <v>68.150000000000006</v>
      </c>
      <c r="N510" s="1">
        <v>38086</v>
      </c>
      <c r="O510" t="s">
        <v>25</v>
      </c>
      <c r="P510">
        <v>2</v>
      </c>
      <c r="Q510">
        <v>4</v>
      </c>
      <c r="R510">
        <v>2004</v>
      </c>
      <c r="S510" t="s">
        <v>83</v>
      </c>
    </row>
    <row r="511" spans="1:19" x14ac:dyDescent="0.25">
      <c r="A511">
        <v>10276</v>
      </c>
      <c r="B511" t="s">
        <v>293</v>
      </c>
      <c r="C511" t="s">
        <v>186</v>
      </c>
      <c r="D511" t="s">
        <v>120</v>
      </c>
      <c r="E511" t="s">
        <v>22</v>
      </c>
      <c r="F511" t="s">
        <v>23</v>
      </c>
      <c r="G511" t="s">
        <v>24</v>
      </c>
      <c r="H511">
        <v>2</v>
      </c>
      <c r="I511">
        <v>20</v>
      </c>
      <c r="J511">
        <v>61.23</v>
      </c>
      <c r="K511">
        <v>61</v>
      </c>
      <c r="L511">
        <v>1224.5999999999999</v>
      </c>
      <c r="M511">
        <v>4.5999999999999996</v>
      </c>
      <c r="N511" s="1">
        <v>38201</v>
      </c>
      <c r="O511" t="s">
        <v>25</v>
      </c>
      <c r="P511">
        <v>3</v>
      </c>
      <c r="Q511">
        <v>8</v>
      </c>
      <c r="R511">
        <v>2004</v>
      </c>
      <c r="S511" t="s">
        <v>83</v>
      </c>
    </row>
    <row r="512" spans="1:19" x14ac:dyDescent="0.25">
      <c r="A512">
        <v>10320</v>
      </c>
      <c r="B512" t="s">
        <v>293</v>
      </c>
      <c r="C512" t="s">
        <v>84</v>
      </c>
      <c r="D512" t="s">
        <v>85</v>
      </c>
      <c r="E512" t="s">
        <v>86</v>
      </c>
      <c r="F512" t="s">
        <v>30</v>
      </c>
      <c r="G512" t="s">
        <v>24</v>
      </c>
      <c r="H512">
        <v>2</v>
      </c>
      <c r="I512">
        <v>26</v>
      </c>
      <c r="J512">
        <v>61.23</v>
      </c>
      <c r="K512">
        <v>61</v>
      </c>
      <c r="L512">
        <v>1591.98</v>
      </c>
      <c r="M512">
        <v>5.98</v>
      </c>
      <c r="N512" s="1">
        <v>38294</v>
      </c>
      <c r="O512" t="s">
        <v>25</v>
      </c>
      <c r="P512">
        <v>4</v>
      </c>
      <c r="Q512">
        <v>11</v>
      </c>
      <c r="R512">
        <v>2004</v>
      </c>
      <c r="S512" t="s">
        <v>83</v>
      </c>
    </row>
    <row r="513" spans="1:19" x14ac:dyDescent="0.25">
      <c r="A513">
        <v>10209</v>
      </c>
      <c r="B513" t="s">
        <v>294</v>
      </c>
      <c r="C513" t="s">
        <v>147</v>
      </c>
      <c r="D513" t="s">
        <v>148</v>
      </c>
      <c r="E513" t="s">
        <v>22</v>
      </c>
      <c r="F513" t="s">
        <v>23</v>
      </c>
      <c r="G513" t="s">
        <v>24</v>
      </c>
      <c r="H513">
        <v>2</v>
      </c>
      <c r="I513">
        <v>36</v>
      </c>
      <c r="J513">
        <v>77.59</v>
      </c>
      <c r="K513">
        <v>65</v>
      </c>
      <c r="L513">
        <v>2793.24</v>
      </c>
      <c r="M513">
        <v>453.24</v>
      </c>
      <c r="N513" s="1">
        <v>37995</v>
      </c>
      <c r="O513" t="s">
        <v>25</v>
      </c>
      <c r="P513">
        <v>1</v>
      </c>
      <c r="Q513">
        <v>1</v>
      </c>
      <c r="R513">
        <v>2004</v>
      </c>
      <c r="S513" t="s">
        <v>226</v>
      </c>
    </row>
    <row r="514" spans="1:19" x14ac:dyDescent="0.25">
      <c r="A514">
        <v>10249</v>
      </c>
      <c r="B514" t="s">
        <v>294</v>
      </c>
      <c r="C514" t="s">
        <v>102</v>
      </c>
      <c r="D514" t="s">
        <v>59</v>
      </c>
      <c r="E514" t="s">
        <v>22</v>
      </c>
      <c r="F514" t="s">
        <v>23</v>
      </c>
      <c r="G514" t="s">
        <v>24</v>
      </c>
      <c r="H514">
        <v>2</v>
      </c>
      <c r="I514">
        <v>25</v>
      </c>
      <c r="J514">
        <v>69.7</v>
      </c>
      <c r="K514">
        <v>65</v>
      </c>
      <c r="L514">
        <v>1742.5</v>
      </c>
      <c r="M514">
        <v>117.5</v>
      </c>
      <c r="N514" s="1">
        <v>38115</v>
      </c>
      <c r="O514" t="s">
        <v>25</v>
      </c>
      <c r="P514">
        <v>2</v>
      </c>
      <c r="Q514">
        <v>5</v>
      </c>
      <c r="R514">
        <v>2004</v>
      </c>
      <c r="S514" t="s">
        <v>226</v>
      </c>
    </row>
    <row r="515" spans="1:19" x14ac:dyDescent="0.25">
      <c r="A515">
        <v>10328</v>
      </c>
      <c r="B515" t="s">
        <v>294</v>
      </c>
      <c r="C515" t="s">
        <v>227</v>
      </c>
      <c r="D515" t="s">
        <v>228</v>
      </c>
      <c r="E515" t="s">
        <v>110</v>
      </c>
      <c r="F515" t="s">
        <v>30</v>
      </c>
      <c r="G515" t="s">
        <v>24</v>
      </c>
      <c r="H515">
        <v>2</v>
      </c>
      <c r="I515">
        <v>20</v>
      </c>
      <c r="J515">
        <v>72.98</v>
      </c>
      <c r="K515">
        <v>65</v>
      </c>
      <c r="L515">
        <v>1459.6</v>
      </c>
      <c r="M515">
        <v>159.6</v>
      </c>
      <c r="N515" s="1">
        <v>38303</v>
      </c>
      <c r="O515" t="s">
        <v>25</v>
      </c>
      <c r="P515">
        <v>4</v>
      </c>
      <c r="Q515">
        <v>11</v>
      </c>
      <c r="R515">
        <v>2004</v>
      </c>
      <c r="S515" t="s">
        <v>226</v>
      </c>
    </row>
    <row r="516" spans="1:19" x14ac:dyDescent="0.25">
      <c r="A516">
        <v>10415</v>
      </c>
      <c r="B516" t="s">
        <v>294</v>
      </c>
      <c r="C516" t="s">
        <v>229</v>
      </c>
      <c r="D516" t="s">
        <v>230</v>
      </c>
      <c r="E516" t="s">
        <v>49</v>
      </c>
      <c r="F516" t="s">
        <v>50</v>
      </c>
      <c r="G516" t="s">
        <v>24</v>
      </c>
      <c r="H516">
        <v>2</v>
      </c>
      <c r="I516">
        <v>18</v>
      </c>
      <c r="J516">
        <v>69.7</v>
      </c>
      <c r="K516">
        <v>65</v>
      </c>
      <c r="L516">
        <v>1254.5999999999999</v>
      </c>
      <c r="M516">
        <v>84.6</v>
      </c>
      <c r="N516" s="1">
        <v>38481</v>
      </c>
      <c r="O516" t="s">
        <v>81</v>
      </c>
      <c r="P516">
        <v>2</v>
      </c>
      <c r="Q516">
        <v>5</v>
      </c>
      <c r="R516">
        <v>2005</v>
      </c>
      <c r="S516" t="s">
        <v>226</v>
      </c>
    </row>
    <row r="517" spans="1:19" x14ac:dyDescent="0.25">
      <c r="A517">
        <v>10226</v>
      </c>
      <c r="B517" t="s">
        <v>295</v>
      </c>
      <c r="C517" t="s">
        <v>149</v>
      </c>
      <c r="D517" t="s">
        <v>150</v>
      </c>
      <c r="E517" t="s">
        <v>22</v>
      </c>
      <c r="F517" t="s">
        <v>23</v>
      </c>
      <c r="G517" t="s">
        <v>33</v>
      </c>
      <c r="H517">
        <v>2</v>
      </c>
      <c r="I517">
        <v>48</v>
      </c>
      <c r="J517">
        <v>92.09</v>
      </c>
      <c r="K517">
        <v>107</v>
      </c>
      <c r="L517">
        <v>4420.32</v>
      </c>
      <c r="M517">
        <v>-715.68</v>
      </c>
      <c r="N517" s="1">
        <v>38043</v>
      </c>
      <c r="O517" t="s">
        <v>25</v>
      </c>
      <c r="P517">
        <v>1</v>
      </c>
      <c r="Q517">
        <v>2</v>
      </c>
      <c r="R517">
        <v>2004</v>
      </c>
      <c r="S517" t="s">
        <v>83</v>
      </c>
    </row>
    <row r="518" spans="1:19" x14ac:dyDescent="0.25">
      <c r="A518">
        <v>10301</v>
      </c>
      <c r="B518" t="s">
        <v>295</v>
      </c>
      <c r="C518" t="s">
        <v>223</v>
      </c>
      <c r="D518" t="s">
        <v>224</v>
      </c>
      <c r="E518" t="s">
        <v>44</v>
      </c>
      <c r="F518" t="s">
        <v>30</v>
      </c>
      <c r="G518" t="s">
        <v>24</v>
      </c>
      <c r="H518">
        <v>2</v>
      </c>
      <c r="I518">
        <v>22</v>
      </c>
      <c r="J518">
        <v>96.37</v>
      </c>
      <c r="K518">
        <v>107</v>
      </c>
      <c r="L518">
        <v>2120.14</v>
      </c>
      <c r="M518">
        <v>-233.86</v>
      </c>
      <c r="N518" s="1">
        <v>37899</v>
      </c>
      <c r="O518" t="s">
        <v>25</v>
      </c>
      <c r="P518">
        <v>4</v>
      </c>
      <c r="Q518">
        <v>10</v>
      </c>
      <c r="R518">
        <v>2003</v>
      </c>
      <c r="S518" t="s">
        <v>83</v>
      </c>
    </row>
    <row r="519" spans="1:19" x14ac:dyDescent="0.25">
      <c r="A519">
        <v>10248</v>
      </c>
      <c r="B519" t="s">
        <v>296</v>
      </c>
      <c r="C519" t="s">
        <v>20</v>
      </c>
      <c r="D519" t="s">
        <v>21</v>
      </c>
      <c r="E519" t="s">
        <v>22</v>
      </c>
      <c r="F519" t="s">
        <v>23</v>
      </c>
      <c r="G519" t="s">
        <v>24</v>
      </c>
      <c r="H519">
        <v>2</v>
      </c>
      <c r="I519">
        <v>23</v>
      </c>
      <c r="J519">
        <v>76.31</v>
      </c>
      <c r="K519">
        <v>83</v>
      </c>
      <c r="L519">
        <v>1755.13</v>
      </c>
      <c r="M519">
        <v>-153.87</v>
      </c>
      <c r="N519" s="1">
        <v>38114</v>
      </c>
      <c r="O519" t="s">
        <v>141</v>
      </c>
      <c r="P519">
        <v>2</v>
      </c>
      <c r="Q519">
        <v>5</v>
      </c>
      <c r="R519">
        <v>2004</v>
      </c>
      <c r="S519" t="s">
        <v>226</v>
      </c>
    </row>
    <row r="520" spans="1:19" x14ac:dyDescent="0.25">
      <c r="A520">
        <v>10326</v>
      </c>
      <c r="B520" t="s">
        <v>296</v>
      </c>
      <c r="C520" t="s">
        <v>84</v>
      </c>
      <c r="D520" t="s">
        <v>85</v>
      </c>
      <c r="E520" t="s">
        <v>86</v>
      </c>
      <c r="F520" t="s">
        <v>30</v>
      </c>
      <c r="G520" t="s">
        <v>24</v>
      </c>
      <c r="H520">
        <v>2</v>
      </c>
      <c r="I520">
        <v>20</v>
      </c>
      <c r="J520">
        <v>92.25</v>
      </c>
      <c r="K520">
        <v>83</v>
      </c>
      <c r="L520">
        <v>1845</v>
      </c>
      <c r="M520">
        <v>185</v>
      </c>
      <c r="N520" s="1">
        <v>38300</v>
      </c>
      <c r="O520" t="s">
        <v>25</v>
      </c>
      <c r="P520">
        <v>4</v>
      </c>
      <c r="Q520">
        <v>11</v>
      </c>
      <c r="R520">
        <v>2004</v>
      </c>
      <c r="S520" t="s">
        <v>226</v>
      </c>
    </row>
    <row r="521" spans="1:19" x14ac:dyDescent="0.25">
      <c r="A521">
        <v>10385</v>
      </c>
      <c r="B521" t="s">
        <v>296</v>
      </c>
      <c r="C521" t="s">
        <v>115</v>
      </c>
      <c r="D521" t="s">
        <v>116</v>
      </c>
      <c r="E521" t="s">
        <v>22</v>
      </c>
      <c r="F521" t="s">
        <v>23</v>
      </c>
      <c r="G521" t="s">
        <v>33</v>
      </c>
      <c r="H521">
        <v>2</v>
      </c>
      <c r="I521">
        <v>37</v>
      </c>
      <c r="J521">
        <v>85.54</v>
      </c>
      <c r="K521">
        <v>83</v>
      </c>
      <c r="L521">
        <v>3164.98</v>
      </c>
      <c r="M521">
        <v>93.98</v>
      </c>
      <c r="N521" s="1">
        <v>38411</v>
      </c>
      <c r="O521" t="s">
        <v>25</v>
      </c>
      <c r="P521">
        <v>1</v>
      </c>
      <c r="Q521">
        <v>2</v>
      </c>
      <c r="R521">
        <v>2005</v>
      </c>
      <c r="S521" t="s">
        <v>226</v>
      </c>
    </row>
    <row r="522" spans="1:19" x14ac:dyDescent="0.25">
      <c r="A522">
        <v>10414</v>
      </c>
      <c r="B522" t="s">
        <v>296</v>
      </c>
      <c r="C522" t="s">
        <v>156</v>
      </c>
      <c r="D522" t="s">
        <v>157</v>
      </c>
      <c r="E522" t="s">
        <v>22</v>
      </c>
      <c r="F522" t="s">
        <v>23</v>
      </c>
      <c r="G522" t="s">
        <v>33</v>
      </c>
      <c r="H522">
        <v>2</v>
      </c>
      <c r="I522">
        <v>51</v>
      </c>
      <c r="J522">
        <v>76.31</v>
      </c>
      <c r="K522">
        <v>83</v>
      </c>
      <c r="L522">
        <v>3891.81</v>
      </c>
      <c r="M522">
        <v>-341.19</v>
      </c>
      <c r="N522" s="1">
        <v>38478</v>
      </c>
      <c r="O522" t="s">
        <v>164</v>
      </c>
      <c r="P522">
        <v>2</v>
      </c>
      <c r="Q522">
        <v>5</v>
      </c>
      <c r="R522">
        <v>2005</v>
      </c>
      <c r="S522" t="s">
        <v>226</v>
      </c>
    </row>
    <row r="523" spans="1:19" x14ac:dyDescent="0.25">
      <c r="A523">
        <v>10135</v>
      </c>
      <c r="B523" t="s">
        <v>297</v>
      </c>
      <c r="C523" t="s">
        <v>115</v>
      </c>
      <c r="D523" t="s">
        <v>116</v>
      </c>
      <c r="E523" t="s">
        <v>22</v>
      </c>
      <c r="F523" t="s">
        <v>23</v>
      </c>
      <c r="G523" t="s">
        <v>33</v>
      </c>
      <c r="H523">
        <v>2</v>
      </c>
      <c r="I523">
        <v>47</v>
      </c>
      <c r="J523">
        <v>100</v>
      </c>
      <c r="K523">
        <v>140</v>
      </c>
      <c r="L523">
        <v>6336.07</v>
      </c>
      <c r="M523">
        <v>-243.93</v>
      </c>
      <c r="N523" s="1">
        <v>37804</v>
      </c>
      <c r="O523" t="s">
        <v>25</v>
      </c>
      <c r="P523">
        <v>3</v>
      </c>
      <c r="Q523">
        <v>7</v>
      </c>
      <c r="R523">
        <v>2003</v>
      </c>
      <c r="S523" t="s">
        <v>83</v>
      </c>
    </row>
    <row r="524" spans="1:19" x14ac:dyDescent="0.25">
      <c r="A524">
        <v>10147</v>
      </c>
      <c r="B524" t="s">
        <v>297</v>
      </c>
      <c r="C524" t="s">
        <v>119</v>
      </c>
      <c r="D524" t="s">
        <v>120</v>
      </c>
      <c r="E524" t="s">
        <v>22</v>
      </c>
      <c r="F524" t="s">
        <v>23</v>
      </c>
      <c r="G524" t="s">
        <v>24</v>
      </c>
      <c r="H524">
        <v>2</v>
      </c>
      <c r="I524">
        <v>23</v>
      </c>
      <c r="J524">
        <v>100</v>
      </c>
      <c r="K524">
        <v>140</v>
      </c>
      <c r="L524">
        <v>2906.97</v>
      </c>
      <c r="M524">
        <v>-313.02999999999997</v>
      </c>
      <c r="N524" s="1">
        <v>37869</v>
      </c>
      <c r="O524" t="s">
        <v>25</v>
      </c>
      <c r="P524">
        <v>3</v>
      </c>
      <c r="Q524">
        <v>9</v>
      </c>
      <c r="R524">
        <v>2003</v>
      </c>
      <c r="S524" t="s">
        <v>83</v>
      </c>
    </row>
    <row r="525" spans="1:19" x14ac:dyDescent="0.25">
      <c r="A525">
        <v>10119</v>
      </c>
      <c r="B525" t="s">
        <v>298</v>
      </c>
      <c r="C525" t="s">
        <v>67</v>
      </c>
      <c r="D525" t="s">
        <v>68</v>
      </c>
      <c r="E525" t="s">
        <v>69</v>
      </c>
      <c r="F525" t="s">
        <v>30</v>
      </c>
      <c r="G525" t="s">
        <v>24</v>
      </c>
      <c r="H525">
        <v>2</v>
      </c>
      <c r="I525">
        <v>28</v>
      </c>
      <c r="J525">
        <v>70.290000000000006</v>
      </c>
      <c r="K525">
        <v>68</v>
      </c>
      <c r="L525">
        <v>1968.12</v>
      </c>
      <c r="M525">
        <v>64.12</v>
      </c>
      <c r="N525" s="1">
        <v>37739</v>
      </c>
      <c r="O525" t="s">
        <v>25</v>
      </c>
      <c r="P525">
        <v>2</v>
      </c>
      <c r="Q525">
        <v>4</v>
      </c>
      <c r="R525">
        <v>2003</v>
      </c>
      <c r="S525" t="s">
        <v>234</v>
      </c>
    </row>
    <row r="526" spans="1:19" x14ac:dyDescent="0.25">
      <c r="A526">
        <v>10398</v>
      </c>
      <c r="B526" t="s">
        <v>298</v>
      </c>
      <c r="C526" t="s">
        <v>27</v>
      </c>
      <c r="D526" t="s">
        <v>28</v>
      </c>
      <c r="E526" t="s">
        <v>29</v>
      </c>
      <c r="F526" t="s">
        <v>30</v>
      </c>
      <c r="G526" t="s">
        <v>24</v>
      </c>
      <c r="H526">
        <v>2</v>
      </c>
      <c r="I526">
        <v>41</v>
      </c>
      <c r="J526">
        <v>68.239999999999995</v>
      </c>
      <c r="K526">
        <v>68</v>
      </c>
      <c r="L526">
        <v>2797.84</v>
      </c>
      <c r="M526">
        <v>9.84</v>
      </c>
      <c r="N526" s="1">
        <v>38441</v>
      </c>
      <c r="O526" t="s">
        <v>25</v>
      </c>
      <c r="P526">
        <v>1</v>
      </c>
      <c r="Q526">
        <v>3</v>
      </c>
      <c r="R526">
        <v>2005</v>
      </c>
      <c r="S526" t="s">
        <v>234</v>
      </c>
    </row>
    <row r="527" spans="1:19" x14ac:dyDescent="0.25">
      <c r="A527">
        <v>10204</v>
      </c>
      <c r="B527" t="s">
        <v>299</v>
      </c>
      <c r="C527" t="s">
        <v>192</v>
      </c>
      <c r="D527" t="s">
        <v>21</v>
      </c>
      <c r="E527" t="s">
        <v>22</v>
      </c>
      <c r="F527" t="s">
        <v>23</v>
      </c>
      <c r="G527" t="s">
        <v>24</v>
      </c>
      <c r="H527">
        <v>2</v>
      </c>
      <c r="I527">
        <v>39</v>
      </c>
      <c r="J527">
        <v>33.229999999999997</v>
      </c>
      <c r="K527">
        <v>41</v>
      </c>
      <c r="L527">
        <v>1295.97</v>
      </c>
      <c r="M527">
        <v>-303.02999999999997</v>
      </c>
      <c r="N527" s="1">
        <v>37957</v>
      </c>
      <c r="O527" t="s">
        <v>25</v>
      </c>
      <c r="P527">
        <v>4</v>
      </c>
      <c r="Q527">
        <v>12</v>
      </c>
      <c r="R527">
        <v>2003</v>
      </c>
      <c r="S527" t="s">
        <v>226</v>
      </c>
    </row>
    <row r="528" spans="1:19" x14ac:dyDescent="0.25">
      <c r="A528">
        <v>10184</v>
      </c>
      <c r="B528" t="s">
        <v>300</v>
      </c>
      <c r="C528" t="s">
        <v>212</v>
      </c>
      <c r="D528" t="s">
        <v>213</v>
      </c>
      <c r="E528" t="s">
        <v>80</v>
      </c>
      <c r="F528" t="s">
        <v>30</v>
      </c>
      <c r="G528" t="s">
        <v>33</v>
      </c>
      <c r="H528">
        <v>2</v>
      </c>
      <c r="I528">
        <v>49</v>
      </c>
      <c r="J528">
        <v>100</v>
      </c>
      <c r="K528">
        <v>118</v>
      </c>
      <c r="L528">
        <v>5795.72</v>
      </c>
      <c r="M528">
        <v>13.72</v>
      </c>
      <c r="N528" s="1">
        <v>37939</v>
      </c>
      <c r="O528" t="s">
        <v>25</v>
      </c>
      <c r="P528">
        <v>4</v>
      </c>
      <c r="Q528">
        <v>11</v>
      </c>
      <c r="R528">
        <v>2003</v>
      </c>
      <c r="S528" t="s">
        <v>83</v>
      </c>
    </row>
    <row r="529" spans="1:19" x14ac:dyDescent="0.25">
      <c r="A529">
        <v>10195</v>
      </c>
      <c r="B529" t="s">
        <v>300</v>
      </c>
      <c r="C529" t="s">
        <v>131</v>
      </c>
      <c r="D529" t="s">
        <v>132</v>
      </c>
      <c r="E529" t="s">
        <v>22</v>
      </c>
      <c r="F529" t="s">
        <v>23</v>
      </c>
      <c r="G529" t="s">
        <v>33</v>
      </c>
      <c r="H529">
        <v>2</v>
      </c>
      <c r="I529">
        <v>34</v>
      </c>
      <c r="J529">
        <v>100</v>
      </c>
      <c r="K529">
        <v>118</v>
      </c>
      <c r="L529">
        <v>3699.88</v>
      </c>
      <c r="M529">
        <v>-312.12</v>
      </c>
      <c r="N529" s="1">
        <v>37950</v>
      </c>
      <c r="O529" t="s">
        <v>25</v>
      </c>
      <c r="P529">
        <v>4</v>
      </c>
      <c r="Q529">
        <v>11</v>
      </c>
      <c r="R529">
        <v>2003</v>
      </c>
      <c r="S529" t="s">
        <v>83</v>
      </c>
    </row>
    <row r="530" spans="1:19" x14ac:dyDescent="0.25">
      <c r="A530">
        <v>10349</v>
      </c>
      <c r="B530" t="s">
        <v>300</v>
      </c>
      <c r="C530" t="s">
        <v>192</v>
      </c>
      <c r="D530" t="s">
        <v>21</v>
      </c>
      <c r="E530" t="s">
        <v>22</v>
      </c>
      <c r="F530" t="s">
        <v>23</v>
      </c>
      <c r="G530" t="s">
        <v>33</v>
      </c>
      <c r="H530">
        <v>2</v>
      </c>
      <c r="I530">
        <v>23</v>
      </c>
      <c r="J530">
        <v>100</v>
      </c>
      <c r="K530">
        <v>118</v>
      </c>
      <c r="L530">
        <v>3182.97</v>
      </c>
      <c r="M530">
        <v>468.97</v>
      </c>
      <c r="N530" s="1">
        <v>38322</v>
      </c>
      <c r="O530" t="s">
        <v>25</v>
      </c>
      <c r="P530">
        <v>4</v>
      </c>
      <c r="Q530">
        <v>12</v>
      </c>
      <c r="R530">
        <v>2004</v>
      </c>
      <c r="S530" t="s">
        <v>83</v>
      </c>
    </row>
    <row r="531" spans="1:19" x14ac:dyDescent="0.25">
      <c r="A531">
        <v>10269</v>
      </c>
      <c r="B531" t="s">
        <v>301</v>
      </c>
      <c r="C531" t="s">
        <v>67</v>
      </c>
      <c r="D531" t="s">
        <v>68</v>
      </c>
      <c r="E531" t="s">
        <v>69</v>
      </c>
      <c r="F531" t="s">
        <v>30</v>
      </c>
      <c r="G531" t="s">
        <v>33</v>
      </c>
      <c r="H531">
        <v>2</v>
      </c>
      <c r="I531">
        <v>48</v>
      </c>
      <c r="J531">
        <v>97.39</v>
      </c>
      <c r="K531">
        <v>97</v>
      </c>
      <c r="L531">
        <v>4674.72</v>
      </c>
      <c r="M531">
        <v>18.72</v>
      </c>
      <c r="N531" s="1">
        <v>38184</v>
      </c>
      <c r="O531" t="s">
        <v>25</v>
      </c>
      <c r="P531">
        <v>3</v>
      </c>
      <c r="Q531">
        <v>7</v>
      </c>
      <c r="R531">
        <v>2004</v>
      </c>
      <c r="S531" t="s">
        <v>226</v>
      </c>
    </row>
    <row r="532" spans="1:19" x14ac:dyDescent="0.25">
      <c r="A532">
        <v>10348</v>
      </c>
      <c r="B532" t="s">
        <v>301</v>
      </c>
      <c r="C532" t="s">
        <v>87</v>
      </c>
      <c r="D532" t="s">
        <v>79</v>
      </c>
      <c r="E532" t="s">
        <v>80</v>
      </c>
      <c r="F532" t="s">
        <v>30</v>
      </c>
      <c r="G532" t="s">
        <v>24</v>
      </c>
      <c r="H532">
        <v>2</v>
      </c>
      <c r="I532">
        <v>39</v>
      </c>
      <c r="J532">
        <v>50.31</v>
      </c>
      <c r="K532">
        <v>97</v>
      </c>
      <c r="L532">
        <v>1962.09</v>
      </c>
      <c r="M532">
        <v>-1820.91</v>
      </c>
      <c r="N532" s="1">
        <v>38292</v>
      </c>
      <c r="O532" t="s">
        <v>25</v>
      </c>
      <c r="P532">
        <v>4</v>
      </c>
      <c r="Q532">
        <v>11</v>
      </c>
      <c r="R532">
        <v>2004</v>
      </c>
      <c r="S532" t="s">
        <v>226</v>
      </c>
    </row>
    <row r="533" spans="1:19" x14ac:dyDescent="0.25">
      <c r="A533">
        <v>10284</v>
      </c>
      <c r="B533" t="s">
        <v>302</v>
      </c>
      <c r="C533" t="s">
        <v>223</v>
      </c>
      <c r="D533" t="s">
        <v>224</v>
      </c>
      <c r="E533" t="s">
        <v>44</v>
      </c>
      <c r="F533" t="s">
        <v>30</v>
      </c>
      <c r="G533" t="s">
        <v>24</v>
      </c>
      <c r="H533">
        <v>2</v>
      </c>
      <c r="I533">
        <v>21</v>
      </c>
      <c r="J533">
        <v>71</v>
      </c>
      <c r="K533">
        <v>72</v>
      </c>
      <c r="L533">
        <v>1491</v>
      </c>
      <c r="M533">
        <v>-21</v>
      </c>
      <c r="N533" s="1">
        <v>38220</v>
      </c>
      <c r="O533" t="s">
        <v>25</v>
      </c>
      <c r="P533">
        <v>3</v>
      </c>
      <c r="Q533">
        <v>8</v>
      </c>
      <c r="R533">
        <v>2004</v>
      </c>
      <c r="S533" t="s">
        <v>234</v>
      </c>
    </row>
    <row r="534" spans="1:19" x14ac:dyDescent="0.25">
      <c r="A534">
        <v>10375</v>
      </c>
      <c r="B534" t="s">
        <v>302</v>
      </c>
      <c r="C534" t="s">
        <v>56</v>
      </c>
      <c r="D534" t="s">
        <v>57</v>
      </c>
      <c r="E534" t="s">
        <v>29</v>
      </c>
      <c r="F534" t="s">
        <v>30</v>
      </c>
      <c r="G534" t="s">
        <v>70</v>
      </c>
      <c r="H534">
        <v>2</v>
      </c>
      <c r="I534">
        <v>43</v>
      </c>
      <c r="J534">
        <v>100</v>
      </c>
      <c r="K534">
        <v>72</v>
      </c>
      <c r="L534">
        <v>10039.6</v>
      </c>
      <c r="M534">
        <v>6943.6</v>
      </c>
      <c r="N534" s="1">
        <v>38386</v>
      </c>
      <c r="O534" t="s">
        <v>25</v>
      </c>
      <c r="P534">
        <v>1</v>
      </c>
      <c r="Q534">
        <v>2</v>
      </c>
      <c r="R534">
        <v>2005</v>
      </c>
      <c r="S534" t="s">
        <v>234</v>
      </c>
    </row>
    <row r="535" spans="1:19" x14ac:dyDescent="0.25">
      <c r="A535">
        <v>10319</v>
      </c>
      <c r="B535" t="s">
        <v>303</v>
      </c>
      <c r="C535" t="s">
        <v>204</v>
      </c>
      <c r="D535" t="s">
        <v>21</v>
      </c>
      <c r="E535" t="s">
        <v>22</v>
      </c>
      <c r="F535" t="s">
        <v>23</v>
      </c>
      <c r="G535" t="s">
        <v>33</v>
      </c>
      <c r="H535">
        <v>2</v>
      </c>
      <c r="I535">
        <v>43</v>
      </c>
      <c r="J535">
        <v>85.69</v>
      </c>
      <c r="K535">
        <v>80</v>
      </c>
      <c r="L535">
        <v>3684.67</v>
      </c>
      <c r="M535">
        <v>244.67</v>
      </c>
      <c r="N535" s="1">
        <v>38294</v>
      </c>
      <c r="O535" t="s">
        <v>25</v>
      </c>
      <c r="P535">
        <v>4</v>
      </c>
      <c r="Q535">
        <v>11</v>
      </c>
      <c r="R535">
        <v>2004</v>
      </c>
      <c r="S535" t="s">
        <v>83</v>
      </c>
    </row>
    <row r="536" spans="1:19" x14ac:dyDescent="0.25">
      <c r="A536">
        <v>10331</v>
      </c>
      <c r="B536" t="s">
        <v>303</v>
      </c>
      <c r="C536" t="s">
        <v>129</v>
      </c>
      <c r="D536" t="s">
        <v>94</v>
      </c>
      <c r="E536" t="s">
        <v>22</v>
      </c>
      <c r="F536" t="s">
        <v>23</v>
      </c>
      <c r="G536" t="s">
        <v>33</v>
      </c>
      <c r="H536">
        <v>2</v>
      </c>
      <c r="I536">
        <v>41</v>
      </c>
      <c r="J536">
        <v>100</v>
      </c>
      <c r="K536">
        <v>80</v>
      </c>
      <c r="L536">
        <v>5715.4</v>
      </c>
      <c r="M536">
        <v>2435.4</v>
      </c>
      <c r="N536" s="1">
        <v>38308</v>
      </c>
      <c r="O536" t="s">
        <v>25</v>
      </c>
      <c r="P536">
        <v>4</v>
      </c>
      <c r="Q536">
        <v>11</v>
      </c>
      <c r="R536">
        <v>2004</v>
      </c>
      <c r="S536" t="s">
        <v>83</v>
      </c>
    </row>
    <row r="537" spans="1:19" x14ac:dyDescent="0.25">
      <c r="A537">
        <v>10378</v>
      </c>
      <c r="B537" t="s">
        <v>303</v>
      </c>
      <c r="C537" t="s">
        <v>78</v>
      </c>
      <c r="D537" t="s">
        <v>79</v>
      </c>
      <c r="E537" t="s">
        <v>80</v>
      </c>
      <c r="F537" t="s">
        <v>30</v>
      </c>
      <c r="G537" t="s">
        <v>33</v>
      </c>
      <c r="H537">
        <v>2</v>
      </c>
      <c r="I537">
        <v>41</v>
      </c>
      <c r="J537">
        <v>100</v>
      </c>
      <c r="K537">
        <v>80</v>
      </c>
      <c r="L537">
        <v>4894.17</v>
      </c>
      <c r="M537">
        <v>1614.17</v>
      </c>
      <c r="N537" s="1">
        <v>38393</v>
      </c>
      <c r="O537" t="s">
        <v>25</v>
      </c>
      <c r="P537">
        <v>1</v>
      </c>
      <c r="Q537">
        <v>2</v>
      </c>
      <c r="R537">
        <v>2005</v>
      </c>
      <c r="S537" t="s">
        <v>83</v>
      </c>
    </row>
    <row r="538" spans="1:19" x14ac:dyDescent="0.25">
      <c r="A538">
        <v>10250</v>
      </c>
      <c r="B538" t="s">
        <v>305</v>
      </c>
      <c r="C538" t="s">
        <v>162</v>
      </c>
      <c r="D538" t="s">
        <v>163</v>
      </c>
      <c r="E538" t="s">
        <v>22</v>
      </c>
      <c r="F538" t="s">
        <v>23</v>
      </c>
      <c r="G538" t="s">
        <v>33</v>
      </c>
      <c r="H538">
        <v>2</v>
      </c>
      <c r="I538">
        <v>31</v>
      </c>
      <c r="J538">
        <v>100</v>
      </c>
      <c r="K538">
        <v>99</v>
      </c>
      <c r="L538">
        <v>3282.28</v>
      </c>
      <c r="M538">
        <v>213.28</v>
      </c>
      <c r="N538" s="1">
        <v>38118</v>
      </c>
      <c r="O538" t="s">
        <v>25</v>
      </c>
      <c r="P538">
        <v>2</v>
      </c>
      <c r="Q538">
        <v>5</v>
      </c>
      <c r="R538">
        <v>2004</v>
      </c>
      <c r="S538" t="s">
        <v>26</v>
      </c>
    </row>
    <row r="539" spans="1:19" x14ac:dyDescent="0.25">
      <c r="A539">
        <v>10297</v>
      </c>
      <c r="B539" t="s">
        <v>305</v>
      </c>
      <c r="C539" t="s">
        <v>193</v>
      </c>
      <c r="D539" t="s">
        <v>194</v>
      </c>
      <c r="E539" t="s">
        <v>195</v>
      </c>
      <c r="F539" t="s">
        <v>30</v>
      </c>
      <c r="G539" t="s">
        <v>24</v>
      </c>
      <c r="H539">
        <v>2</v>
      </c>
      <c r="I539">
        <v>26</v>
      </c>
      <c r="J539">
        <v>100</v>
      </c>
      <c r="K539">
        <v>99</v>
      </c>
      <c r="L539">
        <v>2856.88</v>
      </c>
      <c r="M539">
        <v>282.88</v>
      </c>
      <c r="N539" s="1">
        <v>38246</v>
      </c>
      <c r="O539" t="s">
        <v>25</v>
      </c>
      <c r="P539">
        <v>3</v>
      </c>
      <c r="Q539">
        <v>9</v>
      </c>
      <c r="R539">
        <v>2004</v>
      </c>
      <c r="S539" t="s">
        <v>26</v>
      </c>
    </row>
    <row r="540" spans="1:19" x14ac:dyDescent="0.25">
      <c r="A540">
        <v>10340</v>
      </c>
      <c r="B540" t="s">
        <v>305</v>
      </c>
      <c r="C540" t="s">
        <v>145</v>
      </c>
      <c r="D540" t="s">
        <v>146</v>
      </c>
      <c r="E540" t="s">
        <v>80</v>
      </c>
      <c r="F540" t="s">
        <v>30</v>
      </c>
      <c r="G540" t="s">
        <v>33</v>
      </c>
      <c r="H540">
        <v>2</v>
      </c>
      <c r="I540">
        <v>55</v>
      </c>
      <c r="J540">
        <v>100</v>
      </c>
      <c r="K540">
        <v>99</v>
      </c>
      <c r="L540">
        <v>6482.85</v>
      </c>
      <c r="M540">
        <v>1037.8499999999999</v>
      </c>
      <c r="N540" s="1">
        <v>38315</v>
      </c>
      <c r="O540" t="s">
        <v>25</v>
      </c>
      <c r="P540">
        <v>4</v>
      </c>
      <c r="Q540">
        <v>11</v>
      </c>
      <c r="R540">
        <v>2004</v>
      </c>
      <c r="S540" t="s">
        <v>26</v>
      </c>
    </row>
    <row r="541" spans="1:19" x14ac:dyDescent="0.25">
      <c r="A541">
        <v>10363</v>
      </c>
      <c r="B541" t="s">
        <v>305</v>
      </c>
      <c r="C541" t="s">
        <v>189</v>
      </c>
      <c r="D541" t="s">
        <v>190</v>
      </c>
      <c r="E541" t="s">
        <v>62</v>
      </c>
      <c r="F541" t="s">
        <v>30</v>
      </c>
      <c r="G541" t="s">
        <v>33</v>
      </c>
      <c r="H541">
        <v>2</v>
      </c>
      <c r="I541">
        <v>50</v>
      </c>
      <c r="J541">
        <v>100</v>
      </c>
      <c r="K541">
        <v>99</v>
      </c>
      <c r="L541">
        <v>6576.5</v>
      </c>
      <c r="M541">
        <v>1626.5</v>
      </c>
      <c r="N541" s="1">
        <v>38358</v>
      </c>
      <c r="O541" t="s">
        <v>25</v>
      </c>
      <c r="P541">
        <v>1</v>
      </c>
      <c r="Q541">
        <v>1</v>
      </c>
      <c r="R541">
        <v>2005</v>
      </c>
      <c r="S541" t="s">
        <v>26</v>
      </c>
    </row>
    <row r="542" spans="1:19" x14ac:dyDescent="0.25">
      <c r="A542">
        <v>10416</v>
      </c>
      <c r="B542" t="s">
        <v>305</v>
      </c>
      <c r="C542" t="s">
        <v>184</v>
      </c>
      <c r="D542" t="s">
        <v>185</v>
      </c>
      <c r="E542" t="s">
        <v>110</v>
      </c>
      <c r="F542" t="s">
        <v>30</v>
      </c>
      <c r="G542" t="s">
        <v>33</v>
      </c>
      <c r="H542">
        <v>2</v>
      </c>
      <c r="I542">
        <v>45</v>
      </c>
      <c r="J542">
        <v>100</v>
      </c>
      <c r="K542">
        <v>99</v>
      </c>
      <c r="L542">
        <v>4764.6000000000004</v>
      </c>
      <c r="M542">
        <v>309.60000000000002</v>
      </c>
      <c r="N542" s="1">
        <v>38482</v>
      </c>
      <c r="O542" t="s">
        <v>25</v>
      </c>
      <c r="P542">
        <v>2</v>
      </c>
      <c r="Q542">
        <v>5</v>
      </c>
      <c r="R542">
        <v>2005</v>
      </c>
      <c r="S542" t="s">
        <v>26</v>
      </c>
    </row>
    <row r="543" spans="1:19" x14ac:dyDescent="0.25">
      <c r="A543">
        <v>10224</v>
      </c>
      <c r="B543" t="s">
        <v>306</v>
      </c>
      <c r="C543" t="s">
        <v>40</v>
      </c>
      <c r="D543" t="s">
        <v>41</v>
      </c>
      <c r="E543" t="s">
        <v>29</v>
      </c>
      <c r="F543" t="s">
        <v>30</v>
      </c>
      <c r="G543" t="s">
        <v>24</v>
      </c>
      <c r="H543">
        <v>2</v>
      </c>
      <c r="I543">
        <v>43</v>
      </c>
      <c r="J543">
        <v>39.43</v>
      </c>
      <c r="K543">
        <v>40</v>
      </c>
      <c r="L543">
        <v>1695.49</v>
      </c>
      <c r="M543">
        <v>-24.51</v>
      </c>
      <c r="N543" s="1">
        <v>38038</v>
      </c>
      <c r="O543" t="s">
        <v>25</v>
      </c>
      <c r="P543">
        <v>1</v>
      </c>
      <c r="Q543">
        <v>2</v>
      </c>
      <c r="R543">
        <v>2004</v>
      </c>
      <c r="S543" t="s">
        <v>26</v>
      </c>
    </row>
    <row r="544" spans="1:19" x14ac:dyDescent="0.25">
      <c r="A544">
        <v>10237</v>
      </c>
      <c r="B544" t="s">
        <v>306</v>
      </c>
      <c r="C544" t="s">
        <v>51</v>
      </c>
      <c r="D544" t="s">
        <v>21</v>
      </c>
      <c r="E544" t="s">
        <v>22</v>
      </c>
      <c r="F544" t="s">
        <v>23</v>
      </c>
      <c r="G544" t="s">
        <v>24</v>
      </c>
      <c r="H544">
        <v>2</v>
      </c>
      <c r="I544">
        <v>26</v>
      </c>
      <c r="J544">
        <v>40.229999999999997</v>
      </c>
      <c r="K544">
        <v>40</v>
      </c>
      <c r="L544">
        <v>1045.98</v>
      </c>
      <c r="M544">
        <v>5.98</v>
      </c>
      <c r="N544" s="1">
        <v>38082</v>
      </c>
      <c r="O544" t="s">
        <v>25</v>
      </c>
      <c r="P544">
        <v>2</v>
      </c>
      <c r="Q544">
        <v>4</v>
      </c>
      <c r="R544">
        <v>2004</v>
      </c>
      <c r="S544" t="s">
        <v>26</v>
      </c>
    </row>
    <row r="545" spans="1:19" x14ac:dyDescent="0.25">
      <c r="A545">
        <v>10403</v>
      </c>
      <c r="B545" t="s">
        <v>306</v>
      </c>
      <c r="C545" t="s">
        <v>75</v>
      </c>
      <c r="D545" t="s">
        <v>76</v>
      </c>
      <c r="E545" t="s">
        <v>77</v>
      </c>
      <c r="F545" t="s">
        <v>30</v>
      </c>
      <c r="G545" t="s">
        <v>24</v>
      </c>
      <c r="H545">
        <v>2</v>
      </c>
      <c r="I545">
        <v>30</v>
      </c>
      <c r="J545">
        <v>40.229999999999997</v>
      </c>
      <c r="K545">
        <v>40</v>
      </c>
      <c r="L545">
        <v>1206.9000000000001</v>
      </c>
      <c r="M545">
        <v>6.9</v>
      </c>
      <c r="N545" s="1">
        <v>38450</v>
      </c>
      <c r="O545" t="s">
        <v>25</v>
      </c>
      <c r="P545">
        <v>2</v>
      </c>
      <c r="Q545">
        <v>4</v>
      </c>
      <c r="R545">
        <v>2005</v>
      </c>
      <c r="S545" t="s">
        <v>26</v>
      </c>
    </row>
    <row r="546" spans="1:19" x14ac:dyDescent="0.25">
      <c r="A546">
        <v>10114</v>
      </c>
      <c r="B546" t="s">
        <v>307</v>
      </c>
      <c r="C546" t="s">
        <v>166</v>
      </c>
      <c r="D546" t="s">
        <v>32</v>
      </c>
      <c r="E546" t="s">
        <v>29</v>
      </c>
      <c r="F546" t="s">
        <v>30</v>
      </c>
      <c r="G546" t="s">
        <v>24</v>
      </c>
      <c r="H546">
        <v>2</v>
      </c>
      <c r="I546">
        <v>28</v>
      </c>
      <c r="J546">
        <v>55.73</v>
      </c>
      <c r="K546">
        <v>54</v>
      </c>
      <c r="L546">
        <v>1560.44</v>
      </c>
      <c r="M546">
        <v>48.44</v>
      </c>
      <c r="N546" s="1">
        <v>37712</v>
      </c>
      <c r="O546" t="s">
        <v>25</v>
      </c>
      <c r="P546">
        <v>2</v>
      </c>
      <c r="Q546">
        <v>4</v>
      </c>
      <c r="R546">
        <v>2003</v>
      </c>
      <c r="S546" t="s">
        <v>202</v>
      </c>
    </row>
    <row r="547" spans="1:19" x14ac:dyDescent="0.25">
      <c r="A547">
        <v>10371</v>
      </c>
      <c r="B547" t="s">
        <v>307</v>
      </c>
      <c r="C547" t="s">
        <v>115</v>
      </c>
      <c r="D547" t="s">
        <v>116</v>
      </c>
      <c r="E547" t="s">
        <v>22</v>
      </c>
      <c r="F547" t="s">
        <v>23</v>
      </c>
      <c r="G547" t="s">
        <v>24</v>
      </c>
      <c r="H547">
        <v>2</v>
      </c>
      <c r="I547">
        <v>20</v>
      </c>
      <c r="J547">
        <v>66.47</v>
      </c>
      <c r="K547">
        <v>54</v>
      </c>
      <c r="L547">
        <v>1329.4</v>
      </c>
      <c r="M547">
        <v>249.4</v>
      </c>
      <c r="N547" s="1">
        <v>38375</v>
      </c>
      <c r="O547" t="s">
        <v>25</v>
      </c>
      <c r="P547">
        <v>1</v>
      </c>
      <c r="Q547">
        <v>1</v>
      </c>
      <c r="R547">
        <v>2005</v>
      </c>
      <c r="S547" t="s">
        <v>202</v>
      </c>
    </row>
    <row r="548" spans="1:19" x14ac:dyDescent="0.25">
      <c r="A548">
        <v>10152</v>
      </c>
      <c r="B548" t="s">
        <v>308</v>
      </c>
      <c r="C548" t="s">
        <v>91</v>
      </c>
      <c r="D548" t="s">
        <v>92</v>
      </c>
      <c r="E548" t="s">
        <v>49</v>
      </c>
      <c r="F548" t="s">
        <v>50</v>
      </c>
      <c r="G548" t="s">
        <v>24</v>
      </c>
      <c r="H548">
        <v>2</v>
      </c>
      <c r="I548">
        <v>33</v>
      </c>
      <c r="J548">
        <v>50.95</v>
      </c>
      <c r="K548">
        <v>62</v>
      </c>
      <c r="L548">
        <v>1681.35</v>
      </c>
      <c r="M548">
        <v>-364.65</v>
      </c>
      <c r="N548" s="1">
        <v>37889</v>
      </c>
      <c r="O548" t="s">
        <v>25</v>
      </c>
      <c r="P548">
        <v>3</v>
      </c>
      <c r="Q548">
        <v>9</v>
      </c>
      <c r="R548">
        <v>2003</v>
      </c>
      <c r="S548" t="s">
        <v>261</v>
      </c>
    </row>
    <row r="549" spans="1:19" x14ac:dyDescent="0.25">
      <c r="A549">
        <v>10207</v>
      </c>
      <c r="B549" t="s">
        <v>308</v>
      </c>
      <c r="C549" t="s">
        <v>170</v>
      </c>
      <c r="D549" t="s">
        <v>157</v>
      </c>
      <c r="E549" t="s">
        <v>22</v>
      </c>
      <c r="F549" t="s">
        <v>23</v>
      </c>
      <c r="G549" t="s">
        <v>24</v>
      </c>
      <c r="H549">
        <v>2</v>
      </c>
      <c r="I549">
        <v>45</v>
      </c>
      <c r="J549">
        <v>56.55</v>
      </c>
      <c r="K549">
        <v>62</v>
      </c>
      <c r="L549">
        <v>2544.75</v>
      </c>
      <c r="M549">
        <v>-245.25</v>
      </c>
      <c r="N549" s="1">
        <v>37964</v>
      </c>
      <c r="O549" t="s">
        <v>25</v>
      </c>
      <c r="P549">
        <v>4</v>
      </c>
      <c r="Q549">
        <v>12</v>
      </c>
      <c r="R549">
        <v>2003</v>
      </c>
      <c r="S549" t="s">
        <v>261</v>
      </c>
    </row>
    <row r="550" spans="1:19" x14ac:dyDescent="0.25">
      <c r="A550">
        <v>10325</v>
      </c>
      <c r="B550" t="s">
        <v>308</v>
      </c>
      <c r="C550" t="s">
        <v>63</v>
      </c>
      <c r="D550" t="s">
        <v>64</v>
      </c>
      <c r="E550" t="s">
        <v>44</v>
      </c>
      <c r="F550" t="s">
        <v>30</v>
      </c>
      <c r="G550" t="s">
        <v>33</v>
      </c>
      <c r="H550">
        <v>2</v>
      </c>
      <c r="I550">
        <v>28</v>
      </c>
      <c r="J550">
        <v>100</v>
      </c>
      <c r="K550">
        <v>62</v>
      </c>
      <c r="L550">
        <v>5377.4</v>
      </c>
      <c r="M550">
        <v>3641.4</v>
      </c>
      <c r="N550" s="1">
        <v>38296</v>
      </c>
      <c r="O550" t="s">
        <v>25</v>
      </c>
      <c r="P550">
        <v>4</v>
      </c>
      <c r="Q550">
        <v>11</v>
      </c>
      <c r="R550">
        <v>2004</v>
      </c>
      <c r="S550" t="s">
        <v>261</v>
      </c>
    </row>
    <row r="551" spans="1:19" x14ac:dyDescent="0.25">
      <c r="A551">
        <v>10206</v>
      </c>
      <c r="B551" t="s">
        <v>309</v>
      </c>
      <c r="C551" t="s">
        <v>97</v>
      </c>
      <c r="D551" t="s">
        <v>98</v>
      </c>
      <c r="E551" t="s">
        <v>99</v>
      </c>
      <c r="F551" t="s">
        <v>23</v>
      </c>
      <c r="G551" t="s">
        <v>24</v>
      </c>
      <c r="H551">
        <v>2</v>
      </c>
      <c r="I551">
        <v>36</v>
      </c>
      <c r="J551">
        <v>58.82</v>
      </c>
      <c r="K551">
        <v>64</v>
      </c>
      <c r="L551">
        <v>2117.52</v>
      </c>
      <c r="M551">
        <v>-186.48</v>
      </c>
      <c r="N551" s="1">
        <v>37960</v>
      </c>
      <c r="O551" t="s">
        <v>25</v>
      </c>
      <c r="P551">
        <v>4</v>
      </c>
      <c r="Q551">
        <v>12</v>
      </c>
      <c r="R551">
        <v>2003</v>
      </c>
      <c r="S551" t="s">
        <v>202</v>
      </c>
    </row>
    <row r="552" spans="1:19" x14ac:dyDescent="0.25">
      <c r="A552">
        <v>10258</v>
      </c>
      <c r="B552" t="s">
        <v>309</v>
      </c>
      <c r="C552" t="s">
        <v>105</v>
      </c>
      <c r="D552" t="s">
        <v>106</v>
      </c>
      <c r="E552" t="s">
        <v>107</v>
      </c>
      <c r="F552" t="s">
        <v>50</v>
      </c>
      <c r="G552" t="s">
        <v>24</v>
      </c>
      <c r="H552">
        <v>2</v>
      </c>
      <c r="I552">
        <v>20</v>
      </c>
      <c r="J552">
        <v>61.41</v>
      </c>
      <c r="K552">
        <v>64</v>
      </c>
      <c r="L552">
        <v>1228.2</v>
      </c>
      <c r="M552">
        <v>-51.8</v>
      </c>
      <c r="N552" s="1">
        <v>38153</v>
      </c>
      <c r="O552" t="s">
        <v>25</v>
      </c>
      <c r="P552">
        <v>2</v>
      </c>
      <c r="Q552">
        <v>6</v>
      </c>
      <c r="R552">
        <v>2004</v>
      </c>
      <c r="S552" t="s">
        <v>202</v>
      </c>
    </row>
    <row r="553" spans="1:19" x14ac:dyDescent="0.25">
      <c r="A553">
        <v>10304</v>
      </c>
      <c r="B553" t="s">
        <v>309</v>
      </c>
      <c r="C553" t="s">
        <v>113</v>
      </c>
      <c r="D553" t="s">
        <v>114</v>
      </c>
      <c r="E553" t="s">
        <v>29</v>
      </c>
      <c r="F553" t="s">
        <v>30</v>
      </c>
      <c r="G553" t="s">
        <v>24</v>
      </c>
      <c r="H553">
        <v>2</v>
      </c>
      <c r="I553">
        <v>36</v>
      </c>
      <c r="J553">
        <v>73.040000000000006</v>
      </c>
      <c r="K553">
        <v>64</v>
      </c>
      <c r="L553">
        <v>2629.44</v>
      </c>
      <c r="M553">
        <v>325.44</v>
      </c>
      <c r="N553" s="1">
        <v>38271</v>
      </c>
      <c r="O553" t="s">
        <v>25</v>
      </c>
      <c r="P553">
        <v>4</v>
      </c>
      <c r="Q553">
        <v>10</v>
      </c>
      <c r="R553">
        <v>2004</v>
      </c>
      <c r="S553" t="s">
        <v>202</v>
      </c>
    </row>
    <row r="554" spans="1:19" x14ac:dyDescent="0.25">
      <c r="A554">
        <v>10358</v>
      </c>
      <c r="B554" t="s">
        <v>309</v>
      </c>
      <c r="C554" t="s">
        <v>78</v>
      </c>
      <c r="D554" t="s">
        <v>79</v>
      </c>
      <c r="E554" t="s">
        <v>80</v>
      </c>
      <c r="F554" t="s">
        <v>30</v>
      </c>
      <c r="G554" t="s">
        <v>33</v>
      </c>
      <c r="H554">
        <v>2</v>
      </c>
      <c r="I554">
        <v>36</v>
      </c>
      <c r="J554">
        <v>100</v>
      </c>
      <c r="K554">
        <v>64</v>
      </c>
      <c r="L554">
        <v>5669.64</v>
      </c>
      <c r="M554">
        <v>3365.64</v>
      </c>
      <c r="N554" s="1">
        <v>38331</v>
      </c>
      <c r="O554" t="s">
        <v>25</v>
      </c>
      <c r="P554">
        <v>4</v>
      </c>
      <c r="Q554">
        <v>12</v>
      </c>
      <c r="R554">
        <v>2004</v>
      </c>
      <c r="S554" t="s">
        <v>202</v>
      </c>
    </row>
    <row r="555" spans="1:19" x14ac:dyDescent="0.25">
      <c r="A555">
        <v>10424</v>
      </c>
      <c r="B555" t="s">
        <v>309</v>
      </c>
      <c r="C555" t="s">
        <v>78</v>
      </c>
      <c r="D555" t="s">
        <v>79</v>
      </c>
      <c r="E555" t="s">
        <v>80</v>
      </c>
      <c r="F555" t="s">
        <v>30</v>
      </c>
      <c r="G555" t="s">
        <v>24</v>
      </c>
      <c r="H555">
        <v>2</v>
      </c>
      <c r="I555">
        <v>44</v>
      </c>
      <c r="J555">
        <v>61.41</v>
      </c>
      <c r="K555">
        <v>64</v>
      </c>
      <c r="L555">
        <v>2702.04</v>
      </c>
      <c r="M555">
        <v>-113.96</v>
      </c>
      <c r="N555" s="1">
        <v>38503</v>
      </c>
      <c r="O555" t="s">
        <v>125</v>
      </c>
      <c r="P555">
        <v>2</v>
      </c>
      <c r="Q555">
        <v>5</v>
      </c>
      <c r="R555">
        <v>2005</v>
      </c>
      <c r="S555" t="s">
        <v>202</v>
      </c>
    </row>
    <row r="556" spans="1:19" x14ac:dyDescent="0.25">
      <c r="A556">
        <v>10262</v>
      </c>
      <c r="B556" t="s">
        <v>310</v>
      </c>
      <c r="C556" t="s">
        <v>78</v>
      </c>
      <c r="D556" t="s">
        <v>79</v>
      </c>
      <c r="E556" t="s">
        <v>80</v>
      </c>
      <c r="F556" t="s">
        <v>30</v>
      </c>
      <c r="G556" t="s">
        <v>33</v>
      </c>
      <c r="H556">
        <v>2</v>
      </c>
      <c r="I556">
        <v>40</v>
      </c>
      <c r="J556">
        <v>79.11</v>
      </c>
      <c r="K556">
        <v>68</v>
      </c>
      <c r="L556">
        <v>3164.4</v>
      </c>
      <c r="M556">
        <v>444.4</v>
      </c>
      <c r="N556" s="1">
        <v>38162</v>
      </c>
      <c r="O556" t="s">
        <v>141</v>
      </c>
      <c r="P556">
        <v>2</v>
      </c>
      <c r="Q556">
        <v>6</v>
      </c>
      <c r="R556">
        <v>2004</v>
      </c>
      <c r="S556" t="s">
        <v>226</v>
      </c>
    </row>
    <row r="557" spans="1:19" x14ac:dyDescent="0.25">
      <c r="A557">
        <v>10316</v>
      </c>
      <c r="B557" t="s">
        <v>310</v>
      </c>
      <c r="C557" t="s">
        <v>158</v>
      </c>
      <c r="D557" t="s">
        <v>159</v>
      </c>
      <c r="E557" t="s">
        <v>77</v>
      </c>
      <c r="F557" t="s">
        <v>30</v>
      </c>
      <c r="G557" t="s">
        <v>24</v>
      </c>
      <c r="H557">
        <v>2</v>
      </c>
      <c r="I557">
        <v>24</v>
      </c>
      <c r="J557">
        <v>59.16</v>
      </c>
      <c r="K557">
        <v>68</v>
      </c>
      <c r="L557">
        <v>1419.84</v>
      </c>
      <c r="M557">
        <v>-212.16</v>
      </c>
      <c r="N557" s="1">
        <v>38292</v>
      </c>
      <c r="O557" t="s">
        <v>25</v>
      </c>
      <c r="P557">
        <v>4</v>
      </c>
      <c r="Q557">
        <v>11</v>
      </c>
      <c r="R557">
        <v>2004</v>
      </c>
      <c r="S557" t="s">
        <v>226</v>
      </c>
    </row>
    <row r="558" spans="1:19" x14ac:dyDescent="0.25">
      <c r="A558">
        <v>10361</v>
      </c>
      <c r="B558" t="s">
        <v>310</v>
      </c>
      <c r="C558" t="s">
        <v>71</v>
      </c>
      <c r="D558" t="s">
        <v>72</v>
      </c>
      <c r="E558" t="s">
        <v>49</v>
      </c>
      <c r="F558" t="s">
        <v>50</v>
      </c>
      <c r="G558" t="s">
        <v>33</v>
      </c>
      <c r="H558">
        <v>2</v>
      </c>
      <c r="I558">
        <v>49</v>
      </c>
      <c r="J558">
        <v>72.33</v>
      </c>
      <c r="K558">
        <v>68</v>
      </c>
      <c r="L558">
        <v>3544.17</v>
      </c>
      <c r="M558">
        <v>212.17</v>
      </c>
      <c r="N558" s="1">
        <v>38338</v>
      </c>
      <c r="O558" t="s">
        <v>25</v>
      </c>
      <c r="P558">
        <v>4</v>
      </c>
      <c r="Q558">
        <v>12</v>
      </c>
      <c r="R558">
        <v>2004</v>
      </c>
      <c r="S558" t="s">
        <v>226</v>
      </c>
    </row>
    <row r="559" spans="1:19" x14ac:dyDescent="0.25">
      <c r="A559">
        <v>10259</v>
      </c>
      <c r="B559" t="s">
        <v>313</v>
      </c>
      <c r="C559" t="s">
        <v>171</v>
      </c>
      <c r="D559" t="s">
        <v>89</v>
      </c>
      <c r="E559" t="s">
        <v>89</v>
      </c>
      <c r="F559" t="s">
        <v>50</v>
      </c>
      <c r="G559" t="s">
        <v>33</v>
      </c>
      <c r="H559">
        <v>2</v>
      </c>
      <c r="I559">
        <v>29</v>
      </c>
      <c r="J559">
        <v>100</v>
      </c>
      <c r="K559">
        <v>115</v>
      </c>
      <c r="L559">
        <v>3054.57</v>
      </c>
      <c r="M559">
        <v>-280.43</v>
      </c>
      <c r="N559" s="1">
        <v>38153</v>
      </c>
      <c r="O559" t="s">
        <v>25</v>
      </c>
      <c r="P559">
        <v>2</v>
      </c>
      <c r="Q559">
        <v>6</v>
      </c>
      <c r="R559">
        <v>2004</v>
      </c>
      <c r="S559" t="s">
        <v>202</v>
      </c>
    </row>
    <row r="560" spans="1:19" x14ac:dyDescent="0.25">
      <c r="A560">
        <v>10359</v>
      </c>
      <c r="B560" t="s">
        <v>313</v>
      </c>
      <c r="C560" t="s">
        <v>27</v>
      </c>
      <c r="D560" t="s">
        <v>28</v>
      </c>
      <c r="E560" t="s">
        <v>29</v>
      </c>
      <c r="F560" t="s">
        <v>30</v>
      </c>
      <c r="G560" t="s">
        <v>33</v>
      </c>
      <c r="H560">
        <v>2</v>
      </c>
      <c r="I560">
        <v>46</v>
      </c>
      <c r="J560">
        <v>100</v>
      </c>
      <c r="K560">
        <v>115</v>
      </c>
      <c r="L560">
        <v>4896.7</v>
      </c>
      <c r="M560">
        <v>-393.3</v>
      </c>
      <c r="N560" s="1">
        <v>38336</v>
      </c>
      <c r="O560" t="s">
        <v>25</v>
      </c>
      <c r="P560">
        <v>4</v>
      </c>
      <c r="Q560">
        <v>12</v>
      </c>
      <c r="R560">
        <v>2004</v>
      </c>
      <c r="S560" t="s">
        <v>202</v>
      </c>
    </row>
    <row r="561" spans="1:19" x14ac:dyDescent="0.25">
      <c r="A561">
        <v>10425</v>
      </c>
      <c r="B561" t="s">
        <v>313</v>
      </c>
      <c r="C561" t="s">
        <v>56</v>
      </c>
      <c r="D561" t="s">
        <v>57</v>
      </c>
      <c r="E561" t="s">
        <v>29</v>
      </c>
      <c r="F561" t="s">
        <v>30</v>
      </c>
      <c r="G561" t="s">
        <v>24</v>
      </c>
      <c r="H561">
        <v>2</v>
      </c>
      <c r="I561">
        <v>18</v>
      </c>
      <c r="J561">
        <v>100</v>
      </c>
      <c r="K561">
        <v>115</v>
      </c>
      <c r="L561">
        <v>1895.94</v>
      </c>
      <c r="M561">
        <v>-174.06</v>
      </c>
      <c r="N561" s="1">
        <v>38503</v>
      </c>
      <c r="O561" t="s">
        <v>125</v>
      </c>
      <c r="P561">
        <v>2</v>
      </c>
      <c r="Q561">
        <v>5</v>
      </c>
      <c r="R561">
        <v>2005</v>
      </c>
      <c r="S561" t="s">
        <v>202</v>
      </c>
    </row>
    <row r="562" spans="1:19" x14ac:dyDescent="0.25">
      <c r="A562">
        <v>10104</v>
      </c>
      <c r="B562" t="s">
        <v>314</v>
      </c>
      <c r="C562" t="s">
        <v>78</v>
      </c>
      <c r="D562" t="s">
        <v>79</v>
      </c>
      <c r="E562" t="s">
        <v>80</v>
      </c>
      <c r="F562" t="s">
        <v>30</v>
      </c>
      <c r="G562" t="s">
        <v>24</v>
      </c>
      <c r="H562">
        <v>2</v>
      </c>
      <c r="I562">
        <v>32</v>
      </c>
      <c r="J562">
        <v>53.31</v>
      </c>
      <c r="K562">
        <v>58</v>
      </c>
      <c r="L562">
        <v>1705.92</v>
      </c>
      <c r="M562">
        <v>-150.08000000000001</v>
      </c>
      <c r="N562" s="1">
        <v>37652</v>
      </c>
      <c r="O562" t="s">
        <v>25</v>
      </c>
      <c r="P562">
        <v>1</v>
      </c>
      <c r="Q562">
        <v>1</v>
      </c>
      <c r="R562">
        <v>2003</v>
      </c>
      <c r="S562" t="s">
        <v>261</v>
      </c>
    </row>
    <row r="563" spans="1:19" x14ac:dyDescent="0.25">
      <c r="A563">
        <v>10230</v>
      </c>
      <c r="B563" t="s">
        <v>314</v>
      </c>
      <c r="C563" t="s">
        <v>187</v>
      </c>
      <c r="D563" t="s">
        <v>188</v>
      </c>
      <c r="E563" t="s">
        <v>180</v>
      </c>
      <c r="F563" t="s">
        <v>30</v>
      </c>
      <c r="G563" t="s">
        <v>24</v>
      </c>
      <c r="H563">
        <v>2</v>
      </c>
      <c r="I563">
        <v>43</v>
      </c>
      <c r="J563">
        <v>52.14</v>
      </c>
      <c r="K563">
        <v>58</v>
      </c>
      <c r="L563">
        <v>2242.02</v>
      </c>
      <c r="M563">
        <v>-251.98</v>
      </c>
      <c r="N563" s="1">
        <v>38061</v>
      </c>
      <c r="O563" t="s">
        <v>25</v>
      </c>
      <c r="P563">
        <v>1</v>
      </c>
      <c r="Q563">
        <v>3</v>
      </c>
      <c r="R563">
        <v>2004</v>
      </c>
      <c r="S563" t="s">
        <v>261</v>
      </c>
    </row>
    <row r="564" spans="1:19" x14ac:dyDescent="0.25">
      <c r="A564">
        <v>10145</v>
      </c>
      <c r="B564" t="s">
        <v>315</v>
      </c>
      <c r="C564" t="s">
        <v>34</v>
      </c>
      <c r="D564" t="s">
        <v>35</v>
      </c>
      <c r="E564" t="s">
        <v>22</v>
      </c>
      <c r="F564" t="s">
        <v>23</v>
      </c>
      <c r="G564" t="s">
        <v>33</v>
      </c>
      <c r="H564">
        <v>2</v>
      </c>
      <c r="I564">
        <v>38</v>
      </c>
      <c r="J564">
        <v>81.36</v>
      </c>
      <c r="K564">
        <v>81</v>
      </c>
      <c r="L564">
        <v>3091.68</v>
      </c>
      <c r="M564">
        <v>13.68</v>
      </c>
      <c r="N564" s="1">
        <v>37858</v>
      </c>
      <c r="O564" t="s">
        <v>25</v>
      </c>
      <c r="P564">
        <v>3</v>
      </c>
      <c r="Q564">
        <v>8</v>
      </c>
      <c r="R564">
        <v>2003</v>
      </c>
      <c r="S564" t="s">
        <v>26</v>
      </c>
    </row>
    <row r="565" spans="1:19" x14ac:dyDescent="0.25">
      <c r="A565">
        <v>10190</v>
      </c>
      <c r="B565" t="s">
        <v>315</v>
      </c>
      <c r="C565" t="s">
        <v>78</v>
      </c>
      <c r="D565" t="s">
        <v>79</v>
      </c>
      <c r="E565" t="s">
        <v>80</v>
      </c>
      <c r="F565" t="s">
        <v>30</v>
      </c>
      <c r="G565" t="s">
        <v>24</v>
      </c>
      <c r="H565">
        <v>2</v>
      </c>
      <c r="I565">
        <v>40</v>
      </c>
      <c r="J565">
        <v>66.72</v>
      </c>
      <c r="K565">
        <v>81</v>
      </c>
      <c r="L565">
        <v>2668.8</v>
      </c>
      <c r="M565">
        <v>-571.20000000000005</v>
      </c>
      <c r="N565" s="1">
        <v>37944</v>
      </c>
      <c r="O565" t="s">
        <v>25</v>
      </c>
      <c r="P565">
        <v>4</v>
      </c>
      <c r="Q565">
        <v>11</v>
      </c>
      <c r="R565">
        <v>2003</v>
      </c>
      <c r="S565" t="s">
        <v>26</v>
      </c>
    </row>
    <row r="566" spans="1:19" x14ac:dyDescent="0.25">
      <c r="A566">
        <v>10285</v>
      </c>
      <c r="B566" t="s">
        <v>315</v>
      </c>
      <c r="C566" t="s">
        <v>58</v>
      </c>
      <c r="D566" t="s">
        <v>59</v>
      </c>
      <c r="E566" t="s">
        <v>22</v>
      </c>
      <c r="F566" t="s">
        <v>23</v>
      </c>
      <c r="G566" t="s">
        <v>33</v>
      </c>
      <c r="H566">
        <v>2</v>
      </c>
      <c r="I566">
        <v>39</v>
      </c>
      <c r="J566">
        <v>78.92</v>
      </c>
      <c r="K566">
        <v>81</v>
      </c>
      <c r="L566">
        <v>3077.88</v>
      </c>
      <c r="M566">
        <v>-81.12</v>
      </c>
      <c r="N566" s="1">
        <v>38226</v>
      </c>
      <c r="O566" t="s">
        <v>25</v>
      </c>
      <c r="P566">
        <v>3</v>
      </c>
      <c r="Q566">
        <v>8</v>
      </c>
      <c r="R566">
        <v>2004</v>
      </c>
      <c r="S566" t="s">
        <v>26</v>
      </c>
    </row>
    <row r="567" spans="1:19" x14ac:dyDescent="0.25">
      <c r="A567">
        <v>10365</v>
      </c>
      <c r="B567" t="s">
        <v>315</v>
      </c>
      <c r="C567" t="s">
        <v>140</v>
      </c>
      <c r="D567" t="s">
        <v>74</v>
      </c>
      <c r="E567" t="s">
        <v>22</v>
      </c>
      <c r="F567" t="s">
        <v>23</v>
      </c>
      <c r="G567" t="s">
        <v>33</v>
      </c>
      <c r="H567">
        <v>2</v>
      </c>
      <c r="I567">
        <v>44</v>
      </c>
      <c r="J567">
        <v>100</v>
      </c>
      <c r="K567">
        <v>81</v>
      </c>
      <c r="L567">
        <v>4984.32</v>
      </c>
      <c r="M567">
        <v>1420.32</v>
      </c>
      <c r="N567" s="1">
        <v>38359</v>
      </c>
      <c r="O567" t="s">
        <v>25</v>
      </c>
      <c r="P567">
        <v>1</v>
      </c>
      <c r="Q567">
        <v>1</v>
      </c>
      <c r="R567">
        <v>2005</v>
      </c>
      <c r="S567" t="s">
        <v>26</v>
      </c>
    </row>
    <row r="568" spans="1:19" x14ac:dyDescent="0.25">
      <c r="A568">
        <v>10142</v>
      </c>
      <c r="B568" t="s">
        <v>316</v>
      </c>
      <c r="C568" t="s">
        <v>115</v>
      </c>
      <c r="D568" t="s">
        <v>116</v>
      </c>
      <c r="E568" t="s">
        <v>22</v>
      </c>
      <c r="F568" t="s">
        <v>23</v>
      </c>
      <c r="G568" t="s">
        <v>24</v>
      </c>
      <c r="H568">
        <v>2</v>
      </c>
      <c r="I568">
        <v>41</v>
      </c>
      <c r="J568">
        <v>64</v>
      </c>
      <c r="K568">
        <v>66</v>
      </c>
      <c r="L568">
        <v>2624</v>
      </c>
      <c r="M568">
        <v>-82</v>
      </c>
      <c r="N568" s="1">
        <v>37841</v>
      </c>
      <c r="O568" t="s">
        <v>25</v>
      </c>
      <c r="P568">
        <v>3</v>
      </c>
      <c r="Q568">
        <v>8</v>
      </c>
      <c r="R568">
        <v>2003</v>
      </c>
      <c r="S568" t="s">
        <v>255</v>
      </c>
    </row>
    <row r="569" spans="1:19" x14ac:dyDescent="0.25">
      <c r="A569">
        <v>10315</v>
      </c>
      <c r="B569" t="s">
        <v>316</v>
      </c>
      <c r="C569" t="s">
        <v>56</v>
      </c>
      <c r="D569" t="s">
        <v>57</v>
      </c>
      <c r="E569" t="s">
        <v>29</v>
      </c>
      <c r="F569" t="s">
        <v>30</v>
      </c>
      <c r="G569" t="s">
        <v>24</v>
      </c>
      <c r="H569">
        <v>2</v>
      </c>
      <c r="I569">
        <v>41</v>
      </c>
      <c r="J569">
        <v>62</v>
      </c>
      <c r="K569">
        <v>66</v>
      </c>
      <c r="L569">
        <v>2542</v>
      </c>
      <c r="M569">
        <v>-164</v>
      </c>
      <c r="N569" s="1">
        <v>38289</v>
      </c>
      <c r="O569" t="s">
        <v>25</v>
      </c>
      <c r="P569">
        <v>4</v>
      </c>
      <c r="Q569">
        <v>10</v>
      </c>
      <c r="R569">
        <v>2004</v>
      </c>
      <c r="S569" t="s">
        <v>255</v>
      </c>
    </row>
    <row r="570" spans="1:19" x14ac:dyDescent="0.25">
      <c r="A570">
        <v>10143</v>
      </c>
      <c r="B570" t="s">
        <v>317</v>
      </c>
      <c r="C570" t="s">
        <v>140</v>
      </c>
      <c r="D570" t="s">
        <v>74</v>
      </c>
      <c r="E570" t="s">
        <v>22</v>
      </c>
      <c r="F570" t="s">
        <v>23</v>
      </c>
      <c r="G570" t="s">
        <v>33</v>
      </c>
      <c r="H570">
        <v>2</v>
      </c>
      <c r="I570">
        <v>36</v>
      </c>
      <c r="J570">
        <v>100</v>
      </c>
      <c r="K570">
        <v>91</v>
      </c>
      <c r="L570">
        <v>3945.96</v>
      </c>
      <c r="M570">
        <v>669.96</v>
      </c>
      <c r="N570" s="1">
        <v>37843</v>
      </c>
      <c r="O570" t="s">
        <v>25</v>
      </c>
      <c r="P570">
        <v>3</v>
      </c>
      <c r="Q570">
        <v>8</v>
      </c>
      <c r="R570">
        <v>2003</v>
      </c>
      <c r="S570" t="s">
        <v>234</v>
      </c>
    </row>
    <row r="571" spans="1:19" x14ac:dyDescent="0.25">
      <c r="A571">
        <v>10156</v>
      </c>
      <c r="B571" t="s">
        <v>317</v>
      </c>
      <c r="C571" t="s">
        <v>78</v>
      </c>
      <c r="D571" t="s">
        <v>79</v>
      </c>
      <c r="E571" t="s">
        <v>80</v>
      </c>
      <c r="F571" t="s">
        <v>30</v>
      </c>
      <c r="G571" t="s">
        <v>33</v>
      </c>
      <c r="H571">
        <v>2</v>
      </c>
      <c r="I571">
        <v>48</v>
      </c>
      <c r="J571">
        <v>100</v>
      </c>
      <c r="K571">
        <v>91</v>
      </c>
      <c r="L571">
        <v>4954.08</v>
      </c>
      <c r="M571">
        <v>586.08000000000004</v>
      </c>
      <c r="N571" s="1">
        <v>37902</v>
      </c>
      <c r="O571" t="s">
        <v>25</v>
      </c>
      <c r="P571">
        <v>4</v>
      </c>
      <c r="Q571">
        <v>10</v>
      </c>
      <c r="R571">
        <v>2003</v>
      </c>
      <c r="S571" t="s">
        <v>234</v>
      </c>
    </row>
    <row r="572" spans="1:19" x14ac:dyDescent="0.25">
      <c r="A572">
        <v>10199</v>
      </c>
      <c r="B572" t="s">
        <v>317</v>
      </c>
      <c r="C572" t="s">
        <v>100</v>
      </c>
      <c r="D572" t="s">
        <v>101</v>
      </c>
      <c r="E572" t="s">
        <v>22</v>
      </c>
      <c r="F572" t="s">
        <v>23</v>
      </c>
      <c r="G572" t="s">
        <v>33</v>
      </c>
      <c r="H572">
        <v>2</v>
      </c>
      <c r="I572">
        <v>48</v>
      </c>
      <c r="J572">
        <v>83.12</v>
      </c>
      <c r="K572">
        <v>91</v>
      </c>
      <c r="L572">
        <v>3989.76</v>
      </c>
      <c r="M572">
        <v>-378.24</v>
      </c>
      <c r="N572" s="1">
        <v>37956</v>
      </c>
      <c r="O572" t="s">
        <v>25</v>
      </c>
      <c r="P572">
        <v>4</v>
      </c>
      <c r="Q572">
        <v>12</v>
      </c>
      <c r="R572">
        <v>2003</v>
      </c>
      <c r="S572" t="s">
        <v>234</v>
      </c>
    </row>
    <row r="573" spans="1:19" x14ac:dyDescent="0.25">
      <c r="A573">
        <v>10296</v>
      </c>
      <c r="B573" t="s">
        <v>317</v>
      </c>
      <c r="C573" t="s">
        <v>236</v>
      </c>
      <c r="D573" t="s">
        <v>237</v>
      </c>
      <c r="E573" t="s">
        <v>180</v>
      </c>
      <c r="F573" t="s">
        <v>30</v>
      </c>
      <c r="G573" t="s">
        <v>33</v>
      </c>
      <c r="H573">
        <v>2</v>
      </c>
      <c r="I573">
        <v>42</v>
      </c>
      <c r="J573">
        <v>100</v>
      </c>
      <c r="K573">
        <v>91</v>
      </c>
      <c r="L573">
        <v>4296.6000000000004</v>
      </c>
      <c r="M573">
        <v>474.6</v>
      </c>
      <c r="N573" s="1">
        <v>38245</v>
      </c>
      <c r="O573" t="s">
        <v>25</v>
      </c>
      <c r="P573">
        <v>3</v>
      </c>
      <c r="Q573">
        <v>9</v>
      </c>
      <c r="R573">
        <v>2004</v>
      </c>
      <c r="S573" t="s">
        <v>234</v>
      </c>
    </row>
    <row r="574" spans="1:19" x14ac:dyDescent="0.25">
      <c r="A574">
        <v>10388</v>
      </c>
      <c r="B574" t="s">
        <v>317</v>
      </c>
      <c r="C574" t="s">
        <v>73</v>
      </c>
      <c r="D574" t="s">
        <v>74</v>
      </c>
      <c r="E574" t="s">
        <v>22</v>
      </c>
      <c r="F574" t="s">
        <v>23</v>
      </c>
      <c r="G574" t="s">
        <v>70</v>
      </c>
      <c r="H574">
        <v>2</v>
      </c>
      <c r="I574">
        <v>46</v>
      </c>
      <c r="J574">
        <v>100</v>
      </c>
      <c r="K574">
        <v>91</v>
      </c>
      <c r="L574">
        <v>10066.6</v>
      </c>
      <c r="M574">
        <v>5880.6</v>
      </c>
      <c r="N574" s="1">
        <v>38414</v>
      </c>
      <c r="O574" t="s">
        <v>25</v>
      </c>
      <c r="P574">
        <v>1</v>
      </c>
      <c r="Q574">
        <v>3</v>
      </c>
      <c r="R574">
        <v>2005</v>
      </c>
      <c r="S574" t="s">
        <v>234</v>
      </c>
    </row>
    <row r="575" spans="1:19" x14ac:dyDescent="0.25">
      <c r="A575">
        <v>10196</v>
      </c>
      <c r="B575" t="s">
        <v>318</v>
      </c>
      <c r="C575" t="s">
        <v>103</v>
      </c>
      <c r="D575" t="s">
        <v>104</v>
      </c>
      <c r="E575" t="s">
        <v>22</v>
      </c>
      <c r="F575" t="s">
        <v>23</v>
      </c>
      <c r="G575" t="s">
        <v>33</v>
      </c>
      <c r="H575">
        <v>2</v>
      </c>
      <c r="I575">
        <v>50</v>
      </c>
      <c r="J575">
        <v>94.4</v>
      </c>
      <c r="K575">
        <v>86</v>
      </c>
      <c r="L575">
        <v>4720</v>
      </c>
      <c r="M575">
        <v>420</v>
      </c>
      <c r="N575" s="1">
        <v>37951</v>
      </c>
      <c r="O575" t="s">
        <v>25</v>
      </c>
      <c r="P575">
        <v>4</v>
      </c>
      <c r="Q575">
        <v>11</v>
      </c>
      <c r="R575">
        <v>2003</v>
      </c>
      <c r="S575" t="s">
        <v>255</v>
      </c>
    </row>
    <row r="576" spans="1:19" x14ac:dyDescent="0.25">
      <c r="A576">
        <v>10282</v>
      </c>
      <c r="B576" t="s">
        <v>318</v>
      </c>
      <c r="C576" t="s">
        <v>115</v>
      </c>
      <c r="D576" t="s">
        <v>116</v>
      </c>
      <c r="E576" t="s">
        <v>22</v>
      </c>
      <c r="F576" t="s">
        <v>23</v>
      </c>
      <c r="G576" t="s">
        <v>33</v>
      </c>
      <c r="H576">
        <v>2</v>
      </c>
      <c r="I576">
        <v>43</v>
      </c>
      <c r="J576">
        <v>86.61</v>
      </c>
      <c r="K576">
        <v>86</v>
      </c>
      <c r="L576">
        <v>3724.23</v>
      </c>
      <c r="M576">
        <v>26.23</v>
      </c>
      <c r="N576" s="1">
        <v>38219</v>
      </c>
      <c r="O576" t="s">
        <v>25</v>
      </c>
      <c r="P576">
        <v>3</v>
      </c>
      <c r="Q576">
        <v>8</v>
      </c>
      <c r="R576">
        <v>2004</v>
      </c>
      <c r="S576" t="s">
        <v>255</v>
      </c>
    </row>
    <row r="577" spans="1:19" x14ac:dyDescent="0.25">
      <c r="A577">
        <v>10314</v>
      </c>
      <c r="B577" t="s">
        <v>318</v>
      </c>
      <c r="C577" t="s">
        <v>199</v>
      </c>
      <c r="D577" t="s">
        <v>200</v>
      </c>
      <c r="E577" t="s">
        <v>137</v>
      </c>
      <c r="F577" t="s">
        <v>30</v>
      </c>
      <c r="G577" t="s">
        <v>24</v>
      </c>
      <c r="H577">
        <v>2</v>
      </c>
      <c r="I577">
        <v>23</v>
      </c>
      <c r="J577">
        <v>76.22</v>
      </c>
      <c r="K577">
        <v>86</v>
      </c>
      <c r="L577">
        <v>1753.06</v>
      </c>
      <c r="M577">
        <v>-224.94</v>
      </c>
      <c r="N577" s="1">
        <v>38282</v>
      </c>
      <c r="O577" t="s">
        <v>25</v>
      </c>
      <c r="P577">
        <v>4</v>
      </c>
      <c r="Q577">
        <v>10</v>
      </c>
      <c r="R577">
        <v>2004</v>
      </c>
      <c r="S577" t="s">
        <v>255</v>
      </c>
    </row>
    <row r="578" spans="1:19" x14ac:dyDescent="0.25">
      <c r="A578">
        <v>10372</v>
      </c>
      <c r="B578" t="s">
        <v>318</v>
      </c>
      <c r="C578" t="s">
        <v>105</v>
      </c>
      <c r="D578" t="s">
        <v>106</v>
      </c>
      <c r="E578" t="s">
        <v>107</v>
      </c>
      <c r="F578" t="s">
        <v>50</v>
      </c>
      <c r="G578" t="s">
        <v>33</v>
      </c>
      <c r="H578">
        <v>2</v>
      </c>
      <c r="I578">
        <v>44</v>
      </c>
      <c r="J578">
        <v>100</v>
      </c>
      <c r="K578">
        <v>86</v>
      </c>
      <c r="L578">
        <v>4496.8</v>
      </c>
      <c r="M578">
        <v>712.8</v>
      </c>
      <c r="N578" s="1">
        <v>38378</v>
      </c>
      <c r="O578" t="s">
        <v>25</v>
      </c>
      <c r="P578">
        <v>1</v>
      </c>
      <c r="Q578">
        <v>1</v>
      </c>
      <c r="R578">
        <v>2005</v>
      </c>
      <c r="S578" t="s">
        <v>255</v>
      </c>
    </row>
    <row r="579" spans="1:19" x14ac:dyDescent="0.25">
      <c r="A579">
        <v>10197</v>
      </c>
      <c r="B579" t="s">
        <v>319</v>
      </c>
      <c r="C579" t="s">
        <v>145</v>
      </c>
      <c r="D579" t="s">
        <v>146</v>
      </c>
      <c r="E579" t="s">
        <v>80</v>
      </c>
      <c r="F579" t="s">
        <v>30</v>
      </c>
      <c r="G579" t="s">
        <v>24</v>
      </c>
      <c r="H579">
        <v>2</v>
      </c>
      <c r="I579">
        <v>24</v>
      </c>
      <c r="J579">
        <v>90.52</v>
      </c>
      <c r="K579">
        <v>90</v>
      </c>
      <c r="L579">
        <v>2172.48</v>
      </c>
      <c r="M579">
        <v>12.48</v>
      </c>
      <c r="N579" s="1">
        <v>37951</v>
      </c>
      <c r="O579" t="s">
        <v>25</v>
      </c>
      <c r="P579">
        <v>4</v>
      </c>
      <c r="Q579">
        <v>11</v>
      </c>
      <c r="R579">
        <v>2003</v>
      </c>
      <c r="S579" t="s">
        <v>255</v>
      </c>
    </row>
    <row r="580" spans="1:19" x14ac:dyDescent="0.25">
      <c r="A580">
        <v>10283</v>
      </c>
      <c r="B580" t="s">
        <v>319</v>
      </c>
      <c r="C580" t="s">
        <v>154</v>
      </c>
      <c r="D580" t="s">
        <v>155</v>
      </c>
      <c r="E580" t="s">
        <v>99</v>
      </c>
      <c r="F580" t="s">
        <v>23</v>
      </c>
      <c r="G580" t="s">
        <v>24</v>
      </c>
      <c r="H580">
        <v>2</v>
      </c>
      <c r="I580">
        <v>20</v>
      </c>
      <c r="J580">
        <v>94.14</v>
      </c>
      <c r="K580">
        <v>90</v>
      </c>
      <c r="L580">
        <v>1882.8</v>
      </c>
      <c r="M580">
        <v>82.8</v>
      </c>
      <c r="N580" s="1">
        <v>38219</v>
      </c>
      <c r="O580" t="s">
        <v>25</v>
      </c>
      <c r="P580">
        <v>3</v>
      </c>
      <c r="Q580">
        <v>8</v>
      </c>
      <c r="R580">
        <v>2004</v>
      </c>
      <c r="S580" t="s">
        <v>255</v>
      </c>
    </row>
    <row r="581" spans="1:19" x14ac:dyDescent="0.25">
      <c r="A581">
        <v>10155</v>
      </c>
      <c r="B581" t="s">
        <v>320</v>
      </c>
      <c r="C581" t="s">
        <v>60</v>
      </c>
      <c r="D581" t="s">
        <v>61</v>
      </c>
      <c r="E581" t="s">
        <v>62</v>
      </c>
      <c r="F581" t="s">
        <v>30</v>
      </c>
      <c r="G581" t="s">
        <v>24</v>
      </c>
      <c r="H581">
        <v>2</v>
      </c>
      <c r="I581">
        <v>20</v>
      </c>
      <c r="J581">
        <v>100</v>
      </c>
      <c r="K581">
        <v>99</v>
      </c>
      <c r="L581">
        <v>2353.4</v>
      </c>
      <c r="M581">
        <v>373.4</v>
      </c>
      <c r="N581" s="1">
        <v>37900</v>
      </c>
      <c r="O581" t="s">
        <v>25</v>
      </c>
      <c r="P581">
        <v>4</v>
      </c>
      <c r="Q581">
        <v>10</v>
      </c>
      <c r="R581">
        <v>2003</v>
      </c>
      <c r="S581" t="s">
        <v>234</v>
      </c>
    </row>
    <row r="582" spans="1:19" x14ac:dyDescent="0.25">
      <c r="A582">
        <v>10352</v>
      </c>
      <c r="B582" t="s">
        <v>320</v>
      </c>
      <c r="C582" t="s">
        <v>256</v>
      </c>
      <c r="D582" t="s">
        <v>120</v>
      </c>
      <c r="E582" t="s">
        <v>22</v>
      </c>
      <c r="F582" t="s">
        <v>23</v>
      </c>
      <c r="G582" t="s">
        <v>33</v>
      </c>
      <c r="H582">
        <v>2</v>
      </c>
      <c r="I582">
        <v>49</v>
      </c>
      <c r="J582">
        <v>100</v>
      </c>
      <c r="K582">
        <v>99</v>
      </c>
      <c r="L582">
        <v>4935.28</v>
      </c>
      <c r="M582">
        <v>84.28</v>
      </c>
      <c r="N582" s="1">
        <v>38324</v>
      </c>
      <c r="O582" t="s">
        <v>25</v>
      </c>
      <c r="P582">
        <v>4</v>
      </c>
      <c r="Q582">
        <v>12</v>
      </c>
      <c r="R582">
        <v>2004</v>
      </c>
      <c r="S582" t="s">
        <v>234</v>
      </c>
    </row>
    <row r="583" spans="1:19" x14ac:dyDescent="0.25">
      <c r="A583">
        <v>10261</v>
      </c>
      <c r="B583" t="s">
        <v>321</v>
      </c>
      <c r="C583" t="s">
        <v>123</v>
      </c>
      <c r="D583" t="s">
        <v>124</v>
      </c>
      <c r="E583" t="s">
        <v>99</v>
      </c>
      <c r="F583" t="s">
        <v>23</v>
      </c>
      <c r="G583" t="s">
        <v>33</v>
      </c>
      <c r="H583">
        <v>2</v>
      </c>
      <c r="I583">
        <v>44</v>
      </c>
      <c r="J583">
        <v>68.67</v>
      </c>
      <c r="K583">
        <v>72</v>
      </c>
      <c r="L583">
        <v>3021.48</v>
      </c>
      <c r="M583">
        <v>-146.52000000000001</v>
      </c>
      <c r="N583" s="1">
        <v>38155</v>
      </c>
      <c r="O583" t="s">
        <v>25</v>
      </c>
      <c r="P583">
        <v>2</v>
      </c>
      <c r="Q583">
        <v>6</v>
      </c>
      <c r="R583">
        <v>2004</v>
      </c>
      <c r="S583" t="s">
        <v>255</v>
      </c>
    </row>
    <row r="584" spans="1:19" x14ac:dyDescent="0.25">
      <c r="A584">
        <v>10295</v>
      </c>
      <c r="B584" t="s">
        <v>321</v>
      </c>
      <c r="C584" t="s">
        <v>156</v>
      </c>
      <c r="D584" t="s">
        <v>157</v>
      </c>
      <c r="E584" t="s">
        <v>22</v>
      </c>
      <c r="F584" t="s">
        <v>23</v>
      </c>
      <c r="G584" t="s">
        <v>24</v>
      </c>
      <c r="H584">
        <v>2</v>
      </c>
      <c r="I584">
        <v>44</v>
      </c>
      <c r="J584">
        <v>58.55</v>
      </c>
      <c r="K584">
        <v>72</v>
      </c>
      <c r="L584">
        <v>2576.1999999999998</v>
      </c>
      <c r="M584">
        <v>-591.79999999999995</v>
      </c>
      <c r="N584" s="1">
        <v>38240</v>
      </c>
      <c r="O584" t="s">
        <v>25</v>
      </c>
      <c r="P584">
        <v>3</v>
      </c>
      <c r="Q584">
        <v>9</v>
      </c>
      <c r="R584">
        <v>2004</v>
      </c>
      <c r="S584" t="s">
        <v>255</v>
      </c>
    </row>
    <row r="585" spans="1:19" x14ac:dyDescent="0.25">
      <c r="A585">
        <v>10336</v>
      </c>
      <c r="B585" t="s">
        <v>322</v>
      </c>
      <c r="C585" t="s">
        <v>166</v>
      </c>
      <c r="D585" t="s">
        <v>32</v>
      </c>
      <c r="E585" t="s">
        <v>29</v>
      </c>
      <c r="F585" t="s">
        <v>30</v>
      </c>
      <c r="G585" t="s">
        <v>70</v>
      </c>
      <c r="H585">
        <v>2</v>
      </c>
      <c r="I585">
        <v>46</v>
      </c>
      <c r="J585">
        <v>100</v>
      </c>
      <c r="K585">
        <v>101</v>
      </c>
      <c r="L585">
        <v>9558.7999999999993</v>
      </c>
      <c r="M585">
        <v>4912.8</v>
      </c>
      <c r="N585" s="1">
        <v>38311</v>
      </c>
      <c r="O585" t="s">
        <v>25</v>
      </c>
      <c r="P585">
        <v>4</v>
      </c>
      <c r="Q585">
        <v>11</v>
      </c>
      <c r="R585">
        <v>2004</v>
      </c>
      <c r="S585" t="s">
        <v>83</v>
      </c>
    </row>
    <row r="586" spans="1:19" x14ac:dyDescent="0.25">
      <c r="A586">
        <v>10133</v>
      </c>
      <c r="B586" t="s">
        <v>323</v>
      </c>
      <c r="C586" t="s">
        <v>78</v>
      </c>
      <c r="D586" t="s">
        <v>79</v>
      </c>
      <c r="E586" t="s">
        <v>80</v>
      </c>
      <c r="F586" t="s">
        <v>30</v>
      </c>
      <c r="G586" t="s">
        <v>24</v>
      </c>
      <c r="H586">
        <v>2</v>
      </c>
      <c r="I586">
        <v>27</v>
      </c>
      <c r="J586">
        <v>99.67</v>
      </c>
      <c r="K586">
        <v>118</v>
      </c>
      <c r="L586">
        <v>2691.09</v>
      </c>
      <c r="M586">
        <v>-494.91</v>
      </c>
      <c r="N586" s="1">
        <v>37799</v>
      </c>
      <c r="O586" t="s">
        <v>25</v>
      </c>
      <c r="P586">
        <v>2</v>
      </c>
      <c r="Q586">
        <v>6</v>
      </c>
      <c r="R586">
        <v>2003</v>
      </c>
      <c r="S586" t="s">
        <v>234</v>
      </c>
    </row>
    <row r="587" spans="1:19" x14ac:dyDescent="0.25">
      <c r="A587">
        <v>10235</v>
      </c>
      <c r="B587" t="s">
        <v>323</v>
      </c>
      <c r="C587" t="s">
        <v>154</v>
      </c>
      <c r="D587" t="s">
        <v>155</v>
      </c>
      <c r="E587" t="s">
        <v>99</v>
      </c>
      <c r="F587" t="s">
        <v>23</v>
      </c>
      <c r="G587" t="s">
        <v>24</v>
      </c>
      <c r="H587">
        <v>2</v>
      </c>
      <c r="I587">
        <v>25</v>
      </c>
      <c r="J587">
        <v>96.11</v>
      </c>
      <c r="K587">
        <v>118</v>
      </c>
      <c r="L587">
        <v>2402.75</v>
      </c>
      <c r="M587">
        <v>-547.25</v>
      </c>
      <c r="N587" s="1">
        <v>38079</v>
      </c>
      <c r="O587" t="s">
        <v>25</v>
      </c>
      <c r="P587">
        <v>2</v>
      </c>
      <c r="Q587">
        <v>4</v>
      </c>
      <c r="R587">
        <v>2004</v>
      </c>
      <c r="S587" t="s">
        <v>234</v>
      </c>
    </row>
    <row r="588" spans="1:19" x14ac:dyDescent="0.25">
      <c r="A588">
        <v>10401</v>
      </c>
      <c r="B588" t="s">
        <v>323</v>
      </c>
      <c r="C588" t="s">
        <v>52</v>
      </c>
      <c r="D588" t="s">
        <v>53</v>
      </c>
      <c r="E588" t="s">
        <v>22</v>
      </c>
      <c r="F588" t="s">
        <v>23</v>
      </c>
      <c r="G588" t="s">
        <v>24</v>
      </c>
      <c r="H588">
        <v>2</v>
      </c>
      <c r="I588">
        <v>21</v>
      </c>
      <c r="J588">
        <v>96.11</v>
      </c>
      <c r="K588">
        <v>118</v>
      </c>
      <c r="L588">
        <v>2018.31</v>
      </c>
      <c r="M588">
        <v>-459.69</v>
      </c>
      <c r="N588" s="1">
        <v>38445</v>
      </c>
      <c r="O588" t="s">
        <v>164</v>
      </c>
      <c r="P588">
        <v>2</v>
      </c>
      <c r="Q588">
        <v>4</v>
      </c>
      <c r="R588">
        <v>2005</v>
      </c>
      <c r="S588" t="s">
        <v>234</v>
      </c>
    </row>
    <row r="589" spans="1:19" x14ac:dyDescent="0.25">
      <c r="A589">
        <v>10153</v>
      </c>
      <c r="B589" t="s">
        <v>325</v>
      </c>
      <c r="C589" t="s">
        <v>78</v>
      </c>
      <c r="D589" t="s">
        <v>79</v>
      </c>
      <c r="E589" t="s">
        <v>80</v>
      </c>
      <c r="F589" t="s">
        <v>30</v>
      </c>
      <c r="G589" t="s">
        <v>33</v>
      </c>
      <c r="H589">
        <v>2</v>
      </c>
      <c r="I589">
        <v>50</v>
      </c>
      <c r="J589">
        <v>88.15</v>
      </c>
      <c r="K589">
        <v>100</v>
      </c>
      <c r="L589">
        <v>4407.5</v>
      </c>
      <c r="M589">
        <v>-592.5</v>
      </c>
      <c r="N589" s="1">
        <v>37892</v>
      </c>
      <c r="O589" t="s">
        <v>25</v>
      </c>
      <c r="P589">
        <v>3</v>
      </c>
      <c r="Q589">
        <v>9</v>
      </c>
      <c r="R589">
        <v>2003</v>
      </c>
      <c r="S589" t="s">
        <v>255</v>
      </c>
    </row>
    <row r="590" spans="1:19" x14ac:dyDescent="0.25">
      <c r="A590">
        <v>10327</v>
      </c>
      <c r="B590" t="s">
        <v>325</v>
      </c>
      <c r="C590" t="s">
        <v>135</v>
      </c>
      <c r="D590" t="s">
        <v>136</v>
      </c>
      <c r="E590" t="s">
        <v>137</v>
      </c>
      <c r="F590" t="s">
        <v>30</v>
      </c>
      <c r="G590" t="s">
        <v>33</v>
      </c>
      <c r="H590">
        <v>2</v>
      </c>
      <c r="I590">
        <v>43</v>
      </c>
      <c r="J590">
        <v>80</v>
      </c>
      <c r="K590">
        <v>100</v>
      </c>
      <c r="L590">
        <v>3440</v>
      </c>
      <c r="M590">
        <v>-860</v>
      </c>
      <c r="N590" s="1">
        <v>38301</v>
      </c>
      <c r="O590" t="s">
        <v>169</v>
      </c>
      <c r="P590">
        <v>4</v>
      </c>
      <c r="Q590">
        <v>11</v>
      </c>
      <c r="R590">
        <v>2004</v>
      </c>
      <c r="S590" t="s">
        <v>255</v>
      </c>
    </row>
    <row r="591" spans="1:19" x14ac:dyDescent="0.25">
      <c r="A591">
        <v>10373</v>
      </c>
      <c r="B591" t="s">
        <v>325</v>
      </c>
      <c r="C591" t="s">
        <v>160</v>
      </c>
      <c r="D591" t="s">
        <v>161</v>
      </c>
      <c r="E591" t="s">
        <v>62</v>
      </c>
      <c r="F591" t="s">
        <v>30</v>
      </c>
      <c r="G591" t="s">
        <v>33</v>
      </c>
      <c r="H591">
        <v>2</v>
      </c>
      <c r="I591">
        <v>34</v>
      </c>
      <c r="J591">
        <v>96.34</v>
      </c>
      <c r="K591">
        <v>100</v>
      </c>
      <c r="L591">
        <v>3275.56</v>
      </c>
      <c r="M591">
        <v>-124.44</v>
      </c>
      <c r="N591" s="1">
        <v>38383</v>
      </c>
      <c r="O591" t="s">
        <v>25</v>
      </c>
      <c r="P591">
        <v>1</v>
      </c>
      <c r="Q591">
        <v>1</v>
      </c>
      <c r="R591">
        <v>2005</v>
      </c>
      <c r="S591" t="s">
        <v>255</v>
      </c>
    </row>
    <row r="592" spans="1:19" x14ac:dyDescent="0.25">
      <c r="A592">
        <v>10386</v>
      </c>
      <c r="B592" t="s">
        <v>325</v>
      </c>
      <c r="C592" t="s">
        <v>78</v>
      </c>
      <c r="D592" t="s">
        <v>79</v>
      </c>
      <c r="E592" t="s">
        <v>80</v>
      </c>
      <c r="F592" t="s">
        <v>30</v>
      </c>
      <c r="G592" t="s">
        <v>33</v>
      </c>
      <c r="H592">
        <v>2</v>
      </c>
      <c r="I592">
        <v>45</v>
      </c>
      <c r="J592">
        <v>92.08</v>
      </c>
      <c r="K592">
        <v>100</v>
      </c>
      <c r="L592">
        <v>4143.6000000000004</v>
      </c>
      <c r="M592">
        <v>-356.4</v>
      </c>
      <c r="N592" s="1">
        <v>38412</v>
      </c>
      <c r="O592" t="s">
        <v>169</v>
      </c>
      <c r="P592">
        <v>1</v>
      </c>
      <c r="Q592">
        <v>3</v>
      </c>
      <c r="R592">
        <v>2005</v>
      </c>
      <c r="S592" t="s">
        <v>255</v>
      </c>
    </row>
    <row r="593" spans="1:19" x14ac:dyDescent="0.25">
      <c r="A593">
        <v>10232</v>
      </c>
      <c r="B593" t="s">
        <v>326</v>
      </c>
      <c r="C593" t="s">
        <v>158</v>
      </c>
      <c r="D593" t="s">
        <v>159</v>
      </c>
      <c r="E593" t="s">
        <v>77</v>
      </c>
      <c r="F593" t="s">
        <v>30</v>
      </c>
      <c r="G593" t="s">
        <v>24</v>
      </c>
      <c r="H593">
        <v>2</v>
      </c>
      <c r="I593">
        <v>35</v>
      </c>
      <c r="J593">
        <v>82.43</v>
      </c>
      <c r="K593">
        <v>99</v>
      </c>
      <c r="L593">
        <v>2885.05</v>
      </c>
      <c r="M593">
        <v>-579.95000000000005</v>
      </c>
      <c r="N593" s="1">
        <v>38066</v>
      </c>
      <c r="O593" t="s">
        <v>25</v>
      </c>
      <c r="P593">
        <v>1</v>
      </c>
      <c r="Q593">
        <v>3</v>
      </c>
      <c r="R593">
        <v>2004</v>
      </c>
      <c r="S593" t="s">
        <v>255</v>
      </c>
    </row>
    <row r="594" spans="1:19" x14ac:dyDescent="0.25">
      <c r="A594">
        <v>10397</v>
      </c>
      <c r="B594" t="s">
        <v>326</v>
      </c>
      <c r="C594" t="s">
        <v>142</v>
      </c>
      <c r="D594" t="s">
        <v>143</v>
      </c>
      <c r="E594" t="s">
        <v>29</v>
      </c>
      <c r="F594" t="s">
        <v>30</v>
      </c>
      <c r="G594" t="s">
        <v>33</v>
      </c>
      <c r="H594">
        <v>2</v>
      </c>
      <c r="I594">
        <v>36</v>
      </c>
      <c r="J594">
        <v>100</v>
      </c>
      <c r="K594">
        <v>99</v>
      </c>
      <c r="L594">
        <v>3789.72</v>
      </c>
      <c r="M594">
        <v>225.72</v>
      </c>
      <c r="N594" s="1">
        <v>38439</v>
      </c>
      <c r="O594" t="s">
        <v>25</v>
      </c>
      <c r="P594">
        <v>1</v>
      </c>
      <c r="Q594">
        <v>3</v>
      </c>
      <c r="R594">
        <v>2005</v>
      </c>
      <c r="S594" t="s">
        <v>255</v>
      </c>
    </row>
    <row r="595" spans="1:19" x14ac:dyDescent="0.25">
      <c r="A595">
        <v>10131</v>
      </c>
      <c r="B595" t="s">
        <v>327</v>
      </c>
      <c r="C595" t="s">
        <v>235</v>
      </c>
      <c r="D595" t="s">
        <v>208</v>
      </c>
      <c r="E595" t="s">
        <v>22</v>
      </c>
      <c r="F595" t="s">
        <v>23</v>
      </c>
      <c r="G595" t="s">
        <v>24</v>
      </c>
      <c r="H595">
        <v>2</v>
      </c>
      <c r="I595">
        <v>26</v>
      </c>
      <c r="J595">
        <v>85.13</v>
      </c>
      <c r="K595">
        <v>74</v>
      </c>
      <c r="L595">
        <v>2213.38</v>
      </c>
      <c r="M595">
        <v>289.38</v>
      </c>
      <c r="N595" s="1">
        <v>37788</v>
      </c>
      <c r="O595" t="s">
        <v>25</v>
      </c>
      <c r="P595">
        <v>2</v>
      </c>
      <c r="Q595">
        <v>6</v>
      </c>
      <c r="R595">
        <v>2003</v>
      </c>
      <c r="S595" t="s">
        <v>234</v>
      </c>
    </row>
    <row r="596" spans="1:19" x14ac:dyDescent="0.25">
      <c r="A596">
        <v>10178</v>
      </c>
      <c r="B596" t="s">
        <v>327</v>
      </c>
      <c r="C596" t="s">
        <v>142</v>
      </c>
      <c r="D596" t="s">
        <v>143</v>
      </c>
      <c r="E596" t="s">
        <v>29</v>
      </c>
      <c r="F596" t="s">
        <v>30</v>
      </c>
      <c r="G596" t="s">
        <v>33</v>
      </c>
      <c r="H596">
        <v>2</v>
      </c>
      <c r="I596">
        <v>45</v>
      </c>
      <c r="J596">
        <v>76.25</v>
      </c>
      <c r="K596">
        <v>74</v>
      </c>
      <c r="L596">
        <v>3431.25</v>
      </c>
      <c r="M596">
        <v>101.25</v>
      </c>
      <c r="N596" s="1">
        <v>37933</v>
      </c>
      <c r="O596" t="s">
        <v>25</v>
      </c>
      <c r="P596">
        <v>4</v>
      </c>
      <c r="Q596">
        <v>11</v>
      </c>
      <c r="R596">
        <v>2003</v>
      </c>
      <c r="S596" t="s">
        <v>234</v>
      </c>
    </row>
    <row r="597" spans="1:19" x14ac:dyDescent="0.25">
      <c r="A597">
        <v>10198</v>
      </c>
      <c r="B597" t="s">
        <v>327</v>
      </c>
      <c r="C597" t="s">
        <v>173</v>
      </c>
      <c r="D597" t="s">
        <v>174</v>
      </c>
      <c r="E597" t="s">
        <v>175</v>
      </c>
      <c r="F597" t="s">
        <v>50</v>
      </c>
      <c r="G597" t="s">
        <v>24</v>
      </c>
      <c r="H597">
        <v>2</v>
      </c>
      <c r="I597">
        <v>40</v>
      </c>
      <c r="J597">
        <v>63.67</v>
      </c>
      <c r="K597">
        <v>74</v>
      </c>
      <c r="L597">
        <v>2546.8000000000002</v>
      </c>
      <c r="M597">
        <v>-413.2</v>
      </c>
      <c r="N597" s="1">
        <v>37952</v>
      </c>
      <c r="O597" t="s">
        <v>25</v>
      </c>
      <c r="P597">
        <v>4</v>
      </c>
      <c r="Q597">
        <v>11</v>
      </c>
      <c r="R597">
        <v>2003</v>
      </c>
      <c r="S597" t="s">
        <v>234</v>
      </c>
    </row>
    <row r="598" spans="1:19" x14ac:dyDescent="0.25">
      <c r="A598">
        <v>10222</v>
      </c>
      <c r="B598" t="s">
        <v>327</v>
      </c>
      <c r="C598" t="s">
        <v>149</v>
      </c>
      <c r="D598" t="s">
        <v>150</v>
      </c>
      <c r="E598" t="s">
        <v>22</v>
      </c>
      <c r="F598" t="s">
        <v>23</v>
      </c>
      <c r="G598" t="s">
        <v>33</v>
      </c>
      <c r="H598">
        <v>2</v>
      </c>
      <c r="I598">
        <v>43</v>
      </c>
      <c r="J598">
        <v>74.03</v>
      </c>
      <c r="K598">
        <v>74</v>
      </c>
      <c r="L598">
        <v>3183.29</v>
      </c>
      <c r="M598">
        <v>1.29</v>
      </c>
      <c r="N598" s="1">
        <v>38036</v>
      </c>
      <c r="O598" t="s">
        <v>25</v>
      </c>
      <c r="P598">
        <v>1</v>
      </c>
      <c r="Q598">
        <v>2</v>
      </c>
      <c r="R598">
        <v>2004</v>
      </c>
      <c r="S598" t="s">
        <v>234</v>
      </c>
    </row>
    <row r="599" spans="1:19" x14ac:dyDescent="0.25">
      <c r="A599">
        <v>10117</v>
      </c>
      <c r="B599" t="s">
        <v>329</v>
      </c>
      <c r="C599" t="s">
        <v>88</v>
      </c>
      <c r="D599" t="s">
        <v>89</v>
      </c>
      <c r="E599" t="s">
        <v>89</v>
      </c>
      <c r="F599" t="s">
        <v>50</v>
      </c>
      <c r="G599" t="s">
        <v>24</v>
      </c>
      <c r="H599">
        <v>2</v>
      </c>
      <c r="I599">
        <v>50</v>
      </c>
      <c r="J599">
        <v>43.68</v>
      </c>
      <c r="K599">
        <v>54</v>
      </c>
      <c r="L599">
        <v>2184</v>
      </c>
      <c r="M599">
        <v>-516</v>
      </c>
      <c r="N599" s="1">
        <v>37727</v>
      </c>
      <c r="O599" t="s">
        <v>25</v>
      </c>
      <c r="P599">
        <v>2</v>
      </c>
      <c r="Q599">
        <v>4</v>
      </c>
      <c r="R599">
        <v>2003</v>
      </c>
      <c r="S599" t="s">
        <v>255</v>
      </c>
    </row>
    <row r="600" spans="1:19" x14ac:dyDescent="0.25">
      <c r="A600">
        <v>10215</v>
      </c>
      <c r="B600" t="s">
        <v>82</v>
      </c>
      <c r="C600" t="s">
        <v>100</v>
      </c>
      <c r="D600" t="s">
        <v>101</v>
      </c>
      <c r="E600" t="s">
        <v>22</v>
      </c>
      <c r="F600" t="s">
        <v>23</v>
      </c>
      <c r="G600" t="s">
        <v>33</v>
      </c>
      <c r="H600">
        <v>3</v>
      </c>
      <c r="I600">
        <v>35</v>
      </c>
      <c r="J600">
        <v>100</v>
      </c>
      <c r="K600">
        <v>214</v>
      </c>
      <c r="L600">
        <v>6075.3</v>
      </c>
      <c r="M600">
        <v>-1414.7</v>
      </c>
      <c r="N600" s="1">
        <v>38015</v>
      </c>
      <c r="O600" t="s">
        <v>25</v>
      </c>
      <c r="P600">
        <v>1</v>
      </c>
      <c r="Q600">
        <v>1</v>
      </c>
      <c r="R600">
        <v>2004</v>
      </c>
      <c r="S600" t="s">
        <v>83</v>
      </c>
    </row>
    <row r="601" spans="1:19" x14ac:dyDescent="0.25">
      <c r="A601">
        <v>10312</v>
      </c>
      <c r="B601" t="s">
        <v>82</v>
      </c>
      <c r="C601" t="s">
        <v>115</v>
      </c>
      <c r="D601" t="s">
        <v>116</v>
      </c>
      <c r="E601" t="s">
        <v>22</v>
      </c>
      <c r="F601" t="s">
        <v>23</v>
      </c>
      <c r="G601" t="s">
        <v>70</v>
      </c>
      <c r="H601">
        <v>3</v>
      </c>
      <c r="I601">
        <v>48</v>
      </c>
      <c r="J601">
        <v>100</v>
      </c>
      <c r="K601">
        <v>214</v>
      </c>
      <c r="L601">
        <v>11623.7</v>
      </c>
      <c r="M601">
        <v>1351.7</v>
      </c>
      <c r="N601" s="1">
        <v>38281</v>
      </c>
      <c r="O601" t="s">
        <v>25</v>
      </c>
      <c r="P601">
        <v>4</v>
      </c>
      <c r="Q601">
        <v>10</v>
      </c>
      <c r="R601">
        <v>2004</v>
      </c>
      <c r="S601" t="s">
        <v>83</v>
      </c>
    </row>
    <row r="602" spans="1:19" x14ac:dyDescent="0.25">
      <c r="A602">
        <v>10333</v>
      </c>
      <c r="B602" t="s">
        <v>82</v>
      </c>
      <c r="C602" t="s">
        <v>45</v>
      </c>
      <c r="D602" t="s">
        <v>37</v>
      </c>
      <c r="E602" t="s">
        <v>22</v>
      </c>
      <c r="F602" t="s">
        <v>23</v>
      </c>
      <c r="G602" t="s">
        <v>33</v>
      </c>
      <c r="H602">
        <v>3</v>
      </c>
      <c r="I602">
        <v>26</v>
      </c>
      <c r="J602">
        <v>100</v>
      </c>
      <c r="K602">
        <v>214</v>
      </c>
      <c r="L602">
        <v>3003</v>
      </c>
      <c r="M602">
        <v>-2561</v>
      </c>
      <c r="N602" s="1">
        <v>38309</v>
      </c>
      <c r="O602" t="s">
        <v>25</v>
      </c>
      <c r="P602">
        <v>4</v>
      </c>
      <c r="Q602">
        <v>11</v>
      </c>
      <c r="R602">
        <v>2004</v>
      </c>
      <c r="S602" t="s">
        <v>83</v>
      </c>
    </row>
    <row r="603" spans="1:19" x14ac:dyDescent="0.25">
      <c r="A603">
        <v>10381</v>
      </c>
      <c r="B603" t="s">
        <v>82</v>
      </c>
      <c r="C603" t="s">
        <v>36</v>
      </c>
      <c r="D603" t="s">
        <v>37</v>
      </c>
      <c r="E603" t="s">
        <v>22</v>
      </c>
      <c r="F603" t="s">
        <v>23</v>
      </c>
      <c r="G603" t="s">
        <v>70</v>
      </c>
      <c r="H603">
        <v>3</v>
      </c>
      <c r="I603">
        <v>36</v>
      </c>
      <c r="J603">
        <v>100</v>
      </c>
      <c r="K603">
        <v>214</v>
      </c>
      <c r="L603">
        <v>8254.7999999999993</v>
      </c>
      <c r="M603">
        <v>550.79999999999995</v>
      </c>
      <c r="N603" s="1">
        <v>38400</v>
      </c>
      <c r="O603" t="s">
        <v>25</v>
      </c>
      <c r="P603">
        <v>1</v>
      </c>
      <c r="Q603">
        <v>2</v>
      </c>
      <c r="R603">
        <v>2005</v>
      </c>
      <c r="S603" t="s">
        <v>83</v>
      </c>
    </row>
    <row r="604" spans="1:19" x14ac:dyDescent="0.25">
      <c r="A604">
        <v>10120</v>
      </c>
      <c r="B604" t="s">
        <v>126</v>
      </c>
      <c r="C604" t="s">
        <v>47</v>
      </c>
      <c r="D604" t="s">
        <v>48</v>
      </c>
      <c r="E604" t="s">
        <v>49</v>
      </c>
      <c r="F604" t="s">
        <v>50</v>
      </c>
      <c r="G604" t="s">
        <v>24</v>
      </c>
      <c r="H604">
        <v>3</v>
      </c>
      <c r="I604">
        <v>29</v>
      </c>
      <c r="J604">
        <v>96.34</v>
      </c>
      <c r="K604">
        <v>118</v>
      </c>
      <c r="L604">
        <v>2793.86</v>
      </c>
      <c r="M604">
        <v>-628.14</v>
      </c>
      <c r="N604" s="1">
        <v>37740</v>
      </c>
      <c r="O604" t="s">
        <v>25</v>
      </c>
      <c r="P604">
        <v>2</v>
      </c>
      <c r="Q604">
        <v>4</v>
      </c>
      <c r="R604">
        <v>2003</v>
      </c>
      <c r="S604" t="s">
        <v>26</v>
      </c>
    </row>
    <row r="605" spans="1:19" x14ac:dyDescent="0.25">
      <c r="A605">
        <v>10168</v>
      </c>
      <c r="B605" t="s">
        <v>133</v>
      </c>
      <c r="C605" t="s">
        <v>38</v>
      </c>
      <c r="D605" t="s">
        <v>39</v>
      </c>
      <c r="E605" t="s">
        <v>22</v>
      </c>
      <c r="F605" t="s">
        <v>23</v>
      </c>
      <c r="G605" t="s">
        <v>33</v>
      </c>
      <c r="H605">
        <v>3</v>
      </c>
      <c r="I605">
        <v>20</v>
      </c>
      <c r="J605">
        <v>100</v>
      </c>
      <c r="K605">
        <v>193</v>
      </c>
      <c r="L605">
        <v>4183</v>
      </c>
      <c r="M605">
        <v>323</v>
      </c>
      <c r="N605" s="1">
        <v>37922</v>
      </c>
      <c r="O605" t="s">
        <v>25</v>
      </c>
      <c r="P605">
        <v>4</v>
      </c>
      <c r="Q605">
        <v>10</v>
      </c>
      <c r="R605">
        <v>2003</v>
      </c>
      <c r="S605" t="s">
        <v>26</v>
      </c>
    </row>
    <row r="606" spans="1:19" x14ac:dyDescent="0.25">
      <c r="A606">
        <v>10188</v>
      </c>
      <c r="B606" t="s">
        <v>133</v>
      </c>
      <c r="C606" t="s">
        <v>42</v>
      </c>
      <c r="D606" t="s">
        <v>43</v>
      </c>
      <c r="E606" t="s">
        <v>44</v>
      </c>
      <c r="F606" t="s">
        <v>30</v>
      </c>
      <c r="G606" t="s">
        <v>70</v>
      </c>
      <c r="H606">
        <v>3</v>
      </c>
      <c r="I606">
        <v>45</v>
      </c>
      <c r="J606">
        <v>100</v>
      </c>
      <c r="K606">
        <v>193</v>
      </c>
      <c r="L606">
        <v>8714.7000000000007</v>
      </c>
      <c r="M606">
        <v>29.7</v>
      </c>
      <c r="N606" s="1">
        <v>37943</v>
      </c>
      <c r="O606" t="s">
        <v>25</v>
      </c>
      <c r="P606">
        <v>4</v>
      </c>
      <c r="Q606">
        <v>11</v>
      </c>
      <c r="R606">
        <v>2003</v>
      </c>
      <c r="S606" t="s">
        <v>26</v>
      </c>
    </row>
    <row r="607" spans="1:19" x14ac:dyDescent="0.25">
      <c r="A607">
        <v>10223</v>
      </c>
      <c r="B607" t="s">
        <v>133</v>
      </c>
      <c r="C607" t="s">
        <v>47</v>
      </c>
      <c r="D607" t="s">
        <v>48</v>
      </c>
      <c r="E607" t="s">
        <v>49</v>
      </c>
      <c r="F607" t="s">
        <v>50</v>
      </c>
      <c r="G607" t="s">
        <v>70</v>
      </c>
      <c r="H607">
        <v>3</v>
      </c>
      <c r="I607">
        <v>49</v>
      </c>
      <c r="J607">
        <v>100</v>
      </c>
      <c r="K607">
        <v>193</v>
      </c>
      <c r="L607">
        <v>9774.0300000000007</v>
      </c>
      <c r="M607">
        <v>317.02999999999997</v>
      </c>
      <c r="N607" s="1">
        <v>38037</v>
      </c>
      <c r="O607" t="s">
        <v>25</v>
      </c>
      <c r="P607">
        <v>1</v>
      </c>
      <c r="Q607">
        <v>2</v>
      </c>
      <c r="R607">
        <v>2004</v>
      </c>
      <c r="S607" t="s">
        <v>26</v>
      </c>
    </row>
    <row r="608" spans="1:19" x14ac:dyDescent="0.25">
      <c r="A608">
        <v>10275</v>
      </c>
      <c r="B608" t="s">
        <v>133</v>
      </c>
      <c r="C608" t="s">
        <v>56</v>
      </c>
      <c r="D608" t="s">
        <v>57</v>
      </c>
      <c r="E608" t="s">
        <v>29</v>
      </c>
      <c r="F608" t="s">
        <v>30</v>
      </c>
      <c r="G608" t="s">
        <v>33</v>
      </c>
      <c r="H608">
        <v>3</v>
      </c>
      <c r="I608">
        <v>36</v>
      </c>
      <c r="J608">
        <v>100</v>
      </c>
      <c r="K608">
        <v>193</v>
      </c>
      <c r="L608">
        <v>6901.92</v>
      </c>
      <c r="M608">
        <v>-46.08</v>
      </c>
      <c r="N608" s="1">
        <v>38191</v>
      </c>
      <c r="O608" t="s">
        <v>25</v>
      </c>
      <c r="P608">
        <v>3</v>
      </c>
      <c r="Q608">
        <v>7</v>
      </c>
      <c r="R608">
        <v>2004</v>
      </c>
      <c r="S608" t="s">
        <v>26</v>
      </c>
    </row>
    <row r="609" spans="1:19" x14ac:dyDescent="0.25">
      <c r="A609">
        <v>10318</v>
      </c>
      <c r="B609" t="s">
        <v>133</v>
      </c>
      <c r="C609" t="s">
        <v>65</v>
      </c>
      <c r="D609" t="s">
        <v>66</v>
      </c>
      <c r="E609" t="s">
        <v>22</v>
      </c>
      <c r="F609" t="s">
        <v>23</v>
      </c>
      <c r="G609" t="s">
        <v>70</v>
      </c>
      <c r="H609">
        <v>3</v>
      </c>
      <c r="I609">
        <v>37</v>
      </c>
      <c r="J609">
        <v>100</v>
      </c>
      <c r="K609">
        <v>193</v>
      </c>
      <c r="L609">
        <v>7667.14</v>
      </c>
      <c r="M609">
        <v>526.14</v>
      </c>
      <c r="N609" s="1">
        <v>38293</v>
      </c>
      <c r="O609" t="s">
        <v>25</v>
      </c>
      <c r="P609">
        <v>4</v>
      </c>
      <c r="Q609">
        <v>11</v>
      </c>
      <c r="R609">
        <v>2004</v>
      </c>
      <c r="S609" t="s">
        <v>26</v>
      </c>
    </row>
    <row r="610" spans="1:19" x14ac:dyDescent="0.25">
      <c r="A610">
        <v>10329</v>
      </c>
      <c r="B610" t="s">
        <v>133</v>
      </c>
      <c r="C610" t="s">
        <v>20</v>
      </c>
      <c r="D610" t="s">
        <v>21</v>
      </c>
      <c r="E610" t="s">
        <v>22</v>
      </c>
      <c r="F610" t="s">
        <v>23</v>
      </c>
      <c r="G610" t="s">
        <v>33</v>
      </c>
      <c r="H610">
        <v>3</v>
      </c>
      <c r="I610">
        <v>26</v>
      </c>
      <c r="J610">
        <v>100</v>
      </c>
      <c r="K610">
        <v>193</v>
      </c>
      <c r="L610">
        <v>5868.2</v>
      </c>
      <c r="M610">
        <v>850.2</v>
      </c>
      <c r="N610" s="1">
        <v>38306</v>
      </c>
      <c r="O610" t="s">
        <v>25</v>
      </c>
      <c r="P610">
        <v>4</v>
      </c>
      <c r="Q610">
        <v>11</v>
      </c>
      <c r="R610">
        <v>2004</v>
      </c>
      <c r="S610" t="s">
        <v>26</v>
      </c>
    </row>
    <row r="611" spans="1:19" x14ac:dyDescent="0.25">
      <c r="A611">
        <v>10339</v>
      </c>
      <c r="B611" t="s">
        <v>133</v>
      </c>
      <c r="C611" t="s">
        <v>105</v>
      </c>
      <c r="D611" t="s">
        <v>106</v>
      </c>
      <c r="E611" t="s">
        <v>107</v>
      </c>
      <c r="F611" t="s">
        <v>50</v>
      </c>
      <c r="G611" t="s">
        <v>24</v>
      </c>
      <c r="H611">
        <v>3</v>
      </c>
      <c r="I611">
        <v>39</v>
      </c>
      <c r="J611">
        <v>76.67</v>
      </c>
      <c r="K611">
        <v>193</v>
      </c>
      <c r="L611">
        <v>2990.13</v>
      </c>
      <c r="M611">
        <v>-4536.87</v>
      </c>
      <c r="N611" s="1">
        <v>38314</v>
      </c>
      <c r="O611" t="s">
        <v>25</v>
      </c>
      <c r="P611">
        <v>4</v>
      </c>
      <c r="Q611">
        <v>11</v>
      </c>
      <c r="R611">
        <v>2004</v>
      </c>
      <c r="S611" t="s">
        <v>26</v>
      </c>
    </row>
    <row r="612" spans="1:19" x14ac:dyDescent="0.25">
      <c r="A612">
        <v>10248</v>
      </c>
      <c r="B612" t="s">
        <v>134</v>
      </c>
      <c r="C612" t="s">
        <v>20</v>
      </c>
      <c r="D612" t="s">
        <v>21</v>
      </c>
      <c r="E612" t="s">
        <v>22</v>
      </c>
      <c r="F612" t="s">
        <v>23</v>
      </c>
      <c r="G612" t="s">
        <v>24</v>
      </c>
      <c r="H612">
        <v>3</v>
      </c>
      <c r="I612">
        <v>20</v>
      </c>
      <c r="J612">
        <v>100</v>
      </c>
      <c r="K612">
        <v>136</v>
      </c>
      <c r="L612">
        <v>2910.4</v>
      </c>
      <c r="M612">
        <v>190.4</v>
      </c>
      <c r="N612" s="1">
        <v>38114</v>
      </c>
      <c r="O612" t="s">
        <v>141</v>
      </c>
      <c r="P612">
        <v>2</v>
      </c>
      <c r="Q612">
        <v>5</v>
      </c>
      <c r="R612">
        <v>2004</v>
      </c>
      <c r="S612" t="s">
        <v>83</v>
      </c>
    </row>
    <row r="613" spans="1:19" x14ac:dyDescent="0.25">
      <c r="A613">
        <v>10373</v>
      </c>
      <c r="B613" t="s">
        <v>134</v>
      </c>
      <c r="C613" t="s">
        <v>160</v>
      </c>
      <c r="D613" t="s">
        <v>161</v>
      </c>
      <c r="E613" t="s">
        <v>62</v>
      </c>
      <c r="F613" t="s">
        <v>30</v>
      </c>
      <c r="G613" t="s">
        <v>33</v>
      </c>
      <c r="H613">
        <v>3</v>
      </c>
      <c r="I613">
        <v>39</v>
      </c>
      <c r="J613">
        <v>100</v>
      </c>
      <c r="K613">
        <v>136</v>
      </c>
      <c r="L613">
        <v>4046.25</v>
      </c>
      <c r="M613">
        <v>-1257.75</v>
      </c>
      <c r="N613" s="1">
        <v>38383</v>
      </c>
      <c r="O613" t="s">
        <v>25</v>
      </c>
      <c r="P613">
        <v>1</v>
      </c>
      <c r="Q613">
        <v>1</v>
      </c>
      <c r="R613">
        <v>2005</v>
      </c>
      <c r="S613" t="s">
        <v>83</v>
      </c>
    </row>
    <row r="614" spans="1:19" x14ac:dyDescent="0.25">
      <c r="A614">
        <v>10414</v>
      </c>
      <c r="B614" t="s">
        <v>134</v>
      </c>
      <c r="C614" t="s">
        <v>156</v>
      </c>
      <c r="D614" t="s">
        <v>157</v>
      </c>
      <c r="E614" t="s">
        <v>22</v>
      </c>
      <c r="F614" t="s">
        <v>23</v>
      </c>
      <c r="G614" t="s">
        <v>24</v>
      </c>
      <c r="H614">
        <v>3</v>
      </c>
      <c r="I614">
        <v>19</v>
      </c>
      <c r="J614">
        <v>100</v>
      </c>
      <c r="K614">
        <v>136</v>
      </c>
      <c r="L614">
        <v>2764.88</v>
      </c>
      <c r="M614">
        <v>180.88</v>
      </c>
      <c r="N614" s="1">
        <v>38478</v>
      </c>
      <c r="O614" t="s">
        <v>164</v>
      </c>
      <c r="P614">
        <v>2</v>
      </c>
      <c r="Q614">
        <v>5</v>
      </c>
      <c r="R614">
        <v>2005</v>
      </c>
      <c r="S614" t="s">
        <v>83</v>
      </c>
    </row>
    <row r="615" spans="1:19" x14ac:dyDescent="0.25">
      <c r="A615">
        <v>10191</v>
      </c>
      <c r="B615" t="s">
        <v>172</v>
      </c>
      <c r="C615" t="s">
        <v>178</v>
      </c>
      <c r="D615" t="s">
        <v>179</v>
      </c>
      <c r="E615" t="s">
        <v>180</v>
      </c>
      <c r="F615" t="s">
        <v>30</v>
      </c>
      <c r="G615" t="s">
        <v>33</v>
      </c>
      <c r="H615">
        <v>3</v>
      </c>
      <c r="I615">
        <v>21</v>
      </c>
      <c r="J615">
        <v>100</v>
      </c>
      <c r="K615">
        <v>194</v>
      </c>
      <c r="L615">
        <v>3840.9</v>
      </c>
      <c r="M615">
        <v>-233.1</v>
      </c>
      <c r="N615" s="1">
        <v>37945</v>
      </c>
      <c r="O615" t="s">
        <v>25</v>
      </c>
      <c r="P615">
        <v>4</v>
      </c>
      <c r="Q615">
        <v>11</v>
      </c>
      <c r="R615">
        <v>2003</v>
      </c>
      <c r="S615" t="s">
        <v>83</v>
      </c>
    </row>
    <row r="616" spans="1:19" x14ac:dyDescent="0.25">
      <c r="A616">
        <v>10238</v>
      </c>
      <c r="B616" t="s">
        <v>172</v>
      </c>
      <c r="C616" t="s">
        <v>135</v>
      </c>
      <c r="D616" t="s">
        <v>136</v>
      </c>
      <c r="E616" t="s">
        <v>137</v>
      </c>
      <c r="F616" t="s">
        <v>30</v>
      </c>
      <c r="G616" t="s">
        <v>33</v>
      </c>
      <c r="H616">
        <v>3</v>
      </c>
      <c r="I616">
        <v>28</v>
      </c>
      <c r="J616">
        <v>100</v>
      </c>
      <c r="K616">
        <v>194</v>
      </c>
      <c r="L616">
        <v>5774.72</v>
      </c>
      <c r="M616">
        <v>342.72</v>
      </c>
      <c r="N616" s="1">
        <v>38086</v>
      </c>
      <c r="O616" t="s">
        <v>25</v>
      </c>
      <c r="P616">
        <v>2</v>
      </c>
      <c r="Q616">
        <v>4</v>
      </c>
      <c r="R616">
        <v>2004</v>
      </c>
      <c r="S616" t="s">
        <v>83</v>
      </c>
    </row>
    <row r="617" spans="1:19" x14ac:dyDescent="0.25">
      <c r="A617">
        <v>10276</v>
      </c>
      <c r="B617" t="s">
        <v>172</v>
      </c>
      <c r="C617" t="s">
        <v>186</v>
      </c>
      <c r="D617" t="s">
        <v>120</v>
      </c>
      <c r="E617" t="s">
        <v>22</v>
      </c>
      <c r="F617" t="s">
        <v>23</v>
      </c>
      <c r="G617" t="s">
        <v>70</v>
      </c>
      <c r="H617">
        <v>3</v>
      </c>
      <c r="I617">
        <v>50</v>
      </c>
      <c r="J617">
        <v>100</v>
      </c>
      <c r="K617">
        <v>194</v>
      </c>
      <c r="L617">
        <v>9631</v>
      </c>
      <c r="M617">
        <v>-69</v>
      </c>
      <c r="N617" s="1">
        <v>38201</v>
      </c>
      <c r="O617" t="s">
        <v>25</v>
      </c>
      <c r="P617">
        <v>3</v>
      </c>
      <c r="Q617">
        <v>8</v>
      </c>
      <c r="R617">
        <v>2004</v>
      </c>
      <c r="S617" t="s">
        <v>83</v>
      </c>
    </row>
    <row r="618" spans="1:19" x14ac:dyDescent="0.25">
      <c r="A618">
        <v>10320</v>
      </c>
      <c r="B618" t="s">
        <v>172</v>
      </c>
      <c r="C618" t="s">
        <v>84</v>
      </c>
      <c r="D618" t="s">
        <v>85</v>
      </c>
      <c r="E618" t="s">
        <v>86</v>
      </c>
      <c r="F618" t="s">
        <v>30</v>
      </c>
      <c r="G618" t="s">
        <v>33</v>
      </c>
      <c r="H618">
        <v>3</v>
      </c>
      <c r="I618">
        <v>31</v>
      </c>
      <c r="J618">
        <v>100</v>
      </c>
      <c r="K618">
        <v>194</v>
      </c>
      <c r="L618">
        <v>6876.11</v>
      </c>
      <c r="M618">
        <v>862.11</v>
      </c>
      <c r="N618" s="1">
        <v>38294</v>
      </c>
      <c r="O618" t="s">
        <v>25</v>
      </c>
      <c r="P618">
        <v>4</v>
      </c>
      <c r="Q618">
        <v>11</v>
      </c>
      <c r="R618">
        <v>2004</v>
      </c>
      <c r="S618" t="s">
        <v>83</v>
      </c>
    </row>
    <row r="619" spans="1:19" x14ac:dyDescent="0.25">
      <c r="A619">
        <v>10363</v>
      </c>
      <c r="B619" t="s">
        <v>172</v>
      </c>
      <c r="C619" t="s">
        <v>189</v>
      </c>
      <c r="D619" t="s">
        <v>190</v>
      </c>
      <c r="E619" t="s">
        <v>62</v>
      </c>
      <c r="F619" t="s">
        <v>30</v>
      </c>
      <c r="G619" t="s">
        <v>24</v>
      </c>
      <c r="H619">
        <v>3</v>
      </c>
      <c r="I619">
        <v>33</v>
      </c>
      <c r="J619">
        <v>85.39</v>
      </c>
      <c r="K619">
        <v>194</v>
      </c>
      <c r="L619">
        <v>2817.87</v>
      </c>
      <c r="M619">
        <v>-3584.13</v>
      </c>
      <c r="N619" s="1">
        <v>38358</v>
      </c>
      <c r="O619" t="s">
        <v>25</v>
      </c>
      <c r="P619">
        <v>1</v>
      </c>
      <c r="Q619">
        <v>1</v>
      </c>
      <c r="R619">
        <v>2005</v>
      </c>
      <c r="S619" t="s">
        <v>83</v>
      </c>
    </row>
    <row r="620" spans="1:19" x14ac:dyDescent="0.25">
      <c r="A620">
        <v>10165</v>
      </c>
      <c r="B620" t="s">
        <v>191</v>
      </c>
      <c r="C620" t="s">
        <v>88</v>
      </c>
      <c r="D620" t="s">
        <v>89</v>
      </c>
      <c r="E620" t="s">
        <v>89</v>
      </c>
      <c r="F620" t="s">
        <v>50</v>
      </c>
      <c r="G620" t="s">
        <v>70</v>
      </c>
      <c r="H620">
        <v>3</v>
      </c>
      <c r="I620">
        <v>44</v>
      </c>
      <c r="J620">
        <v>100</v>
      </c>
      <c r="K620">
        <v>207</v>
      </c>
      <c r="L620">
        <v>8594.52</v>
      </c>
      <c r="M620">
        <v>-513.48</v>
      </c>
      <c r="N620" s="1">
        <v>37916</v>
      </c>
      <c r="O620" t="s">
        <v>25</v>
      </c>
      <c r="P620">
        <v>4</v>
      </c>
      <c r="Q620">
        <v>10</v>
      </c>
      <c r="R620">
        <v>2003</v>
      </c>
      <c r="S620" t="s">
        <v>83</v>
      </c>
    </row>
    <row r="621" spans="1:19" x14ac:dyDescent="0.25">
      <c r="A621">
        <v>10206</v>
      </c>
      <c r="B621" t="s">
        <v>201</v>
      </c>
      <c r="C621" t="s">
        <v>97</v>
      </c>
      <c r="D621" t="s">
        <v>98</v>
      </c>
      <c r="E621" t="s">
        <v>99</v>
      </c>
      <c r="F621" t="s">
        <v>23</v>
      </c>
      <c r="G621" t="s">
        <v>33</v>
      </c>
      <c r="H621">
        <v>3</v>
      </c>
      <c r="I621">
        <v>28</v>
      </c>
      <c r="J621">
        <v>100</v>
      </c>
      <c r="K621">
        <v>136</v>
      </c>
      <c r="L621">
        <v>4056.36</v>
      </c>
      <c r="M621">
        <v>248.36</v>
      </c>
      <c r="N621" s="1">
        <v>37960</v>
      </c>
      <c r="O621" t="s">
        <v>25</v>
      </c>
      <c r="P621">
        <v>4</v>
      </c>
      <c r="Q621">
        <v>12</v>
      </c>
      <c r="R621">
        <v>2003</v>
      </c>
      <c r="S621" t="s">
        <v>202</v>
      </c>
    </row>
    <row r="622" spans="1:19" x14ac:dyDescent="0.25">
      <c r="A622">
        <v>10258</v>
      </c>
      <c r="B622" t="s">
        <v>201</v>
      </c>
      <c r="C622" t="s">
        <v>105</v>
      </c>
      <c r="D622" t="s">
        <v>106</v>
      </c>
      <c r="E622" t="s">
        <v>107</v>
      </c>
      <c r="F622" t="s">
        <v>50</v>
      </c>
      <c r="G622" t="s">
        <v>33</v>
      </c>
      <c r="H622">
        <v>3</v>
      </c>
      <c r="I622">
        <v>41</v>
      </c>
      <c r="J622">
        <v>100</v>
      </c>
      <c r="K622">
        <v>136</v>
      </c>
      <c r="L622">
        <v>6668.24</v>
      </c>
      <c r="M622">
        <v>1092.24</v>
      </c>
      <c r="N622" s="1">
        <v>38153</v>
      </c>
      <c r="O622" t="s">
        <v>25</v>
      </c>
      <c r="P622">
        <v>2</v>
      </c>
      <c r="Q622">
        <v>6</v>
      </c>
      <c r="R622">
        <v>2004</v>
      </c>
      <c r="S622" t="s">
        <v>202</v>
      </c>
    </row>
    <row r="623" spans="1:19" x14ac:dyDescent="0.25">
      <c r="A623">
        <v>10304</v>
      </c>
      <c r="B623" t="s">
        <v>201</v>
      </c>
      <c r="C623" t="s">
        <v>113</v>
      </c>
      <c r="D623" t="s">
        <v>114</v>
      </c>
      <c r="E623" t="s">
        <v>29</v>
      </c>
      <c r="F623" t="s">
        <v>30</v>
      </c>
      <c r="G623" t="s">
        <v>33</v>
      </c>
      <c r="H623">
        <v>3</v>
      </c>
      <c r="I623">
        <v>39</v>
      </c>
      <c r="J623">
        <v>100</v>
      </c>
      <c r="K623">
        <v>136</v>
      </c>
      <c r="L623">
        <v>6396</v>
      </c>
      <c r="M623">
        <v>1092</v>
      </c>
      <c r="N623" s="1">
        <v>38271</v>
      </c>
      <c r="O623" t="s">
        <v>25</v>
      </c>
      <c r="P623">
        <v>4</v>
      </c>
      <c r="Q623">
        <v>10</v>
      </c>
      <c r="R623">
        <v>2004</v>
      </c>
      <c r="S623" t="s">
        <v>202</v>
      </c>
    </row>
    <row r="624" spans="1:19" x14ac:dyDescent="0.25">
      <c r="A624">
        <v>10347</v>
      </c>
      <c r="B624" t="s">
        <v>201</v>
      </c>
      <c r="C624" t="s">
        <v>47</v>
      </c>
      <c r="D624" t="s">
        <v>48</v>
      </c>
      <c r="E624" t="s">
        <v>49</v>
      </c>
      <c r="F624" t="s">
        <v>50</v>
      </c>
      <c r="G624" t="s">
        <v>33</v>
      </c>
      <c r="H624">
        <v>3</v>
      </c>
      <c r="I624">
        <v>29</v>
      </c>
      <c r="J624">
        <v>100</v>
      </c>
      <c r="K624">
        <v>136</v>
      </c>
      <c r="L624">
        <v>3586.43</v>
      </c>
      <c r="M624">
        <v>-357.57</v>
      </c>
      <c r="N624" s="1">
        <v>38320</v>
      </c>
      <c r="O624" t="s">
        <v>25</v>
      </c>
      <c r="P624">
        <v>4</v>
      </c>
      <c r="Q624">
        <v>11</v>
      </c>
      <c r="R624">
        <v>2004</v>
      </c>
      <c r="S624" t="s">
        <v>202</v>
      </c>
    </row>
    <row r="625" spans="1:19" x14ac:dyDescent="0.25">
      <c r="A625">
        <v>10424</v>
      </c>
      <c r="B625" t="s">
        <v>201</v>
      </c>
      <c r="C625" t="s">
        <v>78</v>
      </c>
      <c r="D625" t="s">
        <v>79</v>
      </c>
      <c r="E625" t="s">
        <v>80</v>
      </c>
      <c r="F625" t="s">
        <v>30</v>
      </c>
      <c r="G625" t="s">
        <v>70</v>
      </c>
      <c r="H625">
        <v>3</v>
      </c>
      <c r="I625">
        <v>49</v>
      </c>
      <c r="J625">
        <v>100</v>
      </c>
      <c r="K625">
        <v>136</v>
      </c>
      <c r="L625">
        <v>7969.36</v>
      </c>
      <c r="M625">
        <v>1305.3599999999999</v>
      </c>
      <c r="N625" s="1">
        <v>38503</v>
      </c>
      <c r="O625" t="s">
        <v>125</v>
      </c>
      <c r="P625">
        <v>2</v>
      </c>
      <c r="Q625">
        <v>5</v>
      </c>
      <c r="R625">
        <v>2005</v>
      </c>
      <c r="S625" t="s">
        <v>202</v>
      </c>
    </row>
    <row r="626" spans="1:19" x14ac:dyDescent="0.25">
      <c r="A626">
        <v>10127</v>
      </c>
      <c r="B626" t="s">
        <v>205</v>
      </c>
      <c r="C626" t="s">
        <v>192</v>
      </c>
      <c r="D626" t="s">
        <v>21</v>
      </c>
      <c r="E626" t="s">
        <v>22</v>
      </c>
      <c r="F626" t="s">
        <v>23</v>
      </c>
      <c r="G626" t="s">
        <v>70</v>
      </c>
      <c r="H626">
        <v>3</v>
      </c>
      <c r="I626">
        <v>46</v>
      </c>
      <c r="J626">
        <v>100</v>
      </c>
      <c r="K626">
        <v>151</v>
      </c>
      <c r="L626">
        <v>7366.44</v>
      </c>
      <c r="M626">
        <v>420.44</v>
      </c>
      <c r="N626" s="1">
        <v>37775</v>
      </c>
      <c r="O626" t="s">
        <v>25</v>
      </c>
      <c r="P626">
        <v>2</v>
      </c>
      <c r="Q626">
        <v>6</v>
      </c>
      <c r="R626">
        <v>2003</v>
      </c>
      <c r="S626" t="s">
        <v>83</v>
      </c>
    </row>
    <row r="627" spans="1:19" x14ac:dyDescent="0.25">
      <c r="A627">
        <v>10176</v>
      </c>
      <c r="B627" t="s">
        <v>205</v>
      </c>
      <c r="C627" t="s">
        <v>184</v>
      </c>
      <c r="D627" t="s">
        <v>185</v>
      </c>
      <c r="E627" t="s">
        <v>110</v>
      </c>
      <c r="F627" t="s">
        <v>30</v>
      </c>
      <c r="G627" t="s">
        <v>70</v>
      </c>
      <c r="H627">
        <v>3</v>
      </c>
      <c r="I627">
        <v>47</v>
      </c>
      <c r="J627">
        <v>100</v>
      </c>
      <c r="K627">
        <v>151</v>
      </c>
      <c r="L627">
        <v>8378.69</v>
      </c>
      <c r="M627">
        <v>1281.69</v>
      </c>
      <c r="N627" s="1">
        <v>37931</v>
      </c>
      <c r="O627" t="s">
        <v>25</v>
      </c>
      <c r="P627">
        <v>4</v>
      </c>
      <c r="Q627">
        <v>11</v>
      </c>
      <c r="R627">
        <v>2003</v>
      </c>
      <c r="S627" t="s">
        <v>83</v>
      </c>
    </row>
    <row r="628" spans="1:19" x14ac:dyDescent="0.25">
      <c r="A628">
        <v>10220</v>
      </c>
      <c r="B628" t="s">
        <v>205</v>
      </c>
      <c r="C628" t="s">
        <v>193</v>
      </c>
      <c r="D628" t="s">
        <v>194</v>
      </c>
      <c r="E628" t="s">
        <v>195</v>
      </c>
      <c r="F628" t="s">
        <v>30</v>
      </c>
      <c r="G628" t="s">
        <v>33</v>
      </c>
      <c r="H628">
        <v>3</v>
      </c>
      <c r="I628">
        <v>30</v>
      </c>
      <c r="J628">
        <v>100</v>
      </c>
      <c r="K628">
        <v>151</v>
      </c>
      <c r="L628">
        <v>4713.6000000000004</v>
      </c>
      <c r="M628">
        <v>183.6</v>
      </c>
      <c r="N628" s="1">
        <v>38029</v>
      </c>
      <c r="O628" t="s">
        <v>25</v>
      </c>
      <c r="P628">
        <v>1</v>
      </c>
      <c r="Q628">
        <v>2</v>
      </c>
      <c r="R628">
        <v>2004</v>
      </c>
      <c r="S628" t="s">
        <v>83</v>
      </c>
    </row>
    <row r="629" spans="1:19" x14ac:dyDescent="0.25">
      <c r="A629">
        <v>10247</v>
      </c>
      <c r="B629" t="s">
        <v>205</v>
      </c>
      <c r="C629" t="s">
        <v>189</v>
      </c>
      <c r="D629" t="s">
        <v>190</v>
      </c>
      <c r="E629" t="s">
        <v>62</v>
      </c>
      <c r="F629" t="s">
        <v>30</v>
      </c>
      <c r="G629" t="s">
        <v>33</v>
      </c>
      <c r="H629">
        <v>3</v>
      </c>
      <c r="I629">
        <v>25</v>
      </c>
      <c r="J629">
        <v>100</v>
      </c>
      <c r="K629">
        <v>151</v>
      </c>
      <c r="L629">
        <v>4381.25</v>
      </c>
      <c r="M629">
        <v>606.25</v>
      </c>
      <c r="N629" s="1">
        <v>38112</v>
      </c>
      <c r="O629" t="s">
        <v>25</v>
      </c>
      <c r="P629">
        <v>2</v>
      </c>
      <c r="Q629">
        <v>5</v>
      </c>
      <c r="R629">
        <v>2004</v>
      </c>
      <c r="S629" t="s">
        <v>83</v>
      </c>
    </row>
    <row r="630" spans="1:19" x14ac:dyDescent="0.25">
      <c r="A630">
        <v>10272</v>
      </c>
      <c r="B630" t="s">
        <v>205</v>
      </c>
      <c r="C630" t="s">
        <v>65</v>
      </c>
      <c r="D630" t="s">
        <v>66</v>
      </c>
      <c r="E630" t="s">
        <v>22</v>
      </c>
      <c r="F630" t="s">
        <v>23</v>
      </c>
      <c r="G630" t="s">
        <v>33</v>
      </c>
      <c r="H630">
        <v>3</v>
      </c>
      <c r="I630">
        <v>27</v>
      </c>
      <c r="J630">
        <v>100</v>
      </c>
      <c r="K630">
        <v>151</v>
      </c>
      <c r="L630">
        <v>4283.01</v>
      </c>
      <c r="M630">
        <v>206.01</v>
      </c>
      <c r="N630" s="1">
        <v>38188</v>
      </c>
      <c r="O630" t="s">
        <v>25</v>
      </c>
      <c r="P630">
        <v>3</v>
      </c>
      <c r="Q630">
        <v>7</v>
      </c>
      <c r="R630">
        <v>2004</v>
      </c>
      <c r="S630" t="s">
        <v>83</v>
      </c>
    </row>
    <row r="631" spans="1:19" x14ac:dyDescent="0.25">
      <c r="A631">
        <v>10413</v>
      </c>
      <c r="B631" t="s">
        <v>205</v>
      </c>
      <c r="C631" t="s">
        <v>54</v>
      </c>
      <c r="D631" t="s">
        <v>55</v>
      </c>
      <c r="E631" t="s">
        <v>22</v>
      </c>
      <c r="F631" t="s">
        <v>23</v>
      </c>
      <c r="G631" t="s">
        <v>70</v>
      </c>
      <c r="H631">
        <v>3</v>
      </c>
      <c r="I631">
        <v>47</v>
      </c>
      <c r="J631">
        <v>100</v>
      </c>
      <c r="K631">
        <v>151</v>
      </c>
      <c r="L631">
        <v>8236.75</v>
      </c>
      <c r="M631">
        <v>1139.75</v>
      </c>
      <c r="N631" s="1">
        <v>38477</v>
      </c>
      <c r="O631" t="s">
        <v>25</v>
      </c>
      <c r="P631">
        <v>2</v>
      </c>
      <c r="Q631">
        <v>5</v>
      </c>
      <c r="R631">
        <v>2005</v>
      </c>
      <c r="S631" t="s">
        <v>83</v>
      </c>
    </row>
    <row r="632" spans="1:19" x14ac:dyDescent="0.25">
      <c r="A632">
        <v>10300</v>
      </c>
      <c r="B632" t="s">
        <v>206</v>
      </c>
      <c r="C632" t="s">
        <v>187</v>
      </c>
      <c r="D632" t="s">
        <v>188</v>
      </c>
      <c r="E632" t="s">
        <v>180</v>
      </c>
      <c r="F632" t="s">
        <v>30</v>
      </c>
      <c r="G632" t="s">
        <v>33</v>
      </c>
      <c r="H632">
        <v>3</v>
      </c>
      <c r="I632">
        <v>29</v>
      </c>
      <c r="J632">
        <v>100</v>
      </c>
      <c r="K632">
        <v>117</v>
      </c>
      <c r="L632">
        <v>3984.6</v>
      </c>
      <c r="M632">
        <v>591.6</v>
      </c>
      <c r="N632" s="1">
        <v>37898</v>
      </c>
      <c r="O632" t="s">
        <v>25</v>
      </c>
      <c r="P632">
        <v>4</v>
      </c>
      <c r="Q632">
        <v>10</v>
      </c>
      <c r="R632">
        <v>2003</v>
      </c>
      <c r="S632" t="s">
        <v>83</v>
      </c>
    </row>
    <row r="633" spans="1:19" x14ac:dyDescent="0.25">
      <c r="A633">
        <v>10396</v>
      </c>
      <c r="B633" t="s">
        <v>209</v>
      </c>
      <c r="C633" t="s">
        <v>115</v>
      </c>
      <c r="D633" t="s">
        <v>116</v>
      </c>
      <c r="E633" t="s">
        <v>22</v>
      </c>
      <c r="F633" t="s">
        <v>23</v>
      </c>
      <c r="G633" t="s">
        <v>33</v>
      </c>
      <c r="H633">
        <v>3</v>
      </c>
      <c r="I633">
        <v>33</v>
      </c>
      <c r="J633">
        <v>100</v>
      </c>
      <c r="K633">
        <v>173</v>
      </c>
      <c r="L633">
        <v>6109.29</v>
      </c>
      <c r="M633">
        <v>400.29</v>
      </c>
      <c r="N633" s="1">
        <v>38434</v>
      </c>
      <c r="O633" t="s">
        <v>25</v>
      </c>
      <c r="P633">
        <v>1</v>
      </c>
      <c r="Q633">
        <v>3</v>
      </c>
      <c r="R633">
        <v>2005</v>
      </c>
      <c r="S633" t="s">
        <v>83</v>
      </c>
    </row>
    <row r="634" spans="1:19" x14ac:dyDescent="0.25">
      <c r="A634">
        <v>10159</v>
      </c>
      <c r="B634" t="s">
        <v>210</v>
      </c>
      <c r="C634" t="s">
        <v>36</v>
      </c>
      <c r="D634" t="s">
        <v>37</v>
      </c>
      <c r="E634" t="s">
        <v>22</v>
      </c>
      <c r="F634" t="s">
        <v>23</v>
      </c>
      <c r="G634" t="s">
        <v>24</v>
      </c>
      <c r="H634">
        <v>3</v>
      </c>
      <c r="I634">
        <v>24</v>
      </c>
      <c r="J634">
        <v>73.42</v>
      </c>
      <c r="K634">
        <v>79</v>
      </c>
      <c r="L634">
        <v>1762.08</v>
      </c>
      <c r="M634">
        <v>-133.91999999999999</v>
      </c>
      <c r="N634" s="1">
        <v>37904</v>
      </c>
      <c r="O634" t="s">
        <v>25</v>
      </c>
      <c r="P634">
        <v>4</v>
      </c>
      <c r="Q634">
        <v>10</v>
      </c>
      <c r="R634">
        <v>2003</v>
      </c>
      <c r="S634" t="s">
        <v>83</v>
      </c>
    </row>
    <row r="635" spans="1:19" x14ac:dyDescent="0.25">
      <c r="A635">
        <v>10169</v>
      </c>
      <c r="B635" t="s">
        <v>210</v>
      </c>
      <c r="C635" t="s">
        <v>121</v>
      </c>
      <c r="D635" t="s">
        <v>122</v>
      </c>
      <c r="E635" t="s">
        <v>49</v>
      </c>
      <c r="F635" t="s">
        <v>50</v>
      </c>
      <c r="G635" t="s">
        <v>24</v>
      </c>
      <c r="H635">
        <v>3</v>
      </c>
      <c r="I635">
        <v>36</v>
      </c>
      <c r="J635">
        <v>63.84</v>
      </c>
      <c r="K635">
        <v>79</v>
      </c>
      <c r="L635">
        <v>2298.2399999999998</v>
      </c>
      <c r="M635">
        <v>-545.76</v>
      </c>
      <c r="N635" s="1">
        <v>37929</v>
      </c>
      <c r="O635" t="s">
        <v>25</v>
      </c>
      <c r="P635">
        <v>4</v>
      </c>
      <c r="Q635">
        <v>11</v>
      </c>
      <c r="R635">
        <v>2003</v>
      </c>
      <c r="S635" t="s">
        <v>83</v>
      </c>
    </row>
    <row r="636" spans="1:19" x14ac:dyDescent="0.25">
      <c r="A636">
        <v>10211</v>
      </c>
      <c r="B636" t="s">
        <v>210</v>
      </c>
      <c r="C636" t="s">
        <v>46</v>
      </c>
      <c r="D636" t="s">
        <v>32</v>
      </c>
      <c r="E636" t="s">
        <v>29</v>
      </c>
      <c r="F636" t="s">
        <v>30</v>
      </c>
      <c r="G636" t="s">
        <v>24</v>
      </c>
      <c r="H636">
        <v>3</v>
      </c>
      <c r="I636">
        <v>28</v>
      </c>
      <c r="J636">
        <v>92.57</v>
      </c>
      <c r="K636">
        <v>79</v>
      </c>
      <c r="L636">
        <v>2591.96</v>
      </c>
      <c r="M636">
        <v>379.96</v>
      </c>
      <c r="N636" s="1">
        <v>38001</v>
      </c>
      <c r="O636" t="s">
        <v>25</v>
      </c>
      <c r="P636">
        <v>1</v>
      </c>
      <c r="Q636">
        <v>1</v>
      </c>
      <c r="R636">
        <v>2004</v>
      </c>
      <c r="S636" t="s">
        <v>83</v>
      </c>
    </row>
    <row r="637" spans="1:19" x14ac:dyDescent="0.25">
      <c r="A637">
        <v>10151</v>
      </c>
      <c r="B637" t="s">
        <v>211</v>
      </c>
      <c r="C637" t="s">
        <v>160</v>
      </c>
      <c r="D637" t="s">
        <v>161</v>
      </c>
      <c r="E637" t="s">
        <v>62</v>
      </c>
      <c r="F637" t="s">
        <v>30</v>
      </c>
      <c r="G637" t="s">
        <v>33</v>
      </c>
      <c r="H637">
        <v>3</v>
      </c>
      <c r="I637">
        <v>24</v>
      </c>
      <c r="J637">
        <v>100</v>
      </c>
      <c r="K637">
        <v>118</v>
      </c>
      <c r="L637">
        <v>3327.6</v>
      </c>
      <c r="M637">
        <v>495.6</v>
      </c>
      <c r="N637" s="1">
        <v>37885</v>
      </c>
      <c r="O637" t="s">
        <v>25</v>
      </c>
      <c r="P637">
        <v>3</v>
      </c>
      <c r="Q637">
        <v>9</v>
      </c>
      <c r="R637">
        <v>2003</v>
      </c>
      <c r="S637" t="s">
        <v>202</v>
      </c>
    </row>
    <row r="638" spans="1:19" x14ac:dyDescent="0.25">
      <c r="A638">
        <v>10336</v>
      </c>
      <c r="B638" t="s">
        <v>211</v>
      </c>
      <c r="C638" t="s">
        <v>166</v>
      </c>
      <c r="D638" t="s">
        <v>32</v>
      </c>
      <c r="E638" t="s">
        <v>29</v>
      </c>
      <c r="F638" t="s">
        <v>30</v>
      </c>
      <c r="G638" t="s">
        <v>33</v>
      </c>
      <c r="H638">
        <v>3</v>
      </c>
      <c r="I638">
        <v>38</v>
      </c>
      <c r="J638">
        <v>100</v>
      </c>
      <c r="K638">
        <v>118</v>
      </c>
      <c r="L638">
        <v>6372.6</v>
      </c>
      <c r="M638">
        <v>1888.6</v>
      </c>
      <c r="N638" s="1">
        <v>38311</v>
      </c>
      <c r="O638" t="s">
        <v>25</v>
      </c>
      <c r="P638">
        <v>4</v>
      </c>
      <c r="Q638">
        <v>11</v>
      </c>
      <c r="R638">
        <v>2004</v>
      </c>
      <c r="S638" t="s">
        <v>202</v>
      </c>
    </row>
    <row r="639" spans="1:19" x14ac:dyDescent="0.25">
      <c r="A639">
        <v>10108</v>
      </c>
      <c r="B639" t="s">
        <v>216</v>
      </c>
      <c r="C639" t="s">
        <v>173</v>
      </c>
      <c r="D639" t="s">
        <v>174</v>
      </c>
      <c r="E639" t="s">
        <v>175</v>
      </c>
      <c r="F639" t="s">
        <v>50</v>
      </c>
      <c r="G639" t="s">
        <v>33</v>
      </c>
      <c r="H639">
        <v>3</v>
      </c>
      <c r="I639">
        <v>36</v>
      </c>
      <c r="J639">
        <v>100</v>
      </c>
      <c r="K639">
        <v>115</v>
      </c>
      <c r="L639">
        <v>3731.04</v>
      </c>
      <c r="M639">
        <v>-408.96</v>
      </c>
      <c r="N639" s="1">
        <v>37683</v>
      </c>
      <c r="O639" t="s">
        <v>25</v>
      </c>
      <c r="P639">
        <v>1</v>
      </c>
      <c r="Q639">
        <v>3</v>
      </c>
      <c r="R639">
        <v>2003</v>
      </c>
      <c r="S639" t="s">
        <v>83</v>
      </c>
    </row>
    <row r="640" spans="1:19" x14ac:dyDescent="0.25">
      <c r="A640">
        <v>10170</v>
      </c>
      <c r="B640" t="s">
        <v>216</v>
      </c>
      <c r="C640" t="s">
        <v>167</v>
      </c>
      <c r="D640" t="s">
        <v>168</v>
      </c>
      <c r="E640" t="s">
        <v>69</v>
      </c>
      <c r="F640" t="s">
        <v>30</v>
      </c>
      <c r="G640" t="s">
        <v>33</v>
      </c>
      <c r="H640">
        <v>3</v>
      </c>
      <c r="I640">
        <v>41</v>
      </c>
      <c r="J640">
        <v>100</v>
      </c>
      <c r="K640">
        <v>115</v>
      </c>
      <c r="L640">
        <v>4391.1000000000004</v>
      </c>
      <c r="M640">
        <v>-323.89999999999998</v>
      </c>
      <c r="N640" s="1">
        <v>37929</v>
      </c>
      <c r="O640" t="s">
        <v>25</v>
      </c>
      <c r="P640">
        <v>4</v>
      </c>
      <c r="Q640">
        <v>11</v>
      </c>
      <c r="R640">
        <v>2003</v>
      </c>
      <c r="S640" t="s">
        <v>83</v>
      </c>
    </row>
    <row r="641" spans="1:19" x14ac:dyDescent="0.25">
      <c r="A641">
        <v>10174</v>
      </c>
      <c r="B641" t="s">
        <v>219</v>
      </c>
      <c r="C641" t="s">
        <v>91</v>
      </c>
      <c r="D641" t="s">
        <v>92</v>
      </c>
      <c r="E641" t="s">
        <v>49</v>
      </c>
      <c r="F641" t="s">
        <v>50</v>
      </c>
      <c r="G641" t="s">
        <v>33</v>
      </c>
      <c r="H641">
        <v>3</v>
      </c>
      <c r="I641">
        <v>48</v>
      </c>
      <c r="J641">
        <v>93.34</v>
      </c>
      <c r="K641">
        <v>116</v>
      </c>
      <c r="L641">
        <v>4480.32</v>
      </c>
      <c r="M641">
        <v>-1087.68</v>
      </c>
      <c r="N641" s="1">
        <v>37931</v>
      </c>
      <c r="O641" t="s">
        <v>25</v>
      </c>
      <c r="P641">
        <v>4</v>
      </c>
      <c r="Q641">
        <v>11</v>
      </c>
      <c r="R641">
        <v>2003</v>
      </c>
      <c r="S641" t="s">
        <v>202</v>
      </c>
    </row>
    <row r="642" spans="1:19" x14ac:dyDescent="0.25">
      <c r="A642">
        <v>10240</v>
      </c>
      <c r="B642" t="s">
        <v>220</v>
      </c>
      <c r="C642" t="s">
        <v>127</v>
      </c>
      <c r="D642" t="s">
        <v>128</v>
      </c>
      <c r="E642" t="s">
        <v>107</v>
      </c>
      <c r="F642" t="s">
        <v>50</v>
      </c>
      <c r="G642" t="s">
        <v>33</v>
      </c>
      <c r="H642">
        <v>3</v>
      </c>
      <c r="I642">
        <v>41</v>
      </c>
      <c r="J642">
        <v>100</v>
      </c>
      <c r="K642">
        <v>141</v>
      </c>
      <c r="L642">
        <v>5628.89</v>
      </c>
      <c r="M642">
        <v>-152.11000000000001</v>
      </c>
      <c r="N642" s="1">
        <v>38090</v>
      </c>
      <c r="O642" t="s">
        <v>25</v>
      </c>
      <c r="P642">
        <v>2</v>
      </c>
      <c r="Q642">
        <v>4</v>
      </c>
      <c r="R642">
        <v>2004</v>
      </c>
      <c r="S642" t="s">
        <v>83</v>
      </c>
    </row>
    <row r="643" spans="1:19" x14ac:dyDescent="0.25">
      <c r="A643">
        <v>10406</v>
      </c>
      <c r="B643" t="s">
        <v>220</v>
      </c>
      <c r="C643" t="s">
        <v>135</v>
      </c>
      <c r="D643" t="s">
        <v>136</v>
      </c>
      <c r="E643" t="s">
        <v>137</v>
      </c>
      <c r="F643" t="s">
        <v>30</v>
      </c>
      <c r="G643" t="s">
        <v>70</v>
      </c>
      <c r="H643">
        <v>3</v>
      </c>
      <c r="I643">
        <v>61</v>
      </c>
      <c r="J643">
        <v>100</v>
      </c>
      <c r="K643">
        <v>141</v>
      </c>
      <c r="L643">
        <v>8374.69</v>
      </c>
      <c r="M643">
        <v>-226.31</v>
      </c>
      <c r="N643" s="1">
        <v>38457</v>
      </c>
      <c r="O643" t="s">
        <v>81</v>
      </c>
      <c r="P643">
        <v>2</v>
      </c>
      <c r="Q643">
        <v>4</v>
      </c>
      <c r="R643">
        <v>2005</v>
      </c>
      <c r="S643" t="s">
        <v>83</v>
      </c>
    </row>
    <row r="644" spans="1:19" x14ac:dyDescent="0.25">
      <c r="A644">
        <v>10182</v>
      </c>
      <c r="B644" t="s">
        <v>225</v>
      </c>
      <c r="C644" t="s">
        <v>115</v>
      </c>
      <c r="D644" t="s">
        <v>116</v>
      </c>
      <c r="E644" t="s">
        <v>22</v>
      </c>
      <c r="F644" t="s">
        <v>23</v>
      </c>
      <c r="G644" t="s">
        <v>24</v>
      </c>
      <c r="H644">
        <v>3</v>
      </c>
      <c r="I644">
        <v>25</v>
      </c>
      <c r="J644">
        <v>87.33</v>
      </c>
      <c r="K644">
        <v>102</v>
      </c>
      <c r="L644">
        <v>2183.25</v>
      </c>
      <c r="M644">
        <v>-366.75</v>
      </c>
      <c r="N644" s="1">
        <v>37937</v>
      </c>
      <c r="O644" t="s">
        <v>25</v>
      </c>
      <c r="P644">
        <v>4</v>
      </c>
      <c r="Q644">
        <v>11</v>
      </c>
      <c r="R644">
        <v>2003</v>
      </c>
      <c r="S644" t="s">
        <v>226</v>
      </c>
    </row>
    <row r="645" spans="1:19" x14ac:dyDescent="0.25">
      <c r="A645">
        <v>10227</v>
      </c>
      <c r="B645" t="s">
        <v>225</v>
      </c>
      <c r="C645" t="s">
        <v>95</v>
      </c>
      <c r="D645" t="s">
        <v>96</v>
      </c>
      <c r="E645" t="s">
        <v>29</v>
      </c>
      <c r="F645" t="s">
        <v>30</v>
      </c>
      <c r="G645" t="s">
        <v>24</v>
      </c>
      <c r="H645">
        <v>3</v>
      </c>
      <c r="I645">
        <v>25</v>
      </c>
      <c r="J645">
        <v>100</v>
      </c>
      <c r="K645">
        <v>102</v>
      </c>
      <c r="L645">
        <v>2953.75</v>
      </c>
      <c r="M645">
        <v>403.75</v>
      </c>
      <c r="N645" s="1">
        <v>38048</v>
      </c>
      <c r="O645" t="s">
        <v>25</v>
      </c>
      <c r="P645">
        <v>1</v>
      </c>
      <c r="Q645">
        <v>3</v>
      </c>
      <c r="R645">
        <v>2004</v>
      </c>
      <c r="S645" t="s">
        <v>226</v>
      </c>
    </row>
    <row r="646" spans="1:19" x14ac:dyDescent="0.25">
      <c r="A646">
        <v>10346</v>
      </c>
      <c r="B646" t="s">
        <v>225</v>
      </c>
      <c r="C646" t="s">
        <v>221</v>
      </c>
      <c r="D646" t="s">
        <v>222</v>
      </c>
      <c r="E646" t="s">
        <v>22</v>
      </c>
      <c r="F646" t="s">
        <v>23</v>
      </c>
      <c r="G646" t="s">
        <v>24</v>
      </c>
      <c r="H646">
        <v>3</v>
      </c>
      <c r="I646">
        <v>42</v>
      </c>
      <c r="J646">
        <v>36.11</v>
      </c>
      <c r="K646">
        <v>102</v>
      </c>
      <c r="L646">
        <v>1516.62</v>
      </c>
      <c r="M646">
        <v>-2767.38</v>
      </c>
      <c r="N646" s="1">
        <v>38320</v>
      </c>
      <c r="O646" t="s">
        <v>25</v>
      </c>
      <c r="P646">
        <v>4</v>
      </c>
      <c r="Q646">
        <v>11</v>
      </c>
      <c r="R646">
        <v>2004</v>
      </c>
      <c r="S646" t="s">
        <v>226</v>
      </c>
    </row>
    <row r="647" spans="1:19" x14ac:dyDescent="0.25">
      <c r="A647">
        <v>10149</v>
      </c>
      <c r="B647" t="s">
        <v>231</v>
      </c>
      <c r="C647" t="s">
        <v>214</v>
      </c>
      <c r="D647" t="s">
        <v>215</v>
      </c>
      <c r="E647" t="s">
        <v>22</v>
      </c>
      <c r="F647" t="s">
        <v>23</v>
      </c>
      <c r="G647" t="s">
        <v>24</v>
      </c>
      <c r="H647">
        <v>3</v>
      </c>
      <c r="I647">
        <v>30</v>
      </c>
      <c r="J647">
        <v>58.22</v>
      </c>
      <c r="K647">
        <v>53</v>
      </c>
      <c r="L647">
        <v>1746.6</v>
      </c>
      <c r="M647">
        <v>156.6</v>
      </c>
      <c r="N647" s="1">
        <v>37876</v>
      </c>
      <c r="O647" t="s">
        <v>25</v>
      </c>
      <c r="P647">
        <v>3</v>
      </c>
      <c r="Q647">
        <v>9</v>
      </c>
      <c r="R647">
        <v>2003</v>
      </c>
      <c r="S647" t="s">
        <v>226</v>
      </c>
    </row>
    <row r="648" spans="1:19" x14ac:dyDescent="0.25">
      <c r="A648">
        <v>10391</v>
      </c>
      <c r="B648" t="s">
        <v>231</v>
      </c>
      <c r="C648" t="s">
        <v>121</v>
      </c>
      <c r="D648" t="s">
        <v>122</v>
      </c>
      <c r="E648" t="s">
        <v>49</v>
      </c>
      <c r="F648" t="s">
        <v>50</v>
      </c>
      <c r="G648" t="s">
        <v>33</v>
      </c>
      <c r="H648">
        <v>3</v>
      </c>
      <c r="I648">
        <v>42</v>
      </c>
      <c r="J648">
        <v>100</v>
      </c>
      <c r="K648">
        <v>53</v>
      </c>
      <c r="L648">
        <v>4998</v>
      </c>
      <c r="M648">
        <v>2772</v>
      </c>
      <c r="N648" s="1">
        <v>38420</v>
      </c>
      <c r="O648" t="s">
        <v>25</v>
      </c>
      <c r="P648">
        <v>1</v>
      </c>
      <c r="Q648">
        <v>3</v>
      </c>
      <c r="R648">
        <v>2005</v>
      </c>
      <c r="S648" t="s">
        <v>226</v>
      </c>
    </row>
    <row r="649" spans="1:19" x14ac:dyDescent="0.25">
      <c r="A649">
        <v>10119</v>
      </c>
      <c r="B649" t="s">
        <v>233</v>
      </c>
      <c r="C649" t="s">
        <v>67</v>
      </c>
      <c r="D649" t="s">
        <v>68</v>
      </c>
      <c r="E649" t="s">
        <v>69</v>
      </c>
      <c r="F649" t="s">
        <v>30</v>
      </c>
      <c r="G649" t="s">
        <v>33</v>
      </c>
      <c r="H649">
        <v>3</v>
      </c>
      <c r="I649">
        <v>43</v>
      </c>
      <c r="J649">
        <v>100</v>
      </c>
      <c r="K649">
        <v>157</v>
      </c>
      <c r="L649">
        <v>6916.12</v>
      </c>
      <c r="M649">
        <v>165.12</v>
      </c>
      <c r="N649" s="1">
        <v>37739</v>
      </c>
      <c r="O649" t="s">
        <v>25</v>
      </c>
      <c r="P649">
        <v>2</v>
      </c>
      <c r="Q649">
        <v>4</v>
      </c>
      <c r="R649">
        <v>2003</v>
      </c>
      <c r="S649" t="s">
        <v>234</v>
      </c>
    </row>
    <row r="650" spans="1:19" x14ac:dyDescent="0.25">
      <c r="A650">
        <v>10100</v>
      </c>
      <c r="B650" t="s">
        <v>240</v>
      </c>
      <c r="C650" t="s">
        <v>117</v>
      </c>
      <c r="D650" t="s">
        <v>118</v>
      </c>
      <c r="E650" t="s">
        <v>22</v>
      </c>
      <c r="F650" t="s">
        <v>23</v>
      </c>
      <c r="G650" t="s">
        <v>33</v>
      </c>
      <c r="H650">
        <v>3</v>
      </c>
      <c r="I650">
        <v>30</v>
      </c>
      <c r="J650">
        <v>100</v>
      </c>
      <c r="K650">
        <v>170</v>
      </c>
      <c r="L650">
        <v>5151</v>
      </c>
      <c r="M650">
        <v>51</v>
      </c>
      <c r="N650" s="1">
        <v>37627</v>
      </c>
      <c r="O650" t="s">
        <v>25</v>
      </c>
      <c r="P650">
        <v>1</v>
      </c>
      <c r="Q650">
        <v>1</v>
      </c>
      <c r="R650">
        <v>2003</v>
      </c>
      <c r="S650" t="s">
        <v>226</v>
      </c>
    </row>
    <row r="651" spans="1:19" x14ac:dyDescent="0.25">
      <c r="A651">
        <v>10367</v>
      </c>
      <c r="B651" t="s">
        <v>240</v>
      </c>
      <c r="C651" t="s">
        <v>34</v>
      </c>
      <c r="D651" t="s">
        <v>35</v>
      </c>
      <c r="E651" t="s">
        <v>22</v>
      </c>
      <c r="F651" t="s">
        <v>23</v>
      </c>
      <c r="G651" t="s">
        <v>33</v>
      </c>
      <c r="H651">
        <v>3</v>
      </c>
      <c r="I651">
        <v>37</v>
      </c>
      <c r="J651">
        <v>100</v>
      </c>
      <c r="K651">
        <v>170</v>
      </c>
      <c r="L651">
        <v>4703.8100000000004</v>
      </c>
      <c r="M651">
        <v>-1586.19</v>
      </c>
      <c r="N651" s="1">
        <v>38364</v>
      </c>
      <c r="O651" t="s">
        <v>169</v>
      </c>
      <c r="P651">
        <v>1</v>
      </c>
      <c r="Q651">
        <v>1</v>
      </c>
      <c r="R651">
        <v>2005</v>
      </c>
      <c r="S651" t="s">
        <v>226</v>
      </c>
    </row>
    <row r="652" spans="1:19" x14ac:dyDescent="0.25">
      <c r="A652">
        <v>10135</v>
      </c>
      <c r="B652" t="s">
        <v>241</v>
      </c>
      <c r="C652" t="s">
        <v>115</v>
      </c>
      <c r="D652" t="s">
        <v>116</v>
      </c>
      <c r="E652" t="s">
        <v>22</v>
      </c>
      <c r="F652" t="s">
        <v>23</v>
      </c>
      <c r="G652" t="s">
        <v>33</v>
      </c>
      <c r="H652">
        <v>3</v>
      </c>
      <c r="I652">
        <v>48</v>
      </c>
      <c r="J652">
        <v>79.31</v>
      </c>
      <c r="K652">
        <v>77</v>
      </c>
      <c r="L652">
        <v>3806.88</v>
      </c>
      <c r="M652">
        <v>110.88</v>
      </c>
      <c r="N652" s="1">
        <v>37804</v>
      </c>
      <c r="O652" t="s">
        <v>25</v>
      </c>
      <c r="P652">
        <v>3</v>
      </c>
      <c r="Q652">
        <v>7</v>
      </c>
      <c r="R652">
        <v>2003</v>
      </c>
      <c r="S652" t="s">
        <v>83</v>
      </c>
    </row>
    <row r="653" spans="1:19" x14ac:dyDescent="0.25">
      <c r="A653">
        <v>10147</v>
      </c>
      <c r="B653" t="s">
        <v>241</v>
      </c>
      <c r="C653" t="s">
        <v>119</v>
      </c>
      <c r="D653" t="s">
        <v>120</v>
      </c>
      <c r="E653" t="s">
        <v>22</v>
      </c>
      <c r="F653" t="s">
        <v>23</v>
      </c>
      <c r="G653" t="s">
        <v>24</v>
      </c>
      <c r="H653">
        <v>3</v>
      </c>
      <c r="I653">
        <v>26</v>
      </c>
      <c r="J653">
        <v>82.39</v>
      </c>
      <c r="K653">
        <v>77</v>
      </c>
      <c r="L653">
        <v>2142.14</v>
      </c>
      <c r="M653">
        <v>140.13999999999999</v>
      </c>
      <c r="N653" s="1">
        <v>37869</v>
      </c>
      <c r="O653" t="s">
        <v>25</v>
      </c>
      <c r="P653">
        <v>3</v>
      </c>
      <c r="Q653">
        <v>9</v>
      </c>
      <c r="R653">
        <v>2003</v>
      </c>
      <c r="S653" t="s">
        <v>83</v>
      </c>
    </row>
    <row r="654" spans="1:19" x14ac:dyDescent="0.25">
      <c r="A654">
        <v>10389</v>
      </c>
      <c r="B654" t="s">
        <v>241</v>
      </c>
      <c r="C654" t="s">
        <v>111</v>
      </c>
      <c r="D654" t="s">
        <v>112</v>
      </c>
      <c r="E654" t="s">
        <v>86</v>
      </c>
      <c r="F654" t="s">
        <v>30</v>
      </c>
      <c r="G654" t="s">
        <v>33</v>
      </c>
      <c r="H654">
        <v>3</v>
      </c>
      <c r="I654">
        <v>49</v>
      </c>
      <c r="J654">
        <v>79.22</v>
      </c>
      <c r="K654">
        <v>77</v>
      </c>
      <c r="L654">
        <v>3881.78</v>
      </c>
      <c r="M654">
        <v>108.78</v>
      </c>
      <c r="N654" s="1">
        <v>38414</v>
      </c>
      <c r="O654" t="s">
        <v>25</v>
      </c>
      <c r="P654">
        <v>1</v>
      </c>
      <c r="Q654">
        <v>3</v>
      </c>
      <c r="R654">
        <v>2005</v>
      </c>
      <c r="S654" t="s">
        <v>83</v>
      </c>
    </row>
    <row r="655" spans="1:19" x14ac:dyDescent="0.25">
      <c r="A655">
        <v>10109</v>
      </c>
      <c r="B655" t="s">
        <v>242</v>
      </c>
      <c r="C655" t="s">
        <v>129</v>
      </c>
      <c r="D655" t="s">
        <v>94</v>
      </c>
      <c r="E655" t="s">
        <v>22</v>
      </c>
      <c r="F655" t="s">
        <v>23</v>
      </c>
      <c r="G655" t="s">
        <v>33</v>
      </c>
      <c r="H655">
        <v>3</v>
      </c>
      <c r="I655">
        <v>38</v>
      </c>
      <c r="J655">
        <v>100</v>
      </c>
      <c r="K655">
        <v>142</v>
      </c>
      <c r="L655">
        <v>4432.7</v>
      </c>
      <c r="M655">
        <v>-963.3</v>
      </c>
      <c r="N655" s="1">
        <v>37690</v>
      </c>
      <c r="O655" t="s">
        <v>25</v>
      </c>
      <c r="P655">
        <v>1</v>
      </c>
      <c r="Q655">
        <v>3</v>
      </c>
      <c r="R655">
        <v>2003</v>
      </c>
      <c r="S655" t="s">
        <v>83</v>
      </c>
    </row>
    <row r="656" spans="1:19" x14ac:dyDescent="0.25">
      <c r="A656">
        <v>10287</v>
      </c>
      <c r="B656" t="s">
        <v>242</v>
      </c>
      <c r="C656" t="s">
        <v>181</v>
      </c>
      <c r="D656" t="s">
        <v>182</v>
      </c>
      <c r="E656" t="s">
        <v>183</v>
      </c>
      <c r="F656" t="s">
        <v>30</v>
      </c>
      <c r="G656" t="s">
        <v>33</v>
      </c>
      <c r="H656">
        <v>3</v>
      </c>
      <c r="I656">
        <v>24</v>
      </c>
      <c r="J656">
        <v>100</v>
      </c>
      <c r="K656">
        <v>142</v>
      </c>
      <c r="L656">
        <v>3516.48</v>
      </c>
      <c r="M656">
        <v>108.48</v>
      </c>
      <c r="N656" s="1">
        <v>38229</v>
      </c>
      <c r="O656" t="s">
        <v>25</v>
      </c>
      <c r="P656">
        <v>3</v>
      </c>
      <c r="Q656">
        <v>8</v>
      </c>
      <c r="R656">
        <v>2004</v>
      </c>
      <c r="S656" t="s">
        <v>83</v>
      </c>
    </row>
    <row r="657" spans="1:19" x14ac:dyDescent="0.25">
      <c r="A657">
        <v>10342</v>
      </c>
      <c r="B657" t="s">
        <v>242</v>
      </c>
      <c r="C657" t="s">
        <v>47</v>
      </c>
      <c r="D657" t="s">
        <v>48</v>
      </c>
      <c r="E657" t="s">
        <v>49</v>
      </c>
      <c r="F657" t="s">
        <v>50</v>
      </c>
      <c r="G657" t="s">
        <v>33</v>
      </c>
      <c r="H657">
        <v>3</v>
      </c>
      <c r="I657">
        <v>22</v>
      </c>
      <c r="J657">
        <v>100</v>
      </c>
      <c r="K657">
        <v>142</v>
      </c>
      <c r="L657">
        <v>3160.74</v>
      </c>
      <c r="M657">
        <v>36.74</v>
      </c>
      <c r="N657" s="1">
        <v>38315</v>
      </c>
      <c r="O657" t="s">
        <v>25</v>
      </c>
      <c r="P657">
        <v>4</v>
      </c>
      <c r="Q657">
        <v>11</v>
      </c>
      <c r="R657">
        <v>2004</v>
      </c>
      <c r="S657" t="s">
        <v>83</v>
      </c>
    </row>
    <row r="658" spans="1:19" x14ac:dyDescent="0.25">
      <c r="A658">
        <v>10366</v>
      </c>
      <c r="B658" t="s">
        <v>242</v>
      </c>
      <c r="C658" t="s">
        <v>238</v>
      </c>
      <c r="D658" t="s">
        <v>239</v>
      </c>
      <c r="E658" t="s">
        <v>153</v>
      </c>
      <c r="F658" t="s">
        <v>30</v>
      </c>
      <c r="G658" t="s">
        <v>33</v>
      </c>
      <c r="H658">
        <v>3</v>
      </c>
      <c r="I658">
        <v>34</v>
      </c>
      <c r="J658">
        <v>100</v>
      </c>
      <c r="K658">
        <v>142</v>
      </c>
      <c r="L658">
        <v>4207.84</v>
      </c>
      <c r="M658">
        <v>-620.16</v>
      </c>
      <c r="N658" s="1">
        <v>38362</v>
      </c>
      <c r="O658" t="s">
        <v>25</v>
      </c>
      <c r="P658">
        <v>1</v>
      </c>
      <c r="Q658">
        <v>1</v>
      </c>
      <c r="R658">
        <v>2005</v>
      </c>
      <c r="S658" t="s">
        <v>83</v>
      </c>
    </row>
    <row r="659" spans="1:19" x14ac:dyDescent="0.25">
      <c r="A659">
        <v>10259</v>
      </c>
      <c r="B659" t="s">
        <v>243</v>
      </c>
      <c r="C659" t="s">
        <v>171</v>
      </c>
      <c r="D659" t="s">
        <v>89</v>
      </c>
      <c r="E659" t="s">
        <v>89</v>
      </c>
      <c r="F659" t="s">
        <v>50</v>
      </c>
      <c r="G659" t="s">
        <v>33</v>
      </c>
      <c r="H659">
        <v>3</v>
      </c>
      <c r="I659">
        <v>30</v>
      </c>
      <c r="J659">
        <v>100</v>
      </c>
      <c r="K659">
        <v>163</v>
      </c>
      <c r="L659">
        <v>5697.9</v>
      </c>
      <c r="M659">
        <v>807.9</v>
      </c>
      <c r="N659" s="1">
        <v>38153</v>
      </c>
      <c r="O659" t="s">
        <v>25</v>
      </c>
      <c r="P659">
        <v>2</v>
      </c>
      <c r="Q659">
        <v>6</v>
      </c>
      <c r="R659">
        <v>2004</v>
      </c>
      <c r="S659" t="s">
        <v>83</v>
      </c>
    </row>
    <row r="660" spans="1:19" x14ac:dyDescent="0.25">
      <c r="A660">
        <v>10425</v>
      </c>
      <c r="B660" t="s">
        <v>243</v>
      </c>
      <c r="C660" t="s">
        <v>56</v>
      </c>
      <c r="D660" t="s">
        <v>57</v>
      </c>
      <c r="E660" t="s">
        <v>29</v>
      </c>
      <c r="F660" t="s">
        <v>30</v>
      </c>
      <c r="G660" t="s">
        <v>33</v>
      </c>
      <c r="H660">
        <v>3</v>
      </c>
      <c r="I660">
        <v>28</v>
      </c>
      <c r="J660">
        <v>100</v>
      </c>
      <c r="K660">
        <v>163</v>
      </c>
      <c r="L660">
        <v>5318.04</v>
      </c>
      <c r="M660">
        <v>754.04</v>
      </c>
      <c r="N660" s="1">
        <v>38503</v>
      </c>
      <c r="O660" t="s">
        <v>125</v>
      </c>
      <c r="P660">
        <v>2</v>
      </c>
      <c r="Q660">
        <v>5</v>
      </c>
      <c r="R660">
        <v>2005</v>
      </c>
      <c r="S660" t="s">
        <v>83</v>
      </c>
    </row>
    <row r="661" spans="1:19" x14ac:dyDescent="0.25">
      <c r="A661">
        <v>10204</v>
      </c>
      <c r="B661" t="s">
        <v>244</v>
      </c>
      <c r="C661" t="s">
        <v>192</v>
      </c>
      <c r="D661" t="s">
        <v>21</v>
      </c>
      <c r="E661" t="s">
        <v>22</v>
      </c>
      <c r="F661" t="s">
        <v>23</v>
      </c>
      <c r="G661" t="s">
        <v>24</v>
      </c>
      <c r="H661">
        <v>3</v>
      </c>
      <c r="I661">
        <v>23</v>
      </c>
      <c r="J661">
        <v>71.44</v>
      </c>
      <c r="K661">
        <v>60</v>
      </c>
      <c r="L661">
        <v>1643.12</v>
      </c>
      <c r="M661">
        <v>263.12</v>
      </c>
      <c r="N661" s="1">
        <v>37957</v>
      </c>
      <c r="O661" t="s">
        <v>25</v>
      </c>
      <c r="P661">
        <v>4</v>
      </c>
      <c r="Q661">
        <v>12</v>
      </c>
      <c r="R661">
        <v>2003</v>
      </c>
      <c r="S661" t="s">
        <v>226</v>
      </c>
    </row>
    <row r="662" spans="1:19" x14ac:dyDescent="0.25">
      <c r="A662">
        <v>10114</v>
      </c>
      <c r="B662" t="s">
        <v>245</v>
      </c>
      <c r="C662" t="s">
        <v>166</v>
      </c>
      <c r="D662" t="s">
        <v>32</v>
      </c>
      <c r="E662" t="s">
        <v>29</v>
      </c>
      <c r="F662" t="s">
        <v>30</v>
      </c>
      <c r="G662" t="s">
        <v>33</v>
      </c>
      <c r="H662">
        <v>3</v>
      </c>
      <c r="I662">
        <v>39</v>
      </c>
      <c r="J662">
        <v>100</v>
      </c>
      <c r="K662">
        <v>122</v>
      </c>
      <c r="L662">
        <v>4164.42</v>
      </c>
      <c r="M662">
        <v>-593.58000000000004</v>
      </c>
      <c r="N662" s="1">
        <v>37712</v>
      </c>
      <c r="O662" t="s">
        <v>25</v>
      </c>
      <c r="P662">
        <v>2</v>
      </c>
      <c r="Q662">
        <v>4</v>
      </c>
      <c r="R662">
        <v>2003</v>
      </c>
      <c r="S662" t="s">
        <v>202</v>
      </c>
    </row>
    <row r="663" spans="1:19" x14ac:dyDescent="0.25">
      <c r="A663">
        <v>10124</v>
      </c>
      <c r="B663" t="s">
        <v>246</v>
      </c>
      <c r="C663" t="s">
        <v>221</v>
      </c>
      <c r="D663" t="s">
        <v>222</v>
      </c>
      <c r="E663" t="s">
        <v>22</v>
      </c>
      <c r="F663" t="s">
        <v>23</v>
      </c>
      <c r="G663" t="s">
        <v>33</v>
      </c>
      <c r="H663">
        <v>3</v>
      </c>
      <c r="I663">
        <v>42</v>
      </c>
      <c r="J663">
        <v>100</v>
      </c>
      <c r="K663">
        <v>127</v>
      </c>
      <c r="L663">
        <v>4431.84</v>
      </c>
      <c r="M663">
        <v>-902.16</v>
      </c>
      <c r="N663" s="1">
        <v>37762</v>
      </c>
      <c r="O663" t="s">
        <v>25</v>
      </c>
      <c r="P663">
        <v>2</v>
      </c>
      <c r="Q663">
        <v>5</v>
      </c>
      <c r="R663">
        <v>2003</v>
      </c>
      <c r="S663" t="s">
        <v>226</v>
      </c>
    </row>
    <row r="664" spans="1:19" x14ac:dyDescent="0.25">
      <c r="A664">
        <v>10344</v>
      </c>
      <c r="B664" t="s">
        <v>246</v>
      </c>
      <c r="C664" t="s">
        <v>176</v>
      </c>
      <c r="D664" t="s">
        <v>177</v>
      </c>
      <c r="E664" t="s">
        <v>29</v>
      </c>
      <c r="F664" t="s">
        <v>30</v>
      </c>
      <c r="G664" t="s">
        <v>33</v>
      </c>
      <c r="H664">
        <v>3</v>
      </c>
      <c r="I664">
        <v>30</v>
      </c>
      <c r="J664">
        <v>100</v>
      </c>
      <c r="K664">
        <v>127</v>
      </c>
      <c r="L664">
        <v>3928.2</v>
      </c>
      <c r="M664">
        <v>118.2</v>
      </c>
      <c r="N664" s="1">
        <v>38316</v>
      </c>
      <c r="O664" t="s">
        <v>25</v>
      </c>
      <c r="P664">
        <v>4</v>
      </c>
      <c r="Q664">
        <v>11</v>
      </c>
      <c r="R664">
        <v>2004</v>
      </c>
      <c r="S664" t="s">
        <v>226</v>
      </c>
    </row>
    <row r="665" spans="1:19" x14ac:dyDescent="0.25">
      <c r="A665">
        <v>10356</v>
      </c>
      <c r="B665" t="s">
        <v>246</v>
      </c>
      <c r="C665" t="s">
        <v>31</v>
      </c>
      <c r="D665" t="s">
        <v>32</v>
      </c>
      <c r="E665" t="s">
        <v>29</v>
      </c>
      <c r="F665" t="s">
        <v>30</v>
      </c>
      <c r="G665" t="s">
        <v>33</v>
      </c>
      <c r="H665">
        <v>3</v>
      </c>
      <c r="I665">
        <v>29</v>
      </c>
      <c r="J665">
        <v>100</v>
      </c>
      <c r="K665">
        <v>127</v>
      </c>
      <c r="L665">
        <v>3630.22</v>
      </c>
      <c r="M665">
        <v>-52.78</v>
      </c>
      <c r="N665" s="1">
        <v>38330</v>
      </c>
      <c r="O665" t="s">
        <v>25</v>
      </c>
      <c r="P665">
        <v>4</v>
      </c>
      <c r="Q665">
        <v>12</v>
      </c>
      <c r="R665">
        <v>2004</v>
      </c>
      <c r="S665" t="s">
        <v>226</v>
      </c>
    </row>
    <row r="666" spans="1:19" x14ac:dyDescent="0.25">
      <c r="A666">
        <v>10133</v>
      </c>
      <c r="B666" t="s">
        <v>248</v>
      </c>
      <c r="C666" t="s">
        <v>78</v>
      </c>
      <c r="D666" t="s">
        <v>79</v>
      </c>
      <c r="E666" t="s">
        <v>80</v>
      </c>
      <c r="F666" t="s">
        <v>30</v>
      </c>
      <c r="G666" t="s">
        <v>33</v>
      </c>
      <c r="H666">
        <v>3</v>
      </c>
      <c r="I666">
        <v>49</v>
      </c>
      <c r="J666">
        <v>69.27</v>
      </c>
      <c r="K666">
        <v>84</v>
      </c>
      <c r="L666">
        <v>3394.23</v>
      </c>
      <c r="M666">
        <v>-721.77</v>
      </c>
      <c r="N666" s="1">
        <v>37799</v>
      </c>
      <c r="O666" t="s">
        <v>25</v>
      </c>
      <c r="P666">
        <v>2</v>
      </c>
      <c r="Q666">
        <v>6</v>
      </c>
      <c r="R666">
        <v>2003</v>
      </c>
      <c r="S666" t="s">
        <v>234</v>
      </c>
    </row>
    <row r="667" spans="1:19" x14ac:dyDescent="0.25">
      <c r="A667">
        <v>10235</v>
      </c>
      <c r="B667" t="s">
        <v>248</v>
      </c>
      <c r="C667" t="s">
        <v>154</v>
      </c>
      <c r="D667" t="s">
        <v>155</v>
      </c>
      <c r="E667" t="s">
        <v>99</v>
      </c>
      <c r="F667" t="s">
        <v>23</v>
      </c>
      <c r="G667" t="s">
        <v>24</v>
      </c>
      <c r="H667">
        <v>3</v>
      </c>
      <c r="I667">
        <v>24</v>
      </c>
      <c r="J667">
        <v>76.03</v>
      </c>
      <c r="K667">
        <v>84</v>
      </c>
      <c r="L667">
        <v>1824.72</v>
      </c>
      <c r="M667">
        <v>-191.28</v>
      </c>
      <c r="N667" s="1">
        <v>38079</v>
      </c>
      <c r="O667" t="s">
        <v>25</v>
      </c>
      <c r="P667">
        <v>2</v>
      </c>
      <c r="Q667">
        <v>4</v>
      </c>
      <c r="R667">
        <v>2004</v>
      </c>
      <c r="S667" t="s">
        <v>234</v>
      </c>
    </row>
    <row r="668" spans="1:19" x14ac:dyDescent="0.25">
      <c r="A668">
        <v>10401</v>
      </c>
      <c r="B668" t="s">
        <v>248</v>
      </c>
      <c r="C668" t="s">
        <v>52</v>
      </c>
      <c r="D668" t="s">
        <v>53</v>
      </c>
      <c r="E668" t="s">
        <v>22</v>
      </c>
      <c r="F668" t="s">
        <v>23</v>
      </c>
      <c r="G668" t="s">
        <v>33</v>
      </c>
      <c r="H668">
        <v>3</v>
      </c>
      <c r="I668">
        <v>42</v>
      </c>
      <c r="J668">
        <v>76.03</v>
      </c>
      <c r="K668">
        <v>84</v>
      </c>
      <c r="L668">
        <v>3193.26</v>
      </c>
      <c r="M668">
        <v>-334.74</v>
      </c>
      <c r="N668" s="1">
        <v>38445</v>
      </c>
      <c r="O668" t="s">
        <v>164</v>
      </c>
      <c r="P668">
        <v>2</v>
      </c>
      <c r="Q668">
        <v>4</v>
      </c>
      <c r="R668">
        <v>2005</v>
      </c>
      <c r="S668" t="s">
        <v>234</v>
      </c>
    </row>
    <row r="669" spans="1:19" x14ac:dyDescent="0.25">
      <c r="A669">
        <v>10210</v>
      </c>
      <c r="B669" t="s">
        <v>249</v>
      </c>
      <c r="C669" t="s">
        <v>127</v>
      </c>
      <c r="D669" t="s">
        <v>128</v>
      </c>
      <c r="E669" t="s">
        <v>107</v>
      </c>
      <c r="F669" t="s">
        <v>50</v>
      </c>
      <c r="G669" t="s">
        <v>24</v>
      </c>
      <c r="H669">
        <v>3</v>
      </c>
      <c r="I669">
        <v>40</v>
      </c>
      <c r="J669">
        <v>49.67</v>
      </c>
      <c r="K669">
        <v>60</v>
      </c>
      <c r="L669">
        <v>1986.8</v>
      </c>
      <c r="M669">
        <v>-413.2</v>
      </c>
      <c r="N669" s="1">
        <v>37998</v>
      </c>
      <c r="O669" t="s">
        <v>25</v>
      </c>
      <c r="P669">
        <v>1</v>
      </c>
      <c r="Q669">
        <v>1</v>
      </c>
      <c r="R669">
        <v>2004</v>
      </c>
      <c r="S669" t="s">
        <v>26</v>
      </c>
    </row>
    <row r="670" spans="1:19" x14ac:dyDescent="0.25">
      <c r="A670">
        <v>10308</v>
      </c>
      <c r="B670" t="s">
        <v>249</v>
      </c>
      <c r="C670" t="s">
        <v>131</v>
      </c>
      <c r="D670" t="s">
        <v>132</v>
      </c>
      <c r="E670" t="s">
        <v>22</v>
      </c>
      <c r="F670" t="s">
        <v>23</v>
      </c>
      <c r="G670" t="s">
        <v>24</v>
      </c>
      <c r="H670">
        <v>3</v>
      </c>
      <c r="I670">
        <v>34</v>
      </c>
      <c r="J670">
        <v>52.09</v>
      </c>
      <c r="K670">
        <v>60</v>
      </c>
      <c r="L670">
        <v>1771.06</v>
      </c>
      <c r="M670">
        <v>-268.94</v>
      </c>
      <c r="N670" s="1">
        <v>38275</v>
      </c>
      <c r="O670" t="s">
        <v>25</v>
      </c>
      <c r="P670">
        <v>4</v>
      </c>
      <c r="Q670">
        <v>10</v>
      </c>
      <c r="R670">
        <v>2004</v>
      </c>
      <c r="S670" t="s">
        <v>26</v>
      </c>
    </row>
    <row r="671" spans="1:19" x14ac:dyDescent="0.25">
      <c r="A671">
        <v>10362</v>
      </c>
      <c r="B671" t="s">
        <v>249</v>
      </c>
      <c r="C671" t="s">
        <v>38</v>
      </c>
      <c r="D671" t="s">
        <v>39</v>
      </c>
      <c r="E671" t="s">
        <v>22</v>
      </c>
      <c r="F671" t="s">
        <v>23</v>
      </c>
      <c r="G671" t="s">
        <v>24</v>
      </c>
      <c r="H671">
        <v>3</v>
      </c>
      <c r="I671">
        <v>23</v>
      </c>
      <c r="J671">
        <v>49.67</v>
      </c>
      <c r="K671">
        <v>60</v>
      </c>
      <c r="L671">
        <v>1142.4100000000001</v>
      </c>
      <c r="M671">
        <v>-237.59</v>
      </c>
      <c r="N671" s="1">
        <v>38357</v>
      </c>
      <c r="O671" t="s">
        <v>25</v>
      </c>
      <c r="P671">
        <v>1</v>
      </c>
      <c r="Q671">
        <v>1</v>
      </c>
      <c r="R671">
        <v>2005</v>
      </c>
      <c r="S671" t="s">
        <v>26</v>
      </c>
    </row>
    <row r="672" spans="1:19" x14ac:dyDescent="0.25">
      <c r="A672">
        <v>10162</v>
      </c>
      <c r="B672" t="s">
        <v>250</v>
      </c>
      <c r="C672" t="s">
        <v>36</v>
      </c>
      <c r="D672" t="s">
        <v>37</v>
      </c>
      <c r="E672" t="s">
        <v>22</v>
      </c>
      <c r="F672" t="s">
        <v>23</v>
      </c>
      <c r="G672" t="s">
        <v>70</v>
      </c>
      <c r="H672">
        <v>3</v>
      </c>
      <c r="I672">
        <v>48</v>
      </c>
      <c r="J672">
        <v>100</v>
      </c>
      <c r="K672">
        <v>168</v>
      </c>
      <c r="L672">
        <v>7209.12</v>
      </c>
      <c r="M672">
        <v>-854.88</v>
      </c>
      <c r="N672" s="1">
        <v>37912</v>
      </c>
      <c r="O672" t="s">
        <v>25</v>
      </c>
      <c r="P672">
        <v>4</v>
      </c>
      <c r="Q672">
        <v>10</v>
      </c>
      <c r="R672">
        <v>2003</v>
      </c>
      <c r="S672" t="s">
        <v>226</v>
      </c>
    </row>
    <row r="673" spans="1:19" x14ac:dyDescent="0.25">
      <c r="A673">
        <v>10205</v>
      </c>
      <c r="B673" t="s">
        <v>250</v>
      </c>
      <c r="C673" t="s">
        <v>78</v>
      </c>
      <c r="D673" t="s">
        <v>79</v>
      </c>
      <c r="E673" t="s">
        <v>80</v>
      </c>
      <c r="F673" t="s">
        <v>30</v>
      </c>
      <c r="G673" t="s">
        <v>70</v>
      </c>
      <c r="H673">
        <v>3</v>
      </c>
      <c r="I673">
        <v>40</v>
      </c>
      <c r="J673">
        <v>100</v>
      </c>
      <c r="K673">
        <v>168</v>
      </c>
      <c r="L673">
        <v>7492.4</v>
      </c>
      <c r="M673">
        <v>772.4</v>
      </c>
      <c r="N673" s="1">
        <v>37958</v>
      </c>
      <c r="O673" t="s">
        <v>25</v>
      </c>
      <c r="P673">
        <v>4</v>
      </c>
      <c r="Q673">
        <v>12</v>
      </c>
      <c r="R673">
        <v>2003</v>
      </c>
      <c r="S673" t="s">
        <v>226</v>
      </c>
    </row>
    <row r="674" spans="1:19" x14ac:dyDescent="0.25">
      <c r="A674">
        <v>10289</v>
      </c>
      <c r="B674" t="s">
        <v>250</v>
      </c>
      <c r="C674" t="s">
        <v>42</v>
      </c>
      <c r="D674" t="s">
        <v>43</v>
      </c>
      <c r="E674" t="s">
        <v>44</v>
      </c>
      <c r="F674" t="s">
        <v>30</v>
      </c>
      <c r="G674" t="s">
        <v>70</v>
      </c>
      <c r="H674">
        <v>3</v>
      </c>
      <c r="I674">
        <v>43</v>
      </c>
      <c r="J674">
        <v>100</v>
      </c>
      <c r="K674">
        <v>168</v>
      </c>
      <c r="L674">
        <v>8272.34</v>
      </c>
      <c r="M674">
        <v>1048.3399999999999</v>
      </c>
      <c r="N674" s="1">
        <v>38233</v>
      </c>
      <c r="O674" t="s">
        <v>25</v>
      </c>
      <c r="P674">
        <v>3</v>
      </c>
      <c r="Q674">
        <v>9</v>
      </c>
      <c r="R674">
        <v>2004</v>
      </c>
      <c r="S674" t="s">
        <v>226</v>
      </c>
    </row>
    <row r="675" spans="1:19" x14ac:dyDescent="0.25">
      <c r="A675">
        <v>10123</v>
      </c>
      <c r="B675" t="s">
        <v>251</v>
      </c>
      <c r="C675" t="s">
        <v>130</v>
      </c>
      <c r="D675" t="s">
        <v>57</v>
      </c>
      <c r="E675" t="s">
        <v>29</v>
      </c>
      <c r="F675" t="s">
        <v>30</v>
      </c>
      <c r="G675" t="s">
        <v>33</v>
      </c>
      <c r="H675">
        <v>3</v>
      </c>
      <c r="I675">
        <v>46</v>
      </c>
      <c r="J675">
        <v>100</v>
      </c>
      <c r="K675">
        <v>132</v>
      </c>
      <c r="L675">
        <v>5161.2</v>
      </c>
      <c r="M675">
        <v>-910.8</v>
      </c>
      <c r="N675" s="1">
        <v>37761</v>
      </c>
      <c r="O675" t="s">
        <v>25</v>
      </c>
      <c r="P675">
        <v>2</v>
      </c>
      <c r="Q675">
        <v>5</v>
      </c>
      <c r="R675">
        <v>2003</v>
      </c>
      <c r="S675" t="s">
        <v>83</v>
      </c>
    </row>
    <row r="676" spans="1:19" x14ac:dyDescent="0.25">
      <c r="A676">
        <v>10137</v>
      </c>
      <c r="B676" t="s">
        <v>251</v>
      </c>
      <c r="C676" t="s">
        <v>27</v>
      </c>
      <c r="D676" t="s">
        <v>28</v>
      </c>
      <c r="E676" t="s">
        <v>29</v>
      </c>
      <c r="F676" t="s">
        <v>30</v>
      </c>
      <c r="G676" t="s">
        <v>33</v>
      </c>
      <c r="H676">
        <v>3</v>
      </c>
      <c r="I676">
        <v>37</v>
      </c>
      <c r="J676">
        <v>100</v>
      </c>
      <c r="K676">
        <v>132</v>
      </c>
      <c r="L676">
        <v>4346.76</v>
      </c>
      <c r="M676">
        <v>-537.24</v>
      </c>
      <c r="N676" s="1">
        <v>37812</v>
      </c>
      <c r="O676" t="s">
        <v>25</v>
      </c>
      <c r="P676">
        <v>3</v>
      </c>
      <c r="Q676">
        <v>7</v>
      </c>
      <c r="R676">
        <v>2003</v>
      </c>
      <c r="S676" t="s">
        <v>83</v>
      </c>
    </row>
    <row r="677" spans="1:19" x14ac:dyDescent="0.25">
      <c r="A677">
        <v>10181</v>
      </c>
      <c r="B677" t="s">
        <v>251</v>
      </c>
      <c r="C677" t="s">
        <v>42</v>
      </c>
      <c r="D677" t="s">
        <v>43</v>
      </c>
      <c r="E677" t="s">
        <v>44</v>
      </c>
      <c r="F677" t="s">
        <v>30</v>
      </c>
      <c r="G677" t="s">
        <v>33</v>
      </c>
      <c r="H677">
        <v>3</v>
      </c>
      <c r="I677">
        <v>27</v>
      </c>
      <c r="J677">
        <v>100</v>
      </c>
      <c r="K677">
        <v>132</v>
      </c>
      <c r="L677">
        <v>3884.76</v>
      </c>
      <c r="M677">
        <v>320.76</v>
      </c>
      <c r="N677" s="1">
        <v>37937</v>
      </c>
      <c r="O677" t="s">
        <v>25</v>
      </c>
      <c r="P677">
        <v>4</v>
      </c>
      <c r="Q677">
        <v>11</v>
      </c>
      <c r="R677">
        <v>2003</v>
      </c>
      <c r="S677" t="s">
        <v>83</v>
      </c>
    </row>
    <row r="678" spans="1:19" x14ac:dyDescent="0.25">
      <c r="A678">
        <v>10266</v>
      </c>
      <c r="B678" t="s">
        <v>251</v>
      </c>
      <c r="C678" t="s">
        <v>184</v>
      </c>
      <c r="D678" t="s">
        <v>185</v>
      </c>
      <c r="E678" t="s">
        <v>110</v>
      </c>
      <c r="F678" t="s">
        <v>30</v>
      </c>
      <c r="G678" t="s">
        <v>24</v>
      </c>
      <c r="H678">
        <v>3</v>
      </c>
      <c r="I678">
        <v>20</v>
      </c>
      <c r="J678">
        <v>100</v>
      </c>
      <c r="K678">
        <v>132</v>
      </c>
      <c r="L678">
        <v>2824.8</v>
      </c>
      <c r="M678">
        <v>184.8</v>
      </c>
      <c r="N678" s="1">
        <v>38174</v>
      </c>
      <c r="O678" t="s">
        <v>25</v>
      </c>
      <c r="P678">
        <v>3</v>
      </c>
      <c r="Q678">
        <v>7</v>
      </c>
      <c r="R678">
        <v>2004</v>
      </c>
      <c r="S678" t="s">
        <v>83</v>
      </c>
    </row>
    <row r="679" spans="1:19" x14ac:dyDescent="0.25">
      <c r="A679">
        <v>10278</v>
      </c>
      <c r="B679" t="s">
        <v>251</v>
      </c>
      <c r="C679" t="s">
        <v>221</v>
      </c>
      <c r="D679" t="s">
        <v>222</v>
      </c>
      <c r="E679" t="s">
        <v>22</v>
      </c>
      <c r="F679" t="s">
        <v>23</v>
      </c>
      <c r="G679" t="s">
        <v>33</v>
      </c>
      <c r="H679">
        <v>3</v>
      </c>
      <c r="I679">
        <v>39</v>
      </c>
      <c r="J679">
        <v>100</v>
      </c>
      <c r="K679">
        <v>132</v>
      </c>
      <c r="L679">
        <v>4324.32</v>
      </c>
      <c r="M679">
        <v>-823.68</v>
      </c>
      <c r="N679" s="1">
        <v>38205</v>
      </c>
      <c r="O679" t="s">
        <v>25</v>
      </c>
      <c r="P679">
        <v>3</v>
      </c>
      <c r="Q679">
        <v>8</v>
      </c>
      <c r="R679">
        <v>2004</v>
      </c>
      <c r="S679" t="s">
        <v>83</v>
      </c>
    </row>
    <row r="680" spans="1:19" x14ac:dyDescent="0.25">
      <c r="A680">
        <v>10343</v>
      </c>
      <c r="B680" t="s">
        <v>251</v>
      </c>
      <c r="C680" t="s">
        <v>27</v>
      </c>
      <c r="D680" t="s">
        <v>28</v>
      </c>
      <c r="E680" t="s">
        <v>29</v>
      </c>
      <c r="F680" t="s">
        <v>30</v>
      </c>
      <c r="G680" t="s">
        <v>24</v>
      </c>
      <c r="H680">
        <v>3</v>
      </c>
      <c r="I680">
        <v>25</v>
      </c>
      <c r="J680">
        <v>52.32</v>
      </c>
      <c r="K680">
        <v>132</v>
      </c>
      <c r="L680">
        <v>1308</v>
      </c>
      <c r="M680">
        <v>-1992</v>
      </c>
      <c r="N680" s="1">
        <v>38315</v>
      </c>
      <c r="O680" t="s">
        <v>25</v>
      </c>
      <c r="P680">
        <v>4</v>
      </c>
      <c r="Q680">
        <v>11</v>
      </c>
      <c r="R680">
        <v>2004</v>
      </c>
      <c r="S680" t="s">
        <v>83</v>
      </c>
    </row>
    <row r="681" spans="1:19" x14ac:dyDescent="0.25">
      <c r="A681">
        <v>10228</v>
      </c>
      <c r="B681" t="s">
        <v>252</v>
      </c>
      <c r="C681" t="s">
        <v>102</v>
      </c>
      <c r="D681" t="s">
        <v>59</v>
      </c>
      <c r="E681" t="s">
        <v>22</v>
      </c>
      <c r="F681" t="s">
        <v>23</v>
      </c>
      <c r="G681" t="s">
        <v>24</v>
      </c>
      <c r="H681">
        <v>3</v>
      </c>
      <c r="I681">
        <v>24</v>
      </c>
      <c r="J681">
        <v>100</v>
      </c>
      <c r="K681">
        <v>101</v>
      </c>
      <c r="L681">
        <v>2504.4</v>
      </c>
      <c r="M681">
        <v>80.400000000000006</v>
      </c>
      <c r="N681" s="1">
        <v>38056</v>
      </c>
      <c r="O681" t="s">
        <v>25</v>
      </c>
      <c r="P681">
        <v>1</v>
      </c>
      <c r="Q681">
        <v>3</v>
      </c>
      <c r="R681">
        <v>2004</v>
      </c>
      <c r="S681" t="s">
        <v>226</v>
      </c>
    </row>
    <row r="682" spans="1:19" x14ac:dyDescent="0.25">
      <c r="A682">
        <v>10280</v>
      </c>
      <c r="B682" t="s">
        <v>252</v>
      </c>
      <c r="C682" t="s">
        <v>108</v>
      </c>
      <c r="D682" t="s">
        <v>109</v>
      </c>
      <c r="E682" t="s">
        <v>110</v>
      </c>
      <c r="F682" t="s">
        <v>30</v>
      </c>
      <c r="G682" t="s">
        <v>33</v>
      </c>
      <c r="H682">
        <v>3</v>
      </c>
      <c r="I682">
        <v>46</v>
      </c>
      <c r="J682">
        <v>100</v>
      </c>
      <c r="K682">
        <v>101</v>
      </c>
      <c r="L682">
        <v>5126.24</v>
      </c>
      <c r="M682">
        <v>480.24</v>
      </c>
      <c r="N682" s="1">
        <v>38216</v>
      </c>
      <c r="O682" t="s">
        <v>25</v>
      </c>
      <c r="P682">
        <v>3</v>
      </c>
      <c r="Q682">
        <v>8</v>
      </c>
      <c r="R682">
        <v>2004</v>
      </c>
      <c r="S682" t="s">
        <v>226</v>
      </c>
    </row>
    <row r="683" spans="1:19" x14ac:dyDescent="0.25">
      <c r="A683">
        <v>10139</v>
      </c>
      <c r="B683" t="s">
        <v>253</v>
      </c>
      <c r="C683" t="s">
        <v>71</v>
      </c>
      <c r="D683" t="s">
        <v>72</v>
      </c>
      <c r="E683" t="s">
        <v>49</v>
      </c>
      <c r="F683" t="s">
        <v>50</v>
      </c>
      <c r="G683" t="s">
        <v>24</v>
      </c>
      <c r="H683">
        <v>3</v>
      </c>
      <c r="I683">
        <v>20</v>
      </c>
      <c r="J683">
        <v>71.2</v>
      </c>
      <c r="K683">
        <v>62</v>
      </c>
      <c r="L683">
        <v>1424</v>
      </c>
      <c r="M683">
        <v>184</v>
      </c>
      <c r="N683" s="1">
        <v>37818</v>
      </c>
      <c r="O683" t="s">
        <v>25</v>
      </c>
      <c r="P683">
        <v>3</v>
      </c>
      <c r="Q683">
        <v>7</v>
      </c>
      <c r="R683">
        <v>2003</v>
      </c>
      <c r="S683" t="s">
        <v>226</v>
      </c>
    </row>
    <row r="684" spans="1:19" x14ac:dyDescent="0.25">
      <c r="A684">
        <v>10193</v>
      </c>
      <c r="B684" t="s">
        <v>253</v>
      </c>
      <c r="C684" t="s">
        <v>229</v>
      </c>
      <c r="D684" t="s">
        <v>230</v>
      </c>
      <c r="E684" t="s">
        <v>49</v>
      </c>
      <c r="F684" t="s">
        <v>50</v>
      </c>
      <c r="G684" t="s">
        <v>24</v>
      </c>
      <c r="H684">
        <v>3</v>
      </c>
      <c r="I684">
        <v>24</v>
      </c>
      <c r="J684">
        <v>51.84</v>
      </c>
      <c r="K684">
        <v>62</v>
      </c>
      <c r="L684">
        <v>1244.1600000000001</v>
      </c>
      <c r="M684">
        <v>-243.84</v>
      </c>
      <c r="N684" s="1">
        <v>37946</v>
      </c>
      <c r="O684" t="s">
        <v>25</v>
      </c>
      <c r="P684">
        <v>4</v>
      </c>
      <c r="Q684">
        <v>11</v>
      </c>
      <c r="R684">
        <v>2003</v>
      </c>
      <c r="S684" t="s">
        <v>226</v>
      </c>
    </row>
    <row r="685" spans="1:19" x14ac:dyDescent="0.25">
      <c r="A685">
        <v>10244</v>
      </c>
      <c r="B685" t="s">
        <v>253</v>
      </c>
      <c r="C685" t="s">
        <v>78</v>
      </c>
      <c r="D685" t="s">
        <v>79</v>
      </c>
      <c r="E685" t="s">
        <v>80</v>
      </c>
      <c r="F685" t="s">
        <v>30</v>
      </c>
      <c r="G685" t="s">
        <v>24</v>
      </c>
      <c r="H685">
        <v>3</v>
      </c>
      <c r="I685">
        <v>24</v>
      </c>
      <c r="J685">
        <v>58.09</v>
      </c>
      <c r="K685">
        <v>62</v>
      </c>
      <c r="L685">
        <v>1394.16</v>
      </c>
      <c r="M685">
        <v>-93.84</v>
      </c>
      <c r="N685" s="1">
        <v>38106</v>
      </c>
      <c r="O685" t="s">
        <v>25</v>
      </c>
      <c r="P685">
        <v>2</v>
      </c>
      <c r="Q685">
        <v>4</v>
      </c>
      <c r="R685">
        <v>2004</v>
      </c>
      <c r="S685" t="s">
        <v>226</v>
      </c>
    </row>
    <row r="686" spans="1:19" x14ac:dyDescent="0.25">
      <c r="A686">
        <v>10257</v>
      </c>
      <c r="B686" t="s">
        <v>253</v>
      </c>
      <c r="C686" t="s">
        <v>162</v>
      </c>
      <c r="D686" t="s">
        <v>163</v>
      </c>
      <c r="E686" t="s">
        <v>22</v>
      </c>
      <c r="F686" t="s">
        <v>23</v>
      </c>
      <c r="G686" t="s">
        <v>24</v>
      </c>
      <c r="H686">
        <v>3</v>
      </c>
      <c r="I686">
        <v>49</v>
      </c>
      <c r="J686">
        <v>53.72</v>
      </c>
      <c r="K686">
        <v>62</v>
      </c>
      <c r="L686">
        <v>2632.28</v>
      </c>
      <c r="M686">
        <v>-405.72</v>
      </c>
      <c r="N686" s="1">
        <v>38152</v>
      </c>
      <c r="O686" t="s">
        <v>25</v>
      </c>
      <c r="P686">
        <v>2</v>
      </c>
      <c r="Q686">
        <v>6</v>
      </c>
      <c r="R686">
        <v>2004</v>
      </c>
      <c r="S686" t="s">
        <v>226</v>
      </c>
    </row>
    <row r="687" spans="1:19" x14ac:dyDescent="0.25">
      <c r="A687">
        <v>10392</v>
      </c>
      <c r="B687" t="s">
        <v>253</v>
      </c>
      <c r="C687" t="s">
        <v>167</v>
      </c>
      <c r="D687" t="s">
        <v>168</v>
      </c>
      <c r="E687" t="s">
        <v>69</v>
      </c>
      <c r="F687" t="s">
        <v>30</v>
      </c>
      <c r="G687" t="s">
        <v>24</v>
      </c>
      <c r="H687">
        <v>3</v>
      </c>
      <c r="I687">
        <v>37</v>
      </c>
      <c r="J687">
        <v>59.96</v>
      </c>
      <c r="K687">
        <v>62</v>
      </c>
      <c r="L687">
        <v>2218.52</v>
      </c>
      <c r="M687">
        <v>-75.48</v>
      </c>
      <c r="N687" s="1">
        <v>38421</v>
      </c>
      <c r="O687" t="s">
        <v>25</v>
      </c>
      <c r="P687">
        <v>1</v>
      </c>
      <c r="Q687">
        <v>3</v>
      </c>
      <c r="R687">
        <v>2005</v>
      </c>
      <c r="S687" t="s">
        <v>226</v>
      </c>
    </row>
    <row r="688" spans="1:19" x14ac:dyDescent="0.25">
      <c r="A688">
        <v>10423</v>
      </c>
      <c r="B688" t="s">
        <v>253</v>
      </c>
      <c r="C688" t="s">
        <v>151</v>
      </c>
      <c r="D688" t="s">
        <v>152</v>
      </c>
      <c r="E688" t="s">
        <v>153</v>
      </c>
      <c r="F688" t="s">
        <v>30</v>
      </c>
      <c r="G688" t="s">
        <v>24</v>
      </c>
      <c r="H688">
        <v>3</v>
      </c>
      <c r="I688">
        <v>31</v>
      </c>
      <c r="J688">
        <v>53.72</v>
      </c>
      <c r="K688">
        <v>62</v>
      </c>
      <c r="L688">
        <v>1665.32</v>
      </c>
      <c r="M688">
        <v>-256.68</v>
      </c>
      <c r="N688" s="1">
        <v>38502</v>
      </c>
      <c r="O688" t="s">
        <v>125</v>
      </c>
      <c r="P688">
        <v>2</v>
      </c>
      <c r="Q688">
        <v>5</v>
      </c>
      <c r="R688">
        <v>2005</v>
      </c>
      <c r="S688" t="s">
        <v>226</v>
      </c>
    </row>
    <row r="689" spans="1:19" x14ac:dyDescent="0.25">
      <c r="A689">
        <v>10338</v>
      </c>
      <c r="B689" t="s">
        <v>254</v>
      </c>
      <c r="C689" t="s">
        <v>238</v>
      </c>
      <c r="D689" t="s">
        <v>239</v>
      </c>
      <c r="E689" t="s">
        <v>153</v>
      </c>
      <c r="F689" t="s">
        <v>30</v>
      </c>
      <c r="G689" t="s">
        <v>24</v>
      </c>
      <c r="H689">
        <v>3</v>
      </c>
      <c r="I689">
        <v>28</v>
      </c>
      <c r="J689">
        <v>82.58</v>
      </c>
      <c r="K689">
        <v>86</v>
      </c>
      <c r="L689">
        <v>2312.2399999999998</v>
      </c>
      <c r="M689">
        <v>-95.76</v>
      </c>
      <c r="N689" s="1">
        <v>38313</v>
      </c>
      <c r="O689" t="s">
        <v>25</v>
      </c>
      <c r="P689">
        <v>4</v>
      </c>
      <c r="Q689">
        <v>11</v>
      </c>
      <c r="R689">
        <v>2004</v>
      </c>
      <c r="S689" t="s">
        <v>255</v>
      </c>
    </row>
    <row r="690" spans="1:19" x14ac:dyDescent="0.25">
      <c r="A690">
        <v>10163</v>
      </c>
      <c r="B690" t="s">
        <v>257</v>
      </c>
      <c r="C690" t="s">
        <v>90</v>
      </c>
      <c r="D690" t="s">
        <v>21</v>
      </c>
      <c r="E690" t="s">
        <v>22</v>
      </c>
      <c r="F690" t="s">
        <v>23</v>
      </c>
      <c r="G690" t="s">
        <v>33</v>
      </c>
      <c r="H690">
        <v>3</v>
      </c>
      <c r="I690">
        <v>40</v>
      </c>
      <c r="J690">
        <v>100</v>
      </c>
      <c r="K690">
        <v>104</v>
      </c>
      <c r="L690">
        <v>4900.8</v>
      </c>
      <c r="M690">
        <v>740.8</v>
      </c>
      <c r="N690" s="1">
        <v>37914</v>
      </c>
      <c r="O690" t="s">
        <v>25</v>
      </c>
      <c r="P690">
        <v>4</v>
      </c>
      <c r="Q690">
        <v>10</v>
      </c>
      <c r="R690">
        <v>2003</v>
      </c>
      <c r="S690" t="s">
        <v>226</v>
      </c>
    </row>
    <row r="691" spans="1:19" x14ac:dyDescent="0.25">
      <c r="A691">
        <v>10221</v>
      </c>
      <c r="B691" t="s">
        <v>258</v>
      </c>
      <c r="C691" t="s">
        <v>151</v>
      </c>
      <c r="D691" t="s">
        <v>152</v>
      </c>
      <c r="E691" t="s">
        <v>153</v>
      </c>
      <c r="F691" t="s">
        <v>30</v>
      </c>
      <c r="G691" t="s">
        <v>33</v>
      </c>
      <c r="H691">
        <v>3</v>
      </c>
      <c r="I691">
        <v>33</v>
      </c>
      <c r="J691">
        <v>100</v>
      </c>
      <c r="K691">
        <v>136</v>
      </c>
      <c r="L691">
        <v>4417.38</v>
      </c>
      <c r="M691">
        <v>-70.62</v>
      </c>
      <c r="N691" s="1">
        <v>38035</v>
      </c>
      <c r="O691" t="s">
        <v>25</v>
      </c>
      <c r="P691">
        <v>1</v>
      </c>
      <c r="Q691">
        <v>2</v>
      </c>
      <c r="R691">
        <v>2004</v>
      </c>
      <c r="S691" t="s">
        <v>226</v>
      </c>
    </row>
    <row r="692" spans="1:19" x14ac:dyDescent="0.25">
      <c r="A692">
        <v>10372</v>
      </c>
      <c r="B692" t="s">
        <v>258</v>
      </c>
      <c r="C692" t="s">
        <v>105</v>
      </c>
      <c r="D692" t="s">
        <v>106</v>
      </c>
      <c r="E692" t="s">
        <v>107</v>
      </c>
      <c r="F692" t="s">
        <v>50</v>
      </c>
      <c r="G692" t="s">
        <v>33</v>
      </c>
      <c r="H692">
        <v>3</v>
      </c>
      <c r="I692">
        <v>28</v>
      </c>
      <c r="J692">
        <v>100</v>
      </c>
      <c r="K692">
        <v>136</v>
      </c>
      <c r="L692">
        <v>3862.88</v>
      </c>
      <c r="M692">
        <v>54.88</v>
      </c>
      <c r="N692" s="1">
        <v>38378</v>
      </c>
      <c r="O692" t="s">
        <v>25</v>
      </c>
      <c r="P692">
        <v>1</v>
      </c>
      <c r="Q692">
        <v>1</v>
      </c>
      <c r="R692">
        <v>2005</v>
      </c>
      <c r="S692" t="s">
        <v>226</v>
      </c>
    </row>
    <row r="693" spans="1:19" x14ac:dyDescent="0.25">
      <c r="A693">
        <v>10122</v>
      </c>
      <c r="B693" t="s">
        <v>259</v>
      </c>
      <c r="C693" t="s">
        <v>176</v>
      </c>
      <c r="D693" t="s">
        <v>177</v>
      </c>
      <c r="E693" t="s">
        <v>29</v>
      </c>
      <c r="F693" t="s">
        <v>30</v>
      </c>
      <c r="G693" t="s">
        <v>33</v>
      </c>
      <c r="H693">
        <v>3</v>
      </c>
      <c r="I693">
        <v>25</v>
      </c>
      <c r="J693">
        <v>100</v>
      </c>
      <c r="K693">
        <v>169</v>
      </c>
      <c r="L693">
        <v>3598.5</v>
      </c>
      <c r="M693">
        <v>-626.5</v>
      </c>
      <c r="N693" s="1">
        <v>37749</v>
      </c>
      <c r="O693" t="s">
        <v>25</v>
      </c>
      <c r="P693">
        <v>2</v>
      </c>
      <c r="Q693">
        <v>5</v>
      </c>
      <c r="R693">
        <v>2003</v>
      </c>
      <c r="S693" t="s">
        <v>83</v>
      </c>
    </row>
    <row r="694" spans="1:19" x14ac:dyDescent="0.25">
      <c r="A694">
        <v>10136</v>
      </c>
      <c r="B694" t="s">
        <v>259</v>
      </c>
      <c r="C694" t="s">
        <v>142</v>
      </c>
      <c r="D694" t="s">
        <v>143</v>
      </c>
      <c r="E694" t="s">
        <v>29</v>
      </c>
      <c r="F694" t="s">
        <v>30</v>
      </c>
      <c r="G694" t="s">
        <v>70</v>
      </c>
      <c r="H694">
        <v>3</v>
      </c>
      <c r="I694">
        <v>41</v>
      </c>
      <c r="J694">
        <v>100</v>
      </c>
      <c r="K694">
        <v>169</v>
      </c>
      <c r="L694">
        <v>8331.61</v>
      </c>
      <c r="M694">
        <v>1402.61</v>
      </c>
      <c r="N694" s="1">
        <v>37806</v>
      </c>
      <c r="O694" t="s">
        <v>25</v>
      </c>
      <c r="P694">
        <v>3</v>
      </c>
      <c r="Q694">
        <v>7</v>
      </c>
      <c r="R694">
        <v>2003</v>
      </c>
      <c r="S694" t="s">
        <v>83</v>
      </c>
    </row>
    <row r="695" spans="1:19" x14ac:dyDescent="0.25">
      <c r="A695">
        <v>10171</v>
      </c>
      <c r="B695" t="s">
        <v>259</v>
      </c>
      <c r="C695" t="s">
        <v>123</v>
      </c>
      <c r="D695" t="s">
        <v>124</v>
      </c>
      <c r="E695" t="s">
        <v>99</v>
      </c>
      <c r="F695" t="s">
        <v>23</v>
      </c>
      <c r="G695" t="s">
        <v>33</v>
      </c>
      <c r="H695">
        <v>3</v>
      </c>
      <c r="I695">
        <v>39</v>
      </c>
      <c r="J695">
        <v>100</v>
      </c>
      <c r="K695">
        <v>169</v>
      </c>
      <c r="L695">
        <v>5481.45</v>
      </c>
      <c r="M695">
        <v>-1109.55</v>
      </c>
      <c r="N695" s="1">
        <v>37930</v>
      </c>
      <c r="O695" t="s">
        <v>25</v>
      </c>
      <c r="P695">
        <v>4</v>
      </c>
      <c r="Q695">
        <v>11</v>
      </c>
      <c r="R695">
        <v>2003</v>
      </c>
      <c r="S695" t="s">
        <v>83</v>
      </c>
    </row>
    <row r="696" spans="1:19" x14ac:dyDescent="0.25">
      <c r="A696">
        <v>10310</v>
      </c>
      <c r="B696" t="s">
        <v>259</v>
      </c>
      <c r="C696" t="s">
        <v>178</v>
      </c>
      <c r="D696" t="s">
        <v>179</v>
      </c>
      <c r="E696" t="s">
        <v>180</v>
      </c>
      <c r="F696" t="s">
        <v>30</v>
      </c>
      <c r="G696" t="s">
        <v>70</v>
      </c>
      <c r="H696">
        <v>3</v>
      </c>
      <c r="I696">
        <v>48</v>
      </c>
      <c r="J696">
        <v>100</v>
      </c>
      <c r="K696">
        <v>169</v>
      </c>
      <c r="L696">
        <v>8940.9599999999991</v>
      </c>
      <c r="M696">
        <v>828.96</v>
      </c>
      <c r="N696" s="1">
        <v>38276</v>
      </c>
      <c r="O696" t="s">
        <v>25</v>
      </c>
      <c r="P696">
        <v>4</v>
      </c>
      <c r="Q696">
        <v>10</v>
      </c>
      <c r="R696">
        <v>2004</v>
      </c>
      <c r="S696" t="s">
        <v>83</v>
      </c>
    </row>
    <row r="697" spans="1:19" x14ac:dyDescent="0.25">
      <c r="A697">
        <v>10313</v>
      </c>
      <c r="B697" t="s">
        <v>259</v>
      </c>
      <c r="C697" t="s">
        <v>97</v>
      </c>
      <c r="D697" t="s">
        <v>98</v>
      </c>
      <c r="E697" t="s">
        <v>99</v>
      </c>
      <c r="F697" t="s">
        <v>23</v>
      </c>
      <c r="G697" t="s">
        <v>33</v>
      </c>
      <c r="H697">
        <v>3</v>
      </c>
      <c r="I697">
        <v>25</v>
      </c>
      <c r="J697">
        <v>100</v>
      </c>
      <c r="K697">
        <v>169</v>
      </c>
      <c r="L697">
        <v>4572.25</v>
      </c>
      <c r="M697">
        <v>347.25</v>
      </c>
      <c r="N697" s="1">
        <v>38282</v>
      </c>
      <c r="O697" t="s">
        <v>25</v>
      </c>
      <c r="P697">
        <v>4</v>
      </c>
      <c r="Q697">
        <v>10</v>
      </c>
      <c r="R697">
        <v>2004</v>
      </c>
      <c r="S697" t="s">
        <v>83</v>
      </c>
    </row>
    <row r="698" spans="1:19" x14ac:dyDescent="0.25">
      <c r="A698">
        <v>10334</v>
      </c>
      <c r="B698" t="s">
        <v>259</v>
      </c>
      <c r="C698" t="s">
        <v>84</v>
      </c>
      <c r="D698" t="s">
        <v>85</v>
      </c>
      <c r="E698" t="s">
        <v>86</v>
      </c>
      <c r="F698" t="s">
        <v>30</v>
      </c>
      <c r="G698" t="s">
        <v>24</v>
      </c>
      <c r="H698">
        <v>3</v>
      </c>
      <c r="I698">
        <v>20</v>
      </c>
      <c r="J698">
        <v>100</v>
      </c>
      <c r="K698">
        <v>169</v>
      </c>
      <c r="L698">
        <v>2878.8</v>
      </c>
      <c r="M698">
        <v>-501.2</v>
      </c>
      <c r="N698" s="1">
        <v>38310</v>
      </c>
      <c r="O698" t="s">
        <v>164</v>
      </c>
      <c r="P698">
        <v>4</v>
      </c>
      <c r="Q698">
        <v>11</v>
      </c>
      <c r="R698">
        <v>2004</v>
      </c>
      <c r="S698" t="s">
        <v>83</v>
      </c>
    </row>
    <row r="699" spans="1:19" x14ac:dyDescent="0.25">
      <c r="A699">
        <v>10377</v>
      </c>
      <c r="B699" t="s">
        <v>259</v>
      </c>
      <c r="C699" t="s">
        <v>60</v>
      </c>
      <c r="D699" t="s">
        <v>61</v>
      </c>
      <c r="E699" t="s">
        <v>62</v>
      </c>
      <c r="F699" t="s">
        <v>30</v>
      </c>
      <c r="G699" t="s">
        <v>70</v>
      </c>
      <c r="H699">
        <v>3</v>
      </c>
      <c r="I699">
        <v>39</v>
      </c>
      <c r="J699">
        <v>100</v>
      </c>
      <c r="K699">
        <v>169</v>
      </c>
      <c r="L699">
        <v>7264.53</v>
      </c>
      <c r="M699">
        <v>673.53</v>
      </c>
      <c r="N699" s="1">
        <v>38392</v>
      </c>
      <c r="O699" t="s">
        <v>25</v>
      </c>
      <c r="P699">
        <v>1</v>
      </c>
      <c r="Q699">
        <v>2</v>
      </c>
      <c r="R699">
        <v>2005</v>
      </c>
      <c r="S699" t="s">
        <v>83</v>
      </c>
    </row>
    <row r="700" spans="1:19" x14ac:dyDescent="0.25">
      <c r="A700">
        <v>10196</v>
      </c>
      <c r="B700" t="s">
        <v>260</v>
      </c>
      <c r="C700" t="s">
        <v>103</v>
      </c>
      <c r="D700" t="s">
        <v>104</v>
      </c>
      <c r="E700" t="s">
        <v>22</v>
      </c>
      <c r="F700" t="s">
        <v>23</v>
      </c>
      <c r="G700" t="s">
        <v>33</v>
      </c>
      <c r="H700">
        <v>3</v>
      </c>
      <c r="I700">
        <v>35</v>
      </c>
      <c r="J700">
        <v>100</v>
      </c>
      <c r="K700">
        <v>100</v>
      </c>
      <c r="L700">
        <v>3564.75</v>
      </c>
      <c r="M700">
        <v>64.75</v>
      </c>
      <c r="N700" s="1">
        <v>37951</v>
      </c>
      <c r="O700" t="s">
        <v>25</v>
      </c>
      <c r="P700">
        <v>4</v>
      </c>
      <c r="Q700">
        <v>11</v>
      </c>
      <c r="R700">
        <v>2003</v>
      </c>
      <c r="S700" t="s">
        <v>261</v>
      </c>
    </row>
    <row r="701" spans="1:19" x14ac:dyDescent="0.25">
      <c r="A701">
        <v>10282</v>
      </c>
      <c r="B701" t="s">
        <v>260</v>
      </c>
      <c r="C701" t="s">
        <v>115</v>
      </c>
      <c r="D701" t="s">
        <v>116</v>
      </c>
      <c r="E701" t="s">
        <v>22</v>
      </c>
      <c r="F701" t="s">
        <v>23</v>
      </c>
      <c r="G701" t="s">
        <v>33</v>
      </c>
      <c r="H701">
        <v>3</v>
      </c>
      <c r="I701">
        <v>36</v>
      </c>
      <c r="J701">
        <v>100</v>
      </c>
      <c r="K701">
        <v>100</v>
      </c>
      <c r="L701">
        <v>4174.92</v>
      </c>
      <c r="M701">
        <v>574.91999999999996</v>
      </c>
      <c r="N701" s="1">
        <v>38219</v>
      </c>
      <c r="O701" t="s">
        <v>25</v>
      </c>
      <c r="P701">
        <v>3</v>
      </c>
      <c r="Q701">
        <v>8</v>
      </c>
      <c r="R701">
        <v>2004</v>
      </c>
      <c r="S701" t="s">
        <v>261</v>
      </c>
    </row>
    <row r="702" spans="1:19" x14ac:dyDescent="0.25">
      <c r="A702">
        <v>10314</v>
      </c>
      <c r="B702" t="s">
        <v>260</v>
      </c>
      <c r="C702" t="s">
        <v>199</v>
      </c>
      <c r="D702" t="s">
        <v>200</v>
      </c>
      <c r="E702" t="s">
        <v>137</v>
      </c>
      <c r="F702" t="s">
        <v>30</v>
      </c>
      <c r="G702" t="s">
        <v>24</v>
      </c>
      <c r="H702">
        <v>3</v>
      </c>
      <c r="I702">
        <v>23</v>
      </c>
      <c r="J702">
        <v>100</v>
      </c>
      <c r="K702">
        <v>100</v>
      </c>
      <c r="L702">
        <v>2481.6999999999998</v>
      </c>
      <c r="M702">
        <v>181.7</v>
      </c>
      <c r="N702" s="1">
        <v>38282</v>
      </c>
      <c r="O702" t="s">
        <v>25</v>
      </c>
      <c r="P702">
        <v>4</v>
      </c>
      <c r="Q702">
        <v>10</v>
      </c>
      <c r="R702">
        <v>2004</v>
      </c>
      <c r="S702" t="s">
        <v>261</v>
      </c>
    </row>
    <row r="703" spans="1:19" x14ac:dyDescent="0.25">
      <c r="A703">
        <v>10357</v>
      </c>
      <c r="B703" t="s">
        <v>263</v>
      </c>
      <c r="C703" t="s">
        <v>115</v>
      </c>
      <c r="D703" t="s">
        <v>116</v>
      </c>
      <c r="E703" t="s">
        <v>22</v>
      </c>
      <c r="F703" t="s">
        <v>23</v>
      </c>
      <c r="G703" t="s">
        <v>24</v>
      </c>
      <c r="H703">
        <v>3</v>
      </c>
      <c r="I703">
        <v>25</v>
      </c>
      <c r="J703">
        <v>100</v>
      </c>
      <c r="K703">
        <v>99</v>
      </c>
      <c r="L703">
        <v>2604.25</v>
      </c>
      <c r="M703">
        <v>129.25</v>
      </c>
      <c r="N703" s="1">
        <v>38331</v>
      </c>
      <c r="O703" t="s">
        <v>25</v>
      </c>
      <c r="P703">
        <v>4</v>
      </c>
      <c r="Q703">
        <v>12</v>
      </c>
      <c r="R703">
        <v>2004</v>
      </c>
      <c r="S703" t="s">
        <v>226</v>
      </c>
    </row>
    <row r="704" spans="1:19" x14ac:dyDescent="0.25">
      <c r="A704">
        <v>10330</v>
      </c>
      <c r="B704" t="s">
        <v>264</v>
      </c>
      <c r="C704" t="s">
        <v>173</v>
      </c>
      <c r="D704" t="s">
        <v>174</v>
      </c>
      <c r="E704" t="s">
        <v>175</v>
      </c>
      <c r="F704" t="s">
        <v>50</v>
      </c>
      <c r="G704" t="s">
        <v>33</v>
      </c>
      <c r="H704">
        <v>3</v>
      </c>
      <c r="I704">
        <v>37</v>
      </c>
      <c r="J704">
        <v>100</v>
      </c>
      <c r="K704">
        <v>146</v>
      </c>
      <c r="L704">
        <v>4405.22</v>
      </c>
      <c r="M704">
        <v>-996.78</v>
      </c>
      <c r="N704" s="1">
        <v>38307</v>
      </c>
      <c r="O704" t="s">
        <v>25</v>
      </c>
      <c r="P704">
        <v>4</v>
      </c>
      <c r="Q704">
        <v>11</v>
      </c>
      <c r="R704">
        <v>2004</v>
      </c>
      <c r="S704" t="s">
        <v>83</v>
      </c>
    </row>
    <row r="705" spans="1:19" x14ac:dyDescent="0.25">
      <c r="A705">
        <v>10253</v>
      </c>
      <c r="B705" t="s">
        <v>265</v>
      </c>
      <c r="C705" t="s">
        <v>75</v>
      </c>
      <c r="D705" t="s">
        <v>76</v>
      </c>
      <c r="E705" t="s">
        <v>77</v>
      </c>
      <c r="F705" t="s">
        <v>30</v>
      </c>
      <c r="G705" t="s">
        <v>33</v>
      </c>
      <c r="H705">
        <v>3</v>
      </c>
      <c r="I705">
        <v>31</v>
      </c>
      <c r="J705">
        <v>100</v>
      </c>
      <c r="K705">
        <v>141</v>
      </c>
      <c r="L705">
        <v>4029.38</v>
      </c>
      <c r="M705">
        <v>-341.62</v>
      </c>
      <c r="N705" s="1">
        <v>38139</v>
      </c>
      <c r="O705" t="s">
        <v>141</v>
      </c>
      <c r="P705">
        <v>2</v>
      </c>
      <c r="Q705">
        <v>6</v>
      </c>
      <c r="R705">
        <v>2004</v>
      </c>
      <c r="S705" t="s">
        <v>83</v>
      </c>
    </row>
    <row r="706" spans="1:19" x14ac:dyDescent="0.25">
      <c r="A706">
        <v>10419</v>
      </c>
      <c r="B706" t="s">
        <v>265</v>
      </c>
      <c r="C706" t="s">
        <v>67</v>
      </c>
      <c r="D706" t="s">
        <v>68</v>
      </c>
      <c r="E706" t="s">
        <v>69</v>
      </c>
      <c r="F706" t="s">
        <v>30</v>
      </c>
      <c r="G706" t="s">
        <v>33</v>
      </c>
      <c r="H706">
        <v>3</v>
      </c>
      <c r="I706">
        <v>43</v>
      </c>
      <c r="J706">
        <v>100</v>
      </c>
      <c r="K706">
        <v>141</v>
      </c>
      <c r="L706">
        <v>5589.14</v>
      </c>
      <c r="M706">
        <v>-473.86</v>
      </c>
      <c r="N706" s="1">
        <v>38489</v>
      </c>
      <c r="O706" t="s">
        <v>25</v>
      </c>
      <c r="P706">
        <v>2</v>
      </c>
      <c r="Q706">
        <v>5</v>
      </c>
      <c r="R706">
        <v>2005</v>
      </c>
      <c r="S706" t="s">
        <v>83</v>
      </c>
    </row>
    <row r="707" spans="1:19" x14ac:dyDescent="0.25">
      <c r="A707">
        <v>10180</v>
      </c>
      <c r="B707" t="s">
        <v>266</v>
      </c>
      <c r="C707" t="s">
        <v>40</v>
      </c>
      <c r="D707" t="s">
        <v>41</v>
      </c>
      <c r="E707" t="s">
        <v>29</v>
      </c>
      <c r="F707" t="s">
        <v>30</v>
      </c>
      <c r="G707" t="s">
        <v>24</v>
      </c>
      <c r="H707">
        <v>3</v>
      </c>
      <c r="I707">
        <v>21</v>
      </c>
      <c r="J707">
        <v>50.36</v>
      </c>
      <c r="K707">
        <v>62</v>
      </c>
      <c r="L707">
        <v>1057.56</v>
      </c>
      <c r="M707">
        <v>-244.44</v>
      </c>
      <c r="N707" s="1">
        <v>37936</v>
      </c>
      <c r="O707" t="s">
        <v>25</v>
      </c>
      <c r="P707">
        <v>4</v>
      </c>
      <c r="Q707">
        <v>11</v>
      </c>
      <c r="R707">
        <v>2003</v>
      </c>
      <c r="S707" t="s">
        <v>26</v>
      </c>
    </row>
    <row r="708" spans="1:19" x14ac:dyDescent="0.25">
      <c r="A708">
        <v>10264</v>
      </c>
      <c r="B708" t="s">
        <v>266</v>
      </c>
      <c r="C708" t="s">
        <v>156</v>
      </c>
      <c r="D708" t="s">
        <v>157</v>
      </c>
      <c r="E708" t="s">
        <v>22</v>
      </c>
      <c r="F708" t="s">
        <v>23</v>
      </c>
      <c r="G708" t="s">
        <v>24</v>
      </c>
      <c r="H708">
        <v>3</v>
      </c>
      <c r="I708">
        <v>48</v>
      </c>
      <c r="J708">
        <v>54.71</v>
      </c>
      <c r="K708">
        <v>62</v>
      </c>
      <c r="L708">
        <v>2626.08</v>
      </c>
      <c r="M708">
        <v>-349.92</v>
      </c>
      <c r="N708" s="1">
        <v>38168</v>
      </c>
      <c r="O708" t="s">
        <v>25</v>
      </c>
      <c r="P708">
        <v>2</v>
      </c>
      <c r="Q708">
        <v>6</v>
      </c>
      <c r="R708">
        <v>2004</v>
      </c>
      <c r="S708" t="s">
        <v>26</v>
      </c>
    </row>
    <row r="709" spans="1:19" x14ac:dyDescent="0.25">
      <c r="A709">
        <v>10299</v>
      </c>
      <c r="B709" t="s">
        <v>266</v>
      </c>
      <c r="C709" t="s">
        <v>60</v>
      </c>
      <c r="D709" t="s">
        <v>61</v>
      </c>
      <c r="E709" t="s">
        <v>62</v>
      </c>
      <c r="F709" t="s">
        <v>30</v>
      </c>
      <c r="G709" t="s">
        <v>24</v>
      </c>
      <c r="H709">
        <v>3</v>
      </c>
      <c r="I709">
        <v>39</v>
      </c>
      <c r="J709">
        <v>55.95</v>
      </c>
      <c r="K709">
        <v>62</v>
      </c>
      <c r="L709">
        <v>2182.0500000000002</v>
      </c>
      <c r="M709">
        <v>-235.95</v>
      </c>
      <c r="N709" s="1">
        <v>38260</v>
      </c>
      <c r="O709" t="s">
        <v>25</v>
      </c>
      <c r="P709">
        <v>3</v>
      </c>
      <c r="Q709">
        <v>9</v>
      </c>
      <c r="R709">
        <v>2004</v>
      </c>
      <c r="S709" t="s">
        <v>26</v>
      </c>
    </row>
    <row r="710" spans="1:19" x14ac:dyDescent="0.25">
      <c r="A710">
        <v>10197</v>
      </c>
      <c r="B710" t="s">
        <v>267</v>
      </c>
      <c r="C710" t="s">
        <v>145</v>
      </c>
      <c r="D710" t="s">
        <v>146</v>
      </c>
      <c r="E710" t="s">
        <v>80</v>
      </c>
      <c r="F710" t="s">
        <v>30</v>
      </c>
      <c r="G710" t="s">
        <v>24</v>
      </c>
      <c r="H710">
        <v>3</v>
      </c>
      <c r="I710">
        <v>22</v>
      </c>
      <c r="J710">
        <v>100</v>
      </c>
      <c r="K710">
        <v>105</v>
      </c>
      <c r="L710">
        <v>2538.8000000000002</v>
      </c>
      <c r="M710">
        <v>228.8</v>
      </c>
      <c r="N710" s="1">
        <v>37951</v>
      </c>
      <c r="O710" t="s">
        <v>25</v>
      </c>
      <c r="P710">
        <v>4</v>
      </c>
      <c r="Q710">
        <v>11</v>
      </c>
      <c r="R710">
        <v>2003</v>
      </c>
      <c r="S710" t="s">
        <v>226</v>
      </c>
    </row>
    <row r="711" spans="1:19" x14ac:dyDescent="0.25">
      <c r="A711">
        <v>10283</v>
      </c>
      <c r="B711" t="s">
        <v>267</v>
      </c>
      <c r="C711" t="s">
        <v>154</v>
      </c>
      <c r="D711" t="s">
        <v>155</v>
      </c>
      <c r="E711" t="s">
        <v>99</v>
      </c>
      <c r="F711" t="s">
        <v>23</v>
      </c>
      <c r="G711" t="s">
        <v>33</v>
      </c>
      <c r="H711">
        <v>3</v>
      </c>
      <c r="I711">
        <v>46</v>
      </c>
      <c r="J711">
        <v>100</v>
      </c>
      <c r="K711">
        <v>105</v>
      </c>
      <c r="L711">
        <v>5795.54</v>
      </c>
      <c r="M711">
        <v>965.54</v>
      </c>
      <c r="N711" s="1">
        <v>38219</v>
      </c>
      <c r="O711" t="s">
        <v>25</v>
      </c>
      <c r="P711">
        <v>3</v>
      </c>
      <c r="Q711">
        <v>8</v>
      </c>
      <c r="R711">
        <v>2004</v>
      </c>
      <c r="S711" t="s">
        <v>226</v>
      </c>
    </row>
    <row r="712" spans="1:19" x14ac:dyDescent="0.25">
      <c r="A712">
        <v>10104</v>
      </c>
      <c r="B712" t="s">
        <v>268</v>
      </c>
      <c r="C712" t="s">
        <v>78</v>
      </c>
      <c r="D712" t="s">
        <v>79</v>
      </c>
      <c r="E712" t="s">
        <v>80</v>
      </c>
      <c r="F712" t="s">
        <v>30</v>
      </c>
      <c r="G712" t="s">
        <v>33</v>
      </c>
      <c r="H712">
        <v>3</v>
      </c>
      <c r="I712">
        <v>38</v>
      </c>
      <c r="J712">
        <v>100</v>
      </c>
      <c r="K712">
        <v>143</v>
      </c>
      <c r="L712">
        <v>5348.5</v>
      </c>
      <c r="M712">
        <v>-85.5</v>
      </c>
      <c r="N712" s="1">
        <v>37652</v>
      </c>
      <c r="O712" t="s">
        <v>25</v>
      </c>
      <c r="P712">
        <v>1</v>
      </c>
      <c r="Q712">
        <v>1</v>
      </c>
      <c r="R712">
        <v>2003</v>
      </c>
      <c r="S712" t="s">
        <v>83</v>
      </c>
    </row>
    <row r="713" spans="1:19" x14ac:dyDescent="0.25">
      <c r="A713">
        <v>10230</v>
      </c>
      <c r="B713" t="s">
        <v>268</v>
      </c>
      <c r="C713" t="s">
        <v>187</v>
      </c>
      <c r="D713" t="s">
        <v>188</v>
      </c>
      <c r="E713" t="s">
        <v>180</v>
      </c>
      <c r="F713" t="s">
        <v>30</v>
      </c>
      <c r="G713" t="s">
        <v>70</v>
      </c>
      <c r="H713">
        <v>3</v>
      </c>
      <c r="I713">
        <v>42</v>
      </c>
      <c r="J713">
        <v>100</v>
      </c>
      <c r="K713">
        <v>143</v>
      </c>
      <c r="L713">
        <v>7238.28</v>
      </c>
      <c r="M713">
        <v>1232.28</v>
      </c>
      <c r="N713" s="1">
        <v>38061</v>
      </c>
      <c r="O713" t="s">
        <v>25</v>
      </c>
      <c r="P713">
        <v>1</v>
      </c>
      <c r="Q713">
        <v>3</v>
      </c>
      <c r="R713">
        <v>2004</v>
      </c>
      <c r="S713" t="s">
        <v>83</v>
      </c>
    </row>
    <row r="714" spans="1:19" x14ac:dyDescent="0.25">
      <c r="A714">
        <v>10337</v>
      </c>
      <c r="B714" t="s">
        <v>268</v>
      </c>
      <c r="C714" t="s">
        <v>90</v>
      </c>
      <c r="D714" t="s">
        <v>21</v>
      </c>
      <c r="E714" t="s">
        <v>22</v>
      </c>
      <c r="F714" t="s">
        <v>23</v>
      </c>
      <c r="G714" t="s">
        <v>33</v>
      </c>
      <c r="H714">
        <v>3</v>
      </c>
      <c r="I714">
        <v>36</v>
      </c>
      <c r="J714">
        <v>100</v>
      </c>
      <c r="K714">
        <v>143</v>
      </c>
      <c r="L714">
        <v>5679.36</v>
      </c>
      <c r="M714">
        <v>531.36</v>
      </c>
      <c r="N714" s="1">
        <v>38312</v>
      </c>
      <c r="O714" t="s">
        <v>25</v>
      </c>
      <c r="P714">
        <v>4</v>
      </c>
      <c r="Q714">
        <v>11</v>
      </c>
      <c r="R714">
        <v>2004</v>
      </c>
      <c r="S714" t="s">
        <v>83</v>
      </c>
    </row>
    <row r="715" spans="1:19" x14ac:dyDescent="0.25">
      <c r="A715">
        <v>10241</v>
      </c>
      <c r="B715" t="s">
        <v>269</v>
      </c>
      <c r="C715" t="s">
        <v>217</v>
      </c>
      <c r="D715" t="s">
        <v>218</v>
      </c>
      <c r="E715" t="s">
        <v>29</v>
      </c>
      <c r="F715" t="s">
        <v>30</v>
      </c>
      <c r="G715" t="s">
        <v>33</v>
      </c>
      <c r="H715">
        <v>3</v>
      </c>
      <c r="I715">
        <v>42</v>
      </c>
      <c r="J715">
        <v>90.19</v>
      </c>
      <c r="K715">
        <v>92</v>
      </c>
      <c r="L715">
        <v>3787.98</v>
      </c>
      <c r="M715">
        <v>-76.02</v>
      </c>
      <c r="N715" s="1">
        <v>38090</v>
      </c>
      <c r="O715" t="s">
        <v>25</v>
      </c>
      <c r="P715">
        <v>2</v>
      </c>
      <c r="Q715">
        <v>4</v>
      </c>
      <c r="R715">
        <v>2004</v>
      </c>
      <c r="S715" t="s">
        <v>226</v>
      </c>
    </row>
    <row r="716" spans="1:19" x14ac:dyDescent="0.25">
      <c r="A716">
        <v>10407</v>
      </c>
      <c r="B716" t="s">
        <v>269</v>
      </c>
      <c r="C716" t="s">
        <v>162</v>
      </c>
      <c r="D716" t="s">
        <v>163</v>
      </c>
      <c r="E716" t="s">
        <v>22</v>
      </c>
      <c r="F716" t="s">
        <v>23</v>
      </c>
      <c r="G716" t="s">
        <v>24</v>
      </c>
      <c r="H716">
        <v>3</v>
      </c>
      <c r="I716">
        <v>6</v>
      </c>
      <c r="J716">
        <v>90.19</v>
      </c>
      <c r="K716">
        <v>92</v>
      </c>
      <c r="L716">
        <v>541.14</v>
      </c>
      <c r="M716">
        <v>-10.86</v>
      </c>
      <c r="N716" s="1">
        <v>38464</v>
      </c>
      <c r="O716" t="s">
        <v>164</v>
      </c>
      <c r="P716">
        <v>2</v>
      </c>
      <c r="Q716">
        <v>4</v>
      </c>
      <c r="R716">
        <v>2005</v>
      </c>
      <c r="S716" t="s">
        <v>226</v>
      </c>
    </row>
    <row r="717" spans="1:19" x14ac:dyDescent="0.25">
      <c r="A717">
        <v>10293</v>
      </c>
      <c r="B717" t="s">
        <v>270</v>
      </c>
      <c r="C717" t="s">
        <v>108</v>
      </c>
      <c r="D717" t="s">
        <v>109</v>
      </c>
      <c r="E717" t="s">
        <v>110</v>
      </c>
      <c r="F717" t="s">
        <v>30</v>
      </c>
      <c r="G717" t="s">
        <v>33</v>
      </c>
      <c r="H717">
        <v>3</v>
      </c>
      <c r="I717">
        <v>49</v>
      </c>
      <c r="J717">
        <v>100</v>
      </c>
      <c r="K717">
        <v>87</v>
      </c>
      <c r="L717">
        <v>4946.0600000000004</v>
      </c>
      <c r="M717">
        <v>683.06</v>
      </c>
      <c r="N717" s="1">
        <v>38239</v>
      </c>
      <c r="O717" t="s">
        <v>25</v>
      </c>
      <c r="P717">
        <v>3</v>
      </c>
      <c r="Q717">
        <v>9</v>
      </c>
      <c r="R717">
        <v>2004</v>
      </c>
      <c r="S717" t="s">
        <v>226</v>
      </c>
    </row>
    <row r="718" spans="1:19" x14ac:dyDescent="0.25">
      <c r="A718">
        <v>10350</v>
      </c>
      <c r="B718" t="s">
        <v>270</v>
      </c>
      <c r="C718" t="s">
        <v>78</v>
      </c>
      <c r="D718" t="s">
        <v>79</v>
      </c>
      <c r="E718" t="s">
        <v>80</v>
      </c>
      <c r="F718" t="s">
        <v>30</v>
      </c>
      <c r="G718" t="s">
        <v>33</v>
      </c>
      <c r="H718">
        <v>3</v>
      </c>
      <c r="I718">
        <v>30</v>
      </c>
      <c r="J718">
        <v>100</v>
      </c>
      <c r="K718">
        <v>87</v>
      </c>
      <c r="L718">
        <v>3023.1</v>
      </c>
      <c r="M718">
        <v>413.1</v>
      </c>
      <c r="N718" s="1">
        <v>38323</v>
      </c>
      <c r="O718" t="s">
        <v>25</v>
      </c>
      <c r="P718">
        <v>4</v>
      </c>
      <c r="Q718">
        <v>12</v>
      </c>
      <c r="R718">
        <v>2004</v>
      </c>
      <c r="S718" t="s">
        <v>226</v>
      </c>
    </row>
    <row r="719" spans="1:19" x14ac:dyDescent="0.25">
      <c r="A719">
        <v>10164</v>
      </c>
      <c r="B719" t="s">
        <v>271</v>
      </c>
      <c r="C719" t="s">
        <v>167</v>
      </c>
      <c r="D719" t="s">
        <v>168</v>
      </c>
      <c r="E719" t="s">
        <v>69</v>
      </c>
      <c r="F719" t="s">
        <v>30</v>
      </c>
      <c r="G719" t="s">
        <v>33</v>
      </c>
      <c r="H719">
        <v>3</v>
      </c>
      <c r="I719">
        <v>45</v>
      </c>
      <c r="J719">
        <v>100</v>
      </c>
      <c r="K719">
        <v>121</v>
      </c>
      <c r="L719">
        <v>5012.55</v>
      </c>
      <c r="M719">
        <v>-432.45</v>
      </c>
      <c r="N719" s="1">
        <v>37915</v>
      </c>
      <c r="O719" t="s">
        <v>169</v>
      </c>
      <c r="P719">
        <v>4</v>
      </c>
      <c r="Q719">
        <v>10</v>
      </c>
      <c r="R719">
        <v>2003</v>
      </c>
      <c r="S719" t="s">
        <v>202</v>
      </c>
    </row>
    <row r="720" spans="1:19" x14ac:dyDescent="0.25">
      <c r="A720">
        <v>10245</v>
      </c>
      <c r="B720" t="s">
        <v>271</v>
      </c>
      <c r="C720" t="s">
        <v>103</v>
      </c>
      <c r="D720" t="s">
        <v>104</v>
      </c>
      <c r="E720" t="s">
        <v>22</v>
      </c>
      <c r="F720" t="s">
        <v>23</v>
      </c>
      <c r="G720" t="s">
        <v>24</v>
      </c>
      <c r="H720">
        <v>3</v>
      </c>
      <c r="I720">
        <v>21</v>
      </c>
      <c r="J720">
        <v>100</v>
      </c>
      <c r="K720">
        <v>121</v>
      </c>
      <c r="L720">
        <v>2390.2199999999998</v>
      </c>
      <c r="M720">
        <v>-150.78</v>
      </c>
      <c r="N720" s="1">
        <v>38111</v>
      </c>
      <c r="O720" t="s">
        <v>25</v>
      </c>
      <c r="P720">
        <v>2</v>
      </c>
      <c r="Q720">
        <v>5</v>
      </c>
      <c r="R720">
        <v>2004</v>
      </c>
      <c r="S720" t="s">
        <v>202</v>
      </c>
    </row>
    <row r="721" spans="1:19" x14ac:dyDescent="0.25">
      <c r="A721">
        <v>10270</v>
      </c>
      <c r="B721" t="s">
        <v>271</v>
      </c>
      <c r="C721" t="s">
        <v>71</v>
      </c>
      <c r="D721" t="s">
        <v>72</v>
      </c>
      <c r="E721" t="s">
        <v>49</v>
      </c>
      <c r="F721" t="s">
        <v>50</v>
      </c>
      <c r="G721" t="s">
        <v>33</v>
      </c>
      <c r="H721">
        <v>3</v>
      </c>
      <c r="I721">
        <v>38</v>
      </c>
      <c r="J721">
        <v>100</v>
      </c>
      <c r="K721">
        <v>121</v>
      </c>
      <c r="L721">
        <v>5383.08</v>
      </c>
      <c r="M721">
        <v>785.08</v>
      </c>
      <c r="N721" s="1">
        <v>38187</v>
      </c>
      <c r="O721" t="s">
        <v>25</v>
      </c>
      <c r="P721">
        <v>3</v>
      </c>
      <c r="Q721">
        <v>7</v>
      </c>
      <c r="R721">
        <v>2004</v>
      </c>
      <c r="S721" t="s">
        <v>202</v>
      </c>
    </row>
    <row r="722" spans="1:19" x14ac:dyDescent="0.25">
      <c r="A722">
        <v>10411</v>
      </c>
      <c r="B722" t="s">
        <v>271</v>
      </c>
      <c r="C722" t="s">
        <v>123</v>
      </c>
      <c r="D722" t="s">
        <v>124</v>
      </c>
      <c r="E722" t="s">
        <v>99</v>
      </c>
      <c r="F722" t="s">
        <v>23</v>
      </c>
      <c r="G722" t="s">
        <v>33</v>
      </c>
      <c r="H722">
        <v>3</v>
      </c>
      <c r="I722">
        <v>46</v>
      </c>
      <c r="J722">
        <v>100</v>
      </c>
      <c r="K722">
        <v>121</v>
      </c>
      <c r="L722">
        <v>5235.72</v>
      </c>
      <c r="M722">
        <v>-330.28</v>
      </c>
      <c r="N722" s="1">
        <v>38473</v>
      </c>
      <c r="O722" t="s">
        <v>25</v>
      </c>
      <c r="P722">
        <v>2</v>
      </c>
      <c r="Q722">
        <v>5</v>
      </c>
      <c r="R722">
        <v>2005</v>
      </c>
      <c r="S722" t="s">
        <v>202</v>
      </c>
    </row>
    <row r="723" spans="1:19" x14ac:dyDescent="0.25">
      <c r="A723">
        <v>10113</v>
      </c>
      <c r="B723" t="s">
        <v>272</v>
      </c>
      <c r="C723" t="s">
        <v>115</v>
      </c>
      <c r="D723" t="s">
        <v>116</v>
      </c>
      <c r="E723" t="s">
        <v>22</v>
      </c>
      <c r="F723" t="s">
        <v>23</v>
      </c>
      <c r="G723" t="s">
        <v>24</v>
      </c>
      <c r="H723">
        <v>3</v>
      </c>
      <c r="I723">
        <v>50</v>
      </c>
      <c r="J723">
        <v>49.81</v>
      </c>
      <c r="K723">
        <v>50</v>
      </c>
      <c r="L723">
        <v>2490.5</v>
      </c>
      <c r="M723">
        <v>-9.5</v>
      </c>
      <c r="N723" s="1">
        <v>37706</v>
      </c>
      <c r="O723" t="s">
        <v>25</v>
      </c>
      <c r="P723">
        <v>1</v>
      </c>
      <c r="Q723">
        <v>3</v>
      </c>
      <c r="R723">
        <v>2003</v>
      </c>
      <c r="S723" t="s">
        <v>226</v>
      </c>
    </row>
    <row r="724" spans="1:19" x14ac:dyDescent="0.25">
      <c r="A724">
        <v>10319</v>
      </c>
      <c r="B724" t="s">
        <v>273</v>
      </c>
      <c r="C724" t="s">
        <v>204</v>
      </c>
      <c r="D724" t="s">
        <v>21</v>
      </c>
      <c r="E724" t="s">
        <v>22</v>
      </c>
      <c r="F724" t="s">
        <v>23</v>
      </c>
      <c r="G724" t="s">
        <v>70</v>
      </c>
      <c r="H724">
        <v>3</v>
      </c>
      <c r="I724">
        <v>45</v>
      </c>
      <c r="J724">
        <v>100</v>
      </c>
      <c r="K724">
        <v>148</v>
      </c>
      <c r="L724">
        <v>7901.1</v>
      </c>
      <c r="M724">
        <v>1241.0999999999999</v>
      </c>
      <c r="N724" s="1">
        <v>38294</v>
      </c>
      <c r="O724" t="s">
        <v>25</v>
      </c>
      <c r="P724">
        <v>4</v>
      </c>
      <c r="Q724">
        <v>11</v>
      </c>
      <c r="R724">
        <v>2004</v>
      </c>
      <c r="S724" t="s">
        <v>83</v>
      </c>
    </row>
    <row r="725" spans="1:19" x14ac:dyDescent="0.25">
      <c r="A725">
        <v>10390</v>
      </c>
      <c r="B725" t="s">
        <v>273</v>
      </c>
      <c r="C725" t="s">
        <v>115</v>
      </c>
      <c r="D725" t="s">
        <v>116</v>
      </c>
      <c r="E725" t="s">
        <v>22</v>
      </c>
      <c r="F725" t="s">
        <v>23</v>
      </c>
      <c r="G725" t="s">
        <v>33</v>
      </c>
      <c r="H725">
        <v>3</v>
      </c>
      <c r="I725">
        <v>49</v>
      </c>
      <c r="J725">
        <v>100</v>
      </c>
      <c r="K725">
        <v>148</v>
      </c>
      <c r="L725">
        <v>6862.94</v>
      </c>
      <c r="M725">
        <v>-389.06</v>
      </c>
      <c r="N725" s="1">
        <v>38415</v>
      </c>
      <c r="O725" t="s">
        <v>25</v>
      </c>
      <c r="P725">
        <v>1</v>
      </c>
      <c r="Q725">
        <v>3</v>
      </c>
      <c r="R725">
        <v>2005</v>
      </c>
      <c r="S725" t="s">
        <v>83</v>
      </c>
    </row>
    <row r="726" spans="1:19" x14ac:dyDescent="0.25">
      <c r="A726">
        <v>10302</v>
      </c>
      <c r="B726" t="s">
        <v>274</v>
      </c>
      <c r="C726" t="s">
        <v>75</v>
      </c>
      <c r="D726" t="s">
        <v>76</v>
      </c>
      <c r="E726" t="s">
        <v>77</v>
      </c>
      <c r="F726" t="s">
        <v>30</v>
      </c>
      <c r="G726" t="s">
        <v>24</v>
      </c>
      <c r="H726">
        <v>3</v>
      </c>
      <c r="I726">
        <v>23</v>
      </c>
      <c r="J726">
        <v>72.7</v>
      </c>
      <c r="K726">
        <v>71</v>
      </c>
      <c r="L726">
        <v>1672.1</v>
      </c>
      <c r="M726">
        <v>39.1</v>
      </c>
      <c r="N726" s="1">
        <v>37900</v>
      </c>
      <c r="O726" t="s">
        <v>25</v>
      </c>
      <c r="P726">
        <v>4</v>
      </c>
      <c r="Q726">
        <v>10</v>
      </c>
      <c r="R726">
        <v>2003</v>
      </c>
      <c r="S726" t="s">
        <v>83</v>
      </c>
    </row>
    <row r="727" spans="1:19" x14ac:dyDescent="0.25">
      <c r="A727">
        <v>10332</v>
      </c>
      <c r="B727" t="s">
        <v>274</v>
      </c>
      <c r="C727" t="s">
        <v>197</v>
      </c>
      <c r="D727" t="s">
        <v>198</v>
      </c>
      <c r="E727" t="s">
        <v>77</v>
      </c>
      <c r="F727" t="s">
        <v>30</v>
      </c>
      <c r="G727" t="s">
        <v>33</v>
      </c>
      <c r="H727">
        <v>3</v>
      </c>
      <c r="I727">
        <v>21</v>
      </c>
      <c r="J727">
        <v>100</v>
      </c>
      <c r="K727">
        <v>71</v>
      </c>
      <c r="L727">
        <v>3472.98</v>
      </c>
      <c r="M727">
        <v>1981.98</v>
      </c>
      <c r="N727" s="1">
        <v>38308</v>
      </c>
      <c r="O727" t="s">
        <v>25</v>
      </c>
      <c r="P727">
        <v>4</v>
      </c>
      <c r="Q727">
        <v>11</v>
      </c>
      <c r="R727">
        <v>2004</v>
      </c>
      <c r="S727" t="s">
        <v>83</v>
      </c>
    </row>
    <row r="728" spans="1:19" x14ac:dyDescent="0.25">
      <c r="A728">
        <v>10172</v>
      </c>
      <c r="B728" t="s">
        <v>275</v>
      </c>
      <c r="C728" t="s">
        <v>54</v>
      </c>
      <c r="D728" t="s">
        <v>55</v>
      </c>
      <c r="E728" t="s">
        <v>22</v>
      </c>
      <c r="F728" t="s">
        <v>23</v>
      </c>
      <c r="G728" t="s">
        <v>24</v>
      </c>
      <c r="H728">
        <v>3</v>
      </c>
      <c r="I728">
        <v>32</v>
      </c>
      <c r="J728">
        <v>75.69</v>
      </c>
      <c r="K728">
        <v>73</v>
      </c>
      <c r="L728">
        <v>2422.08</v>
      </c>
      <c r="M728">
        <v>86.08</v>
      </c>
      <c r="N728" s="1">
        <v>37930</v>
      </c>
      <c r="O728" t="s">
        <v>25</v>
      </c>
      <c r="P728">
        <v>4</v>
      </c>
      <c r="Q728">
        <v>11</v>
      </c>
      <c r="R728">
        <v>2003</v>
      </c>
      <c r="S728" t="s">
        <v>83</v>
      </c>
    </row>
    <row r="729" spans="1:19" x14ac:dyDescent="0.25">
      <c r="A729">
        <v>10212</v>
      </c>
      <c r="B729" t="s">
        <v>275</v>
      </c>
      <c r="C729" t="s">
        <v>78</v>
      </c>
      <c r="D729" t="s">
        <v>79</v>
      </c>
      <c r="E729" t="s">
        <v>80</v>
      </c>
      <c r="F729" t="s">
        <v>30</v>
      </c>
      <c r="G729" t="s">
        <v>33</v>
      </c>
      <c r="H729">
        <v>3</v>
      </c>
      <c r="I729">
        <v>41</v>
      </c>
      <c r="J729">
        <v>82.31</v>
      </c>
      <c r="K729">
        <v>73</v>
      </c>
      <c r="L729">
        <v>3374.71</v>
      </c>
      <c r="M729">
        <v>381.71</v>
      </c>
      <c r="N729" s="1">
        <v>38002</v>
      </c>
      <c r="O729" t="s">
        <v>25</v>
      </c>
      <c r="P729">
        <v>1</v>
      </c>
      <c r="Q729">
        <v>1</v>
      </c>
      <c r="R729">
        <v>2004</v>
      </c>
      <c r="S729" t="s">
        <v>83</v>
      </c>
    </row>
    <row r="730" spans="1:19" x14ac:dyDescent="0.25">
      <c r="A730">
        <v>10321</v>
      </c>
      <c r="B730" t="s">
        <v>275</v>
      </c>
      <c r="C730" t="s">
        <v>73</v>
      </c>
      <c r="D730" t="s">
        <v>74</v>
      </c>
      <c r="E730" t="s">
        <v>22</v>
      </c>
      <c r="F730" t="s">
        <v>23</v>
      </c>
      <c r="G730" t="s">
        <v>24</v>
      </c>
      <c r="H730">
        <v>3</v>
      </c>
      <c r="I730">
        <v>30</v>
      </c>
      <c r="J730">
        <v>70.55</v>
      </c>
      <c r="K730">
        <v>73</v>
      </c>
      <c r="L730">
        <v>2116.5</v>
      </c>
      <c r="M730">
        <v>-73.5</v>
      </c>
      <c r="N730" s="1">
        <v>38295</v>
      </c>
      <c r="O730" t="s">
        <v>25</v>
      </c>
      <c r="P730">
        <v>4</v>
      </c>
      <c r="Q730">
        <v>11</v>
      </c>
      <c r="R730">
        <v>2004</v>
      </c>
      <c r="S730" t="s">
        <v>83</v>
      </c>
    </row>
    <row r="731" spans="1:19" x14ac:dyDescent="0.25">
      <c r="A731">
        <v>10380</v>
      </c>
      <c r="B731" t="s">
        <v>275</v>
      </c>
      <c r="C731" t="s">
        <v>78</v>
      </c>
      <c r="D731" t="s">
        <v>79</v>
      </c>
      <c r="E731" t="s">
        <v>80</v>
      </c>
      <c r="F731" t="s">
        <v>30</v>
      </c>
      <c r="G731" t="s">
        <v>33</v>
      </c>
      <c r="H731">
        <v>3</v>
      </c>
      <c r="I731">
        <v>34</v>
      </c>
      <c r="J731">
        <v>100</v>
      </c>
      <c r="K731">
        <v>73</v>
      </c>
      <c r="L731">
        <v>3441.82</v>
      </c>
      <c r="M731">
        <v>959.82</v>
      </c>
      <c r="N731" s="1">
        <v>38399</v>
      </c>
      <c r="O731" t="s">
        <v>25</v>
      </c>
      <c r="P731">
        <v>1</v>
      </c>
      <c r="Q731">
        <v>2</v>
      </c>
      <c r="R731">
        <v>2005</v>
      </c>
      <c r="S731" t="s">
        <v>83</v>
      </c>
    </row>
    <row r="732" spans="1:19" x14ac:dyDescent="0.25">
      <c r="A732">
        <v>10184</v>
      </c>
      <c r="B732" t="s">
        <v>276</v>
      </c>
      <c r="C732" t="s">
        <v>212</v>
      </c>
      <c r="D732" t="s">
        <v>213</v>
      </c>
      <c r="E732" t="s">
        <v>80</v>
      </c>
      <c r="F732" t="s">
        <v>30</v>
      </c>
      <c r="G732" t="s">
        <v>24</v>
      </c>
      <c r="H732">
        <v>3</v>
      </c>
      <c r="I732">
        <v>31</v>
      </c>
      <c r="J732">
        <v>60.11</v>
      </c>
      <c r="K732">
        <v>57</v>
      </c>
      <c r="L732">
        <v>1863.41</v>
      </c>
      <c r="M732">
        <v>96.41</v>
      </c>
      <c r="N732" s="1">
        <v>37939</v>
      </c>
      <c r="O732" t="s">
        <v>25</v>
      </c>
      <c r="P732">
        <v>4</v>
      </c>
      <c r="Q732">
        <v>11</v>
      </c>
      <c r="R732">
        <v>2003</v>
      </c>
      <c r="S732" t="s">
        <v>83</v>
      </c>
    </row>
    <row r="733" spans="1:19" x14ac:dyDescent="0.25">
      <c r="A733">
        <v>10195</v>
      </c>
      <c r="B733" t="s">
        <v>276</v>
      </c>
      <c r="C733" t="s">
        <v>131</v>
      </c>
      <c r="D733" t="s">
        <v>132</v>
      </c>
      <c r="E733" t="s">
        <v>22</v>
      </c>
      <c r="F733" t="s">
        <v>23</v>
      </c>
      <c r="G733" t="s">
        <v>24</v>
      </c>
      <c r="H733">
        <v>3</v>
      </c>
      <c r="I733">
        <v>44</v>
      </c>
      <c r="J733">
        <v>66.47</v>
      </c>
      <c r="K733">
        <v>57</v>
      </c>
      <c r="L733">
        <v>2924.68</v>
      </c>
      <c r="M733">
        <v>416.68</v>
      </c>
      <c r="N733" s="1">
        <v>37950</v>
      </c>
      <c r="O733" t="s">
        <v>25</v>
      </c>
      <c r="P733">
        <v>4</v>
      </c>
      <c r="Q733">
        <v>11</v>
      </c>
      <c r="R733">
        <v>2003</v>
      </c>
      <c r="S733" t="s">
        <v>83</v>
      </c>
    </row>
    <row r="734" spans="1:19" x14ac:dyDescent="0.25">
      <c r="A734">
        <v>10107</v>
      </c>
      <c r="B734" t="s">
        <v>277</v>
      </c>
      <c r="C734" t="s">
        <v>20</v>
      </c>
      <c r="D734" t="s">
        <v>21</v>
      </c>
      <c r="E734" t="s">
        <v>22</v>
      </c>
      <c r="F734" t="s">
        <v>23</v>
      </c>
      <c r="G734" t="s">
        <v>24</v>
      </c>
      <c r="H734">
        <v>3</v>
      </c>
      <c r="I734">
        <v>25</v>
      </c>
      <c r="J734">
        <v>100</v>
      </c>
      <c r="K734">
        <v>112</v>
      </c>
      <c r="L734">
        <v>2845.75</v>
      </c>
      <c r="M734">
        <v>45.75</v>
      </c>
      <c r="N734" s="1">
        <v>37676</v>
      </c>
      <c r="O734" t="s">
        <v>25</v>
      </c>
      <c r="P734">
        <v>1</v>
      </c>
      <c r="Q734">
        <v>2</v>
      </c>
      <c r="R734">
        <v>2003</v>
      </c>
      <c r="S734" t="s">
        <v>26</v>
      </c>
    </row>
    <row r="735" spans="1:19" x14ac:dyDescent="0.25">
      <c r="A735">
        <v>10134</v>
      </c>
      <c r="B735" t="s">
        <v>277</v>
      </c>
      <c r="C735" t="s">
        <v>31</v>
      </c>
      <c r="D735" t="s">
        <v>32</v>
      </c>
      <c r="E735" t="s">
        <v>29</v>
      </c>
      <c r="F735" t="s">
        <v>30</v>
      </c>
      <c r="G735" t="s">
        <v>33</v>
      </c>
      <c r="H735">
        <v>3</v>
      </c>
      <c r="I735">
        <v>35</v>
      </c>
      <c r="J735">
        <v>93.54</v>
      </c>
      <c r="K735">
        <v>112</v>
      </c>
      <c r="L735">
        <v>3273.9</v>
      </c>
      <c r="M735">
        <v>-646.1</v>
      </c>
      <c r="N735" s="1">
        <v>37803</v>
      </c>
      <c r="O735" t="s">
        <v>25</v>
      </c>
      <c r="P735">
        <v>3</v>
      </c>
      <c r="Q735">
        <v>7</v>
      </c>
      <c r="R735">
        <v>2003</v>
      </c>
      <c r="S735" t="s">
        <v>26</v>
      </c>
    </row>
    <row r="736" spans="1:19" x14ac:dyDescent="0.25">
      <c r="A736">
        <v>10201</v>
      </c>
      <c r="B736" t="s">
        <v>277</v>
      </c>
      <c r="C736" t="s">
        <v>45</v>
      </c>
      <c r="D736" t="s">
        <v>37</v>
      </c>
      <c r="E736" t="s">
        <v>22</v>
      </c>
      <c r="F736" t="s">
        <v>23</v>
      </c>
      <c r="G736" t="s">
        <v>33</v>
      </c>
      <c r="H736">
        <v>3</v>
      </c>
      <c r="I736">
        <v>39</v>
      </c>
      <c r="J736">
        <v>100</v>
      </c>
      <c r="K736">
        <v>112</v>
      </c>
      <c r="L736">
        <v>4351.2299999999996</v>
      </c>
      <c r="M736">
        <v>-16.77</v>
      </c>
      <c r="N736" s="1">
        <v>37956</v>
      </c>
      <c r="O736" t="s">
        <v>25</v>
      </c>
      <c r="P736">
        <v>4</v>
      </c>
      <c r="Q736">
        <v>12</v>
      </c>
      <c r="R736">
        <v>2003</v>
      </c>
      <c r="S736" t="s">
        <v>26</v>
      </c>
    </row>
    <row r="737" spans="1:19" x14ac:dyDescent="0.25">
      <c r="A737">
        <v>10251</v>
      </c>
      <c r="B737" t="s">
        <v>277</v>
      </c>
      <c r="C737" t="s">
        <v>52</v>
      </c>
      <c r="D737" t="s">
        <v>53</v>
      </c>
      <c r="E737" t="s">
        <v>22</v>
      </c>
      <c r="F737" t="s">
        <v>23</v>
      </c>
      <c r="G737" t="s">
        <v>24</v>
      </c>
      <c r="H737">
        <v>3</v>
      </c>
      <c r="I737">
        <v>26</v>
      </c>
      <c r="J737">
        <v>100</v>
      </c>
      <c r="K737">
        <v>112</v>
      </c>
      <c r="L737">
        <v>2637.18</v>
      </c>
      <c r="M737">
        <v>-274.82</v>
      </c>
      <c r="N737" s="1">
        <v>38125</v>
      </c>
      <c r="O737" t="s">
        <v>25</v>
      </c>
      <c r="P737">
        <v>2</v>
      </c>
      <c r="Q737">
        <v>5</v>
      </c>
      <c r="R737">
        <v>2004</v>
      </c>
      <c r="S737" t="s">
        <v>26</v>
      </c>
    </row>
    <row r="738" spans="1:19" x14ac:dyDescent="0.25">
      <c r="A738">
        <v>10263</v>
      </c>
      <c r="B738" t="s">
        <v>277</v>
      </c>
      <c r="C738" t="s">
        <v>54</v>
      </c>
      <c r="D738" t="s">
        <v>55</v>
      </c>
      <c r="E738" t="s">
        <v>22</v>
      </c>
      <c r="F738" t="s">
        <v>23</v>
      </c>
      <c r="G738" t="s">
        <v>33</v>
      </c>
      <c r="H738">
        <v>3</v>
      </c>
      <c r="I738">
        <v>42</v>
      </c>
      <c r="J738">
        <v>100</v>
      </c>
      <c r="K738">
        <v>112</v>
      </c>
      <c r="L738">
        <v>4307.5200000000004</v>
      </c>
      <c r="M738">
        <v>-396.48</v>
      </c>
      <c r="N738" s="1">
        <v>38166</v>
      </c>
      <c r="O738" t="s">
        <v>25</v>
      </c>
      <c r="P738">
        <v>2</v>
      </c>
      <c r="Q738">
        <v>6</v>
      </c>
      <c r="R738">
        <v>2004</v>
      </c>
      <c r="S738" t="s">
        <v>26</v>
      </c>
    </row>
    <row r="739" spans="1:19" x14ac:dyDescent="0.25">
      <c r="A739">
        <v>10417</v>
      </c>
      <c r="B739" t="s">
        <v>277</v>
      </c>
      <c r="C739" t="s">
        <v>78</v>
      </c>
      <c r="D739" t="s">
        <v>79</v>
      </c>
      <c r="E739" t="s">
        <v>80</v>
      </c>
      <c r="F739" t="s">
        <v>30</v>
      </c>
      <c r="G739" t="s">
        <v>33</v>
      </c>
      <c r="H739">
        <v>3</v>
      </c>
      <c r="I739">
        <v>35</v>
      </c>
      <c r="J739">
        <v>100</v>
      </c>
      <c r="K739">
        <v>112</v>
      </c>
      <c r="L739">
        <v>3550.05</v>
      </c>
      <c r="M739">
        <v>-369.95</v>
      </c>
      <c r="N739" s="1">
        <v>38485</v>
      </c>
      <c r="O739" t="s">
        <v>81</v>
      </c>
      <c r="P739">
        <v>2</v>
      </c>
      <c r="Q739">
        <v>5</v>
      </c>
      <c r="R739">
        <v>2005</v>
      </c>
      <c r="S739" t="s">
        <v>26</v>
      </c>
    </row>
    <row r="740" spans="1:19" x14ac:dyDescent="0.25">
      <c r="A740">
        <v>10226</v>
      </c>
      <c r="B740" t="s">
        <v>278</v>
      </c>
      <c r="C740" t="s">
        <v>149</v>
      </c>
      <c r="D740" t="s">
        <v>150</v>
      </c>
      <c r="E740" t="s">
        <v>22</v>
      </c>
      <c r="F740" t="s">
        <v>23</v>
      </c>
      <c r="G740" t="s">
        <v>24</v>
      </c>
      <c r="H740">
        <v>3</v>
      </c>
      <c r="I740">
        <v>36</v>
      </c>
      <c r="J740">
        <v>43.27</v>
      </c>
      <c r="K740">
        <v>50</v>
      </c>
      <c r="L740">
        <v>1557.72</v>
      </c>
      <c r="M740">
        <v>-242.28</v>
      </c>
      <c r="N740" s="1">
        <v>38043</v>
      </c>
      <c r="O740" t="s">
        <v>25</v>
      </c>
      <c r="P740">
        <v>1</v>
      </c>
      <c r="Q740">
        <v>2</v>
      </c>
      <c r="R740">
        <v>2004</v>
      </c>
      <c r="S740" t="s">
        <v>83</v>
      </c>
    </row>
    <row r="741" spans="1:19" x14ac:dyDescent="0.25">
      <c r="A741">
        <v>10301</v>
      </c>
      <c r="B741" t="s">
        <v>278</v>
      </c>
      <c r="C741" t="s">
        <v>223</v>
      </c>
      <c r="D741" t="s">
        <v>224</v>
      </c>
      <c r="E741" t="s">
        <v>44</v>
      </c>
      <c r="F741" t="s">
        <v>30</v>
      </c>
      <c r="G741" t="s">
        <v>24</v>
      </c>
      <c r="H741">
        <v>3</v>
      </c>
      <c r="I741">
        <v>22</v>
      </c>
      <c r="J741">
        <v>51.32</v>
      </c>
      <c r="K741">
        <v>50</v>
      </c>
      <c r="L741">
        <v>1129.04</v>
      </c>
      <c r="M741">
        <v>29.04</v>
      </c>
      <c r="N741" s="1">
        <v>37899</v>
      </c>
      <c r="O741" t="s">
        <v>25</v>
      </c>
      <c r="P741">
        <v>4</v>
      </c>
      <c r="Q741">
        <v>10</v>
      </c>
      <c r="R741">
        <v>2003</v>
      </c>
      <c r="S741" t="s">
        <v>83</v>
      </c>
    </row>
    <row r="742" spans="1:19" x14ac:dyDescent="0.25">
      <c r="A742">
        <v>10379</v>
      </c>
      <c r="B742" t="s">
        <v>278</v>
      </c>
      <c r="C742" t="s">
        <v>78</v>
      </c>
      <c r="D742" t="s">
        <v>79</v>
      </c>
      <c r="E742" t="s">
        <v>80</v>
      </c>
      <c r="F742" t="s">
        <v>30</v>
      </c>
      <c r="G742" t="s">
        <v>33</v>
      </c>
      <c r="H742">
        <v>3</v>
      </c>
      <c r="I742">
        <v>32</v>
      </c>
      <c r="J742">
        <v>100</v>
      </c>
      <c r="K742">
        <v>50</v>
      </c>
      <c r="L742">
        <v>3970.56</v>
      </c>
      <c r="M742">
        <v>2370.56</v>
      </c>
      <c r="N742" s="1">
        <v>38393</v>
      </c>
      <c r="O742" t="s">
        <v>25</v>
      </c>
      <c r="P742">
        <v>1</v>
      </c>
      <c r="Q742">
        <v>2</v>
      </c>
      <c r="R742">
        <v>2005</v>
      </c>
      <c r="S742" t="s">
        <v>83</v>
      </c>
    </row>
    <row r="743" spans="1:19" x14ac:dyDescent="0.25">
      <c r="A743">
        <v>10284</v>
      </c>
      <c r="B743" t="s">
        <v>279</v>
      </c>
      <c r="C743" t="s">
        <v>223</v>
      </c>
      <c r="D743" t="s">
        <v>224</v>
      </c>
      <c r="E743" t="s">
        <v>44</v>
      </c>
      <c r="F743" t="s">
        <v>30</v>
      </c>
      <c r="G743" t="s">
        <v>24</v>
      </c>
      <c r="H743">
        <v>3</v>
      </c>
      <c r="I743">
        <v>22</v>
      </c>
      <c r="J743">
        <v>100</v>
      </c>
      <c r="K743">
        <v>109</v>
      </c>
      <c r="L743">
        <v>2310.88</v>
      </c>
      <c r="M743">
        <v>-87.12</v>
      </c>
      <c r="N743" s="1">
        <v>38220</v>
      </c>
      <c r="O743" t="s">
        <v>25</v>
      </c>
      <c r="P743">
        <v>3</v>
      </c>
      <c r="Q743">
        <v>8</v>
      </c>
      <c r="R743">
        <v>2004</v>
      </c>
      <c r="S743" t="s">
        <v>234</v>
      </c>
    </row>
    <row r="744" spans="1:19" x14ac:dyDescent="0.25">
      <c r="A744">
        <v>10374</v>
      </c>
      <c r="B744" t="s">
        <v>279</v>
      </c>
      <c r="C744" t="s">
        <v>91</v>
      </c>
      <c r="D744" t="s">
        <v>92</v>
      </c>
      <c r="E744" t="s">
        <v>49</v>
      </c>
      <c r="F744" t="s">
        <v>50</v>
      </c>
      <c r="G744" t="s">
        <v>33</v>
      </c>
      <c r="H744">
        <v>3</v>
      </c>
      <c r="I744">
        <v>46</v>
      </c>
      <c r="J744">
        <v>94.1</v>
      </c>
      <c r="K744">
        <v>109</v>
      </c>
      <c r="L744">
        <v>4328.6000000000004</v>
      </c>
      <c r="M744">
        <v>-685.4</v>
      </c>
      <c r="N744" s="1">
        <v>38385</v>
      </c>
      <c r="O744" t="s">
        <v>25</v>
      </c>
      <c r="P744">
        <v>1</v>
      </c>
      <c r="Q744">
        <v>2</v>
      </c>
      <c r="R744">
        <v>2005</v>
      </c>
      <c r="S744" t="s">
        <v>234</v>
      </c>
    </row>
    <row r="745" spans="1:19" x14ac:dyDescent="0.25">
      <c r="A745">
        <v>10101</v>
      </c>
      <c r="B745" t="s">
        <v>280</v>
      </c>
      <c r="C745" t="s">
        <v>187</v>
      </c>
      <c r="D745" t="s">
        <v>188</v>
      </c>
      <c r="E745" t="s">
        <v>180</v>
      </c>
      <c r="F745" t="s">
        <v>30</v>
      </c>
      <c r="G745" t="s">
        <v>24</v>
      </c>
      <c r="H745">
        <v>3</v>
      </c>
      <c r="I745">
        <v>45</v>
      </c>
      <c r="J745">
        <v>31.2</v>
      </c>
      <c r="K745">
        <v>33</v>
      </c>
      <c r="L745">
        <v>1404</v>
      </c>
      <c r="M745">
        <v>-81</v>
      </c>
      <c r="N745" s="1">
        <v>37630</v>
      </c>
      <c r="O745" t="s">
        <v>25</v>
      </c>
      <c r="P745">
        <v>1</v>
      </c>
      <c r="Q745">
        <v>1</v>
      </c>
      <c r="R745">
        <v>2003</v>
      </c>
      <c r="S745" t="s">
        <v>226</v>
      </c>
    </row>
    <row r="746" spans="1:19" x14ac:dyDescent="0.25">
      <c r="A746">
        <v>10110</v>
      </c>
      <c r="B746" t="s">
        <v>280</v>
      </c>
      <c r="C746" t="s">
        <v>197</v>
      </c>
      <c r="D746" t="s">
        <v>198</v>
      </c>
      <c r="E746" t="s">
        <v>77</v>
      </c>
      <c r="F746" t="s">
        <v>30</v>
      </c>
      <c r="G746" t="s">
        <v>24</v>
      </c>
      <c r="H746">
        <v>3</v>
      </c>
      <c r="I746">
        <v>20</v>
      </c>
      <c r="J746">
        <v>35.51</v>
      </c>
      <c r="K746">
        <v>33</v>
      </c>
      <c r="L746">
        <v>710.2</v>
      </c>
      <c r="M746">
        <v>50.2</v>
      </c>
      <c r="N746" s="1">
        <v>37698</v>
      </c>
      <c r="O746" t="s">
        <v>25</v>
      </c>
      <c r="P746">
        <v>1</v>
      </c>
      <c r="Q746">
        <v>3</v>
      </c>
      <c r="R746">
        <v>2003</v>
      </c>
      <c r="S746" t="s">
        <v>226</v>
      </c>
    </row>
    <row r="747" spans="1:19" x14ac:dyDescent="0.25">
      <c r="A747">
        <v>10214</v>
      </c>
      <c r="B747" t="s">
        <v>280</v>
      </c>
      <c r="C747" t="s">
        <v>87</v>
      </c>
      <c r="D747" t="s">
        <v>79</v>
      </c>
      <c r="E747" t="s">
        <v>80</v>
      </c>
      <c r="F747" t="s">
        <v>30</v>
      </c>
      <c r="G747" t="s">
        <v>24</v>
      </c>
      <c r="H747">
        <v>3</v>
      </c>
      <c r="I747">
        <v>20</v>
      </c>
      <c r="J747">
        <v>34.19</v>
      </c>
      <c r="K747">
        <v>33</v>
      </c>
      <c r="L747">
        <v>683.8</v>
      </c>
      <c r="M747">
        <v>23.8</v>
      </c>
      <c r="N747" s="1">
        <v>38012</v>
      </c>
      <c r="O747" t="s">
        <v>25</v>
      </c>
      <c r="P747">
        <v>1</v>
      </c>
      <c r="Q747">
        <v>1</v>
      </c>
      <c r="R747">
        <v>2004</v>
      </c>
      <c r="S747" t="s">
        <v>226</v>
      </c>
    </row>
    <row r="748" spans="1:19" x14ac:dyDescent="0.25">
      <c r="A748">
        <v>10322</v>
      </c>
      <c r="B748" t="s">
        <v>280</v>
      </c>
      <c r="C748" t="s">
        <v>117</v>
      </c>
      <c r="D748" t="s">
        <v>118</v>
      </c>
      <c r="E748" t="s">
        <v>22</v>
      </c>
      <c r="F748" t="s">
        <v>23</v>
      </c>
      <c r="G748" t="s">
        <v>24</v>
      </c>
      <c r="H748">
        <v>3</v>
      </c>
      <c r="I748">
        <v>20</v>
      </c>
      <c r="J748">
        <v>100</v>
      </c>
      <c r="K748">
        <v>33</v>
      </c>
      <c r="L748">
        <v>2624</v>
      </c>
      <c r="M748">
        <v>1964</v>
      </c>
      <c r="N748" s="1">
        <v>38295</v>
      </c>
      <c r="O748" t="s">
        <v>25</v>
      </c>
      <c r="P748">
        <v>4</v>
      </c>
      <c r="Q748">
        <v>11</v>
      </c>
      <c r="R748">
        <v>2004</v>
      </c>
      <c r="S748" t="s">
        <v>226</v>
      </c>
    </row>
    <row r="749" spans="1:19" x14ac:dyDescent="0.25">
      <c r="A749">
        <v>10236</v>
      </c>
      <c r="B749" t="s">
        <v>281</v>
      </c>
      <c r="C749" t="s">
        <v>129</v>
      </c>
      <c r="D749" t="s">
        <v>94</v>
      </c>
      <c r="E749" t="s">
        <v>22</v>
      </c>
      <c r="F749" t="s">
        <v>23</v>
      </c>
      <c r="G749" t="s">
        <v>33</v>
      </c>
      <c r="H749">
        <v>3</v>
      </c>
      <c r="I749">
        <v>36</v>
      </c>
      <c r="J749">
        <v>87.6</v>
      </c>
      <c r="K749">
        <v>76</v>
      </c>
      <c r="L749">
        <v>3153.6</v>
      </c>
      <c r="M749">
        <v>417.6</v>
      </c>
      <c r="N749" s="1">
        <v>38080</v>
      </c>
      <c r="O749" t="s">
        <v>25</v>
      </c>
      <c r="P749">
        <v>2</v>
      </c>
      <c r="Q749">
        <v>4</v>
      </c>
      <c r="R749">
        <v>2004</v>
      </c>
      <c r="S749" t="s">
        <v>26</v>
      </c>
    </row>
    <row r="750" spans="1:19" x14ac:dyDescent="0.25">
      <c r="A750">
        <v>10402</v>
      </c>
      <c r="B750" t="s">
        <v>281</v>
      </c>
      <c r="C750" t="s">
        <v>46</v>
      </c>
      <c r="D750" t="s">
        <v>32</v>
      </c>
      <c r="E750" t="s">
        <v>29</v>
      </c>
      <c r="F750" t="s">
        <v>30</v>
      </c>
      <c r="G750" t="s">
        <v>33</v>
      </c>
      <c r="H750">
        <v>3</v>
      </c>
      <c r="I750">
        <v>59</v>
      </c>
      <c r="J750">
        <v>87.6</v>
      </c>
      <c r="K750">
        <v>76</v>
      </c>
      <c r="L750">
        <v>5168.3999999999996</v>
      </c>
      <c r="M750">
        <v>684.4</v>
      </c>
      <c r="N750" s="1">
        <v>38449</v>
      </c>
      <c r="O750" t="s">
        <v>25</v>
      </c>
      <c r="P750">
        <v>2</v>
      </c>
      <c r="Q750">
        <v>4</v>
      </c>
      <c r="R750">
        <v>2005</v>
      </c>
      <c r="S750" t="s">
        <v>26</v>
      </c>
    </row>
    <row r="751" spans="1:19" x14ac:dyDescent="0.25">
      <c r="A751">
        <v>10117</v>
      </c>
      <c r="B751" t="s">
        <v>282</v>
      </c>
      <c r="C751" t="s">
        <v>88</v>
      </c>
      <c r="D751" t="s">
        <v>89</v>
      </c>
      <c r="E751" t="s">
        <v>89</v>
      </c>
      <c r="F751" t="s">
        <v>50</v>
      </c>
      <c r="G751" t="s">
        <v>33</v>
      </c>
      <c r="H751">
        <v>3</v>
      </c>
      <c r="I751">
        <v>41</v>
      </c>
      <c r="J751">
        <v>100</v>
      </c>
      <c r="K751">
        <v>122</v>
      </c>
      <c r="L751">
        <v>5189.78</v>
      </c>
      <c r="M751">
        <v>187.78</v>
      </c>
      <c r="N751" s="1">
        <v>37727</v>
      </c>
      <c r="O751" t="s">
        <v>25</v>
      </c>
      <c r="P751">
        <v>2</v>
      </c>
      <c r="Q751">
        <v>4</v>
      </c>
      <c r="R751">
        <v>2003</v>
      </c>
      <c r="S751" t="s">
        <v>255</v>
      </c>
    </row>
    <row r="752" spans="1:19" x14ac:dyDescent="0.25">
      <c r="A752">
        <v>10384</v>
      </c>
      <c r="B752" t="s">
        <v>282</v>
      </c>
      <c r="C752" t="s">
        <v>36</v>
      </c>
      <c r="D752" t="s">
        <v>37</v>
      </c>
      <c r="E752" t="s">
        <v>22</v>
      </c>
      <c r="F752" t="s">
        <v>23</v>
      </c>
      <c r="G752" t="s">
        <v>24</v>
      </c>
      <c r="H752">
        <v>3</v>
      </c>
      <c r="I752">
        <v>28</v>
      </c>
      <c r="J752">
        <v>80.540000000000006</v>
      </c>
      <c r="K752">
        <v>122</v>
      </c>
      <c r="L752">
        <v>2255.12</v>
      </c>
      <c r="M752">
        <v>-1160.8800000000001</v>
      </c>
      <c r="N752" s="1">
        <v>38406</v>
      </c>
      <c r="O752" t="s">
        <v>25</v>
      </c>
      <c r="P752">
        <v>1</v>
      </c>
      <c r="Q752">
        <v>2</v>
      </c>
      <c r="R752">
        <v>2005</v>
      </c>
      <c r="S752" t="s">
        <v>255</v>
      </c>
    </row>
    <row r="753" spans="1:19" x14ac:dyDescent="0.25">
      <c r="A753">
        <v>10382</v>
      </c>
      <c r="B753" t="s">
        <v>284</v>
      </c>
      <c r="C753" t="s">
        <v>115</v>
      </c>
      <c r="D753" t="s">
        <v>116</v>
      </c>
      <c r="E753" t="s">
        <v>22</v>
      </c>
      <c r="F753" t="s">
        <v>23</v>
      </c>
      <c r="G753" t="s">
        <v>24</v>
      </c>
      <c r="H753">
        <v>3</v>
      </c>
      <c r="I753">
        <v>20</v>
      </c>
      <c r="J753">
        <v>100</v>
      </c>
      <c r="K753">
        <v>127</v>
      </c>
      <c r="L753">
        <v>2654.4</v>
      </c>
      <c r="M753">
        <v>114.4</v>
      </c>
      <c r="N753" s="1">
        <v>38400</v>
      </c>
      <c r="O753" t="s">
        <v>25</v>
      </c>
      <c r="P753">
        <v>1</v>
      </c>
      <c r="Q753">
        <v>2</v>
      </c>
      <c r="R753">
        <v>2005</v>
      </c>
      <c r="S753" t="s">
        <v>202</v>
      </c>
    </row>
    <row r="754" spans="1:19" x14ac:dyDescent="0.25">
      <c r="A754">
        <v>10145</v>
      </c>
      <c r="B754" t="s">
        <v>285</v>
      </c>
      <c r="C754" t="s">
        <v>34</v>
      </c>
      <c r="D754" t="s">
        <v>35</v>
      </c>
      <c r="E754" t="s">
        <v>22</v>
      </c>
      <c r="F754" t="s">
        <v>23</v>
      </c>
      <c r="G754" t="s">
        <v>24</v>
      </c>
      <c r="H754">
        <v>3</v>
      </c>
      <c r="I754">
        <v>27</v>
      </c>
      <c r="J754">
        <v>60.95</v>
      </c>
      <c r="K754">
        <v>69</v>
      </c>
      <c r="L754">
        <v>1645.65</v>
      </c>
      <c r="M754">
        <v>-217.35</v>
      </c>
      <c r="N754" s="1">
        <v>37858</v>
      </c>
      <c r="O754" t="s">
        <v>25</v>
      </c>
      <c r="P754">
        <v>3</v>
      </c>
      <c r="Q754">
        <v>8</v>
      </c>
      <c r="R754">
        <v>2003</v>
      </c>
      <c r="S754" t="s">
        <v>26</v>
      </c>
    </row>
    <row r="755" spans="1:19" x14ac:dyDescent="0.25">
      <c r="A755">
        <v>10190</v>
      </c>
      <c r="B755" t="s">
        <v>285</v>
      </c>
      <c r="C755" t="s">
        <v>78</v>
      </c>
      <c r="D755" t="s">
        <v>79</v>
      </c>
      <c r="E755" t="s">
        <v>80</v>
      </c>
      <c r="F755" t="s">
        <v>30</v>
      </c>
      <c r="G755" t="s">
        <v>33</v>
      </c>
      <c r="H755">
        <v>3</v>
      </c>
      <c r="I755">
        <v>42</v>
      </c>
      <c r="J755">
        <v>76.19</v>
      </c>
      <c r="K755">
        <v>69</v>
      </c>
      <c r="L755">
        <v>3199.98</v>
      </c>
      <c r="M755">
        <v>301.98</v>
      </c>
      <c r="N755" s="1">
        <v>37944</v>
      </c>
      <c r="O755" t="s">
        <v>25</v>
      </c>
      <c r="P755">
        <v>4</v>
      </c>
      <c r="Q755">
        <v>11</v>
      </c>
      <c r="R755">
        <v>2003</v>
      </c>
      <c r="S755" t="s">
        <v>26</v>
      </c>
    </row>
    <row r="756" spans="1:19" x14ac:dyDescent="0.25">
      <c r="A756">
        <v>10285</v>
      </c>
      <c r="B756" t="s">
        <v>285</v>
      </c>
      <c r="C756" t="s">
        <v>58</v>
      </c>
      <c r="D756" t="s">
        <v>59</v>
      </c>
      <c r="E756" t="s">
        <v>22</v>
      </c>
      <c r="F756" t="s">
        <v>23</v>
      </c>
      <c r="G756" t="s">
        <v>24</v>
      </c>
      <c r="H756">
        <v>3</v>
      </c>
      <c r="I756">
        <v>38</v>
      </c>
      <c r="J756">
        <v>59.56</v>
      </c>
      <c r="K756">
        <v>69</v>
      </c>
      <c r="L756">
        <v>2263.2800000000002</v>
      </c>
      <c r="M756">
        <v>-358.72</v>
      </c>
      <c r="N756" s="1">
        <v>38226</v>
      </c>
      <c r="O756" t="s">
        <v>25</v>
      </c>
      <c r="P756">
        <v>3</v>
      </c>
      <c r="Q756">
        <v>8</v>
      </c>
      <c r="R756">
        <v>2004</v>
      </c>
      <c r="S756" t="s">
        <v>26</v>
      </c>
    </row>
    <row r="757" spans="1:19" x14ac:dyDescent="0.25">
      <c r="A757">
        <v>10355</v>
      </c>
      <c r="B757" t="s">
        <v>285</v>
      </c>
      <c r="C757" t="s">
        <v>78</v>
      </c>
      <c r="D757" t="s">
        <v>79</v>
      </c>
      <c r="E757" t="s">
        <v>80</v>
      </c>
      <c r="F757" t="s">
        <v>30</v>
      </c>
      <c r="G757" t="s">
        <v>24</v>
      </c>
      <c r="H757">
        <v>3</v>
      </c>
      <c r="I757">
        <v>41</v>
      </c>
      <c r="J757">
        <v>70.650000000000006</v>
      </c>
      <c r="K757">
        <v>69</v>
      </c>
      <c r="L757">
        <v>2896.65</v>
      </c>
      <c r="M757">
        <v>67.650000000000006</v>
      </c>
      <c r="N757" s="1">
        <v>38328</v>
      </c>
      <c r="O757" t="s">
        <v>25</v>
      </c>
      <c r="P757">
        <v>4</v>
      </c>
      <c r="Q757">
        <v>12</v>
      </c>
      <c r="R757">
        <v>2004</v>
      </c>
      <c r="S757" t="s">
        <v>26</v>
      </c>
    </row>
    <row r="758" spans="1:19" x14ac:dyDescent="0.25">
      <c r="A758">
        <v>10161</v>
      </c>
      <c r="B758" t="s">
        <v>286</v>
      </c>
      <c r="C758" t="s">
        <v>199</v>
      </c>
      <c r="D758" t="s">
        <v>200</v>
      </c>
      <c r="E758" t="s">
        <v>137</v>
      </c>
      <c r="F758" t="s">
        <v>30</v>
      </c>
      <c r="G758" t="s">
        <v>24</v>
      </c>
      <c r="H758">
        <v>3</v>
      </c>
      <c r="I758">
        <v>20</v>
      </c>
      <c r="J758">
        <v>100</v>
      </c>
      <c r="K758">
        <v>90</v>
      </c>
      <c r="L758">
        <v>2144.6</v>
      </c>
      <c r="M758">
        <v>344.6</v>
      </c>
      <c r="N758" s="1">
        <v>37911</v>
      </c>
      <c r="O758" t="s">
        <v>25</v>
      </c>
      <c r="P758">
        <v>4</v>
      </c>
      <c r="Q758">
        <v>10</v>
      </c>
      <c r="R758">
        <v>2003</v>
      </c>
      <c r="S758" t="s">
        <v>83</v>
      </c>
    </row>
    <row r="759" spans="1:19" x14ac:dyDescent="0.25">
      <c r="A759">
        <v>10267</v>
      </c>
      <c r="B759" t="s">
        <v>286</v>
      </c>
      <c r="C759" t="s">
        <v>192</v>
      </c>
      <c r="D759" t="s">
        <v>21</v>
      </c>
      <c r="E759" t="s">
        <v>22</v>
      </c>
      <c r="F759" t="s">
        <v>23</v>
      </c>
      <c r="G759" t="s">
        <v>33</v>
      </c>
      <c r="H759">
        <v>3</v>
      </c>
      <c r="I759">
        <v>38</v>
      </c>
      <c r="J759">
        <v>87.24</v>
      </c>
      <c r="K759">
        <v>90</v>
      </c>
      <c r="L759">
        <v>3315.12</v>
      </c>
      <c r="M759">
        <v>-104.88</v>
      </c>
      <c r="N759" s="1">
        <v>38175</v>
      </c>
      <c r="O759" t="s">
        <v>25</v>
      </c>
      <c r="P759">
        <v>3</v>
      </c>
      <c r="Q759">
        <v>7</v>
      </c>
      <c r="R759">
        <v>2004</v>
      </c>
      <c r="S759" t="s">
        <v>83</v>
      </c>
    </row>
    <row r="760" spans="1:19" x14ac:dyDescent="0.25">
      <c r="A760">
        <v>10279</v>
      </c>
      <c r="B760" t="s">
        <v>286</v>
      </c>
      <c r="C760" t="s">
        <v>78</v>
      </c>
      <c r="D760" t="s">
        <v>79</v>
      </c>
      <c r="E760" t="s">
        <v>80</v>
      </c>
      <c r="F760" t="s">
        <v>30</v>
      </c>
      <c r="G760" t="s">
        <v>33</v>
      </c>
      <c r="H760">
        <v>3</v>
      </c>
      <c r="I760">
        <v>49</v>
      </c>
      <c r="J760">
        <v>79.97</v>
      </c>
      <c r="K760">
        <v>90</v>
      </c>
      <c r="L760">
        <v>3918.53</v>
      </c>
      <c r="M760">
        <v>-491.47</v>
      </c>
      <c r="N760" s="1">
        <v>38208</v>
      </c>
      <c r="O760" t="s">
        <v>25</v>
      </c>
      <c r="P760">
        <v>3</v>
      </c>
      <c r="Q760">
        <v>8</v>
      </c>
      <c r="R760">
        <v>2004</v>
      </c>
      <c r="S760" t="s">
        <v>83</v>
      </c>
    </row>
    <row r="761" spans="1:19" x14ac:dyDescent="0.25">
      <c r="A761">
        <v>10219</v>
      </c>
      <c r="B761" t="s">
        <v>287</v>
      </c>
      <c r="C761" t="s">
        <v>214</v>
      </c>
      <c r="D761" t="s">
        <v>215</v>
      </c>
      <c r="E761" t="s">
        <v>22</v>
      </c>
      <c r="F761" t="s">
        <v>23</v>
      </c>
      <c r="G761" t="s">
        <v>24</v>
      </c>
      <c r="H761">
        <v>3</v>
      </c>
      <c r="I761">
        <v>21</v>
      </c>
      <c r="J761">
        <v>40.31</v>
      </c>
      <c r="K761">
        <v>35</v>
      </c>
      <c r="L761">
        <v>846.51</v>
      </c>
      <c r="M761">
        <v>111.51</v>
      </c>
      <c r="N761" s="1">
        <v>38027</v>
      </c>
      <c r="O761" t="s">
        <v>25</v>
      </c>
      <c r="P761">
        <v>1</v>
      </c>
      <c r="Q761">
        <v>2</v>
      </c>
      <c r="R761">
        <v>2004</v>
      </c>
      <c r="S761" t="s">
        <v>83</v>
      </c>
    </row>
    <row r="762" spans="1:19" x14ac:dyDescent="0.25">
      <c r="A762">
        <v>10349</v>
      </c>
      <c r="B762" t="s">
        <v>287</v>
      </c>
      <c r="C762" t="s">
        <v>192</v>
      </c>
      <c r="D762" t="s">
        <v>21</v>
      </c>
      <c r="E762" t="s">
        <v>22</v>
      </c>
      <c r="F762" t="s">
        <v>23</v>
      </c>
      <c r="G762" t="s">
        <v>24</v>
      </c>
      <c r="H762">
        <v>3</v>
      </c>
      <c r="I762">
        <v>36</v>
      </c>
      <c r="J762">
        <v>37.130000000000003</v>
      </c>
      <c r="K762">
        <v>35</v>
      </c>
      <c r="L762">
        <v>1336.68</v>
      </c>
      <c r="M762">
        <v>76.680000000000007</v>
      </c>
      <c r="N762" s="1">
        <v>38322</v>
      </c>
      <c r="O762" t="s">
        <v>25</v>
      </c>
      <c r="P762">
        <v>4</v>
      </c>
      <c r="Q762">
        <v>12</v>
      </c>
      <c r="R762">
        <v>2004</v>
      </c>
      <c r="S762" t="s">
        <v>83</v>
      </c>
    </row>
    <row r="763" spans="1:19" x14ac:dyDescent="0.25">
      <c r="A763">
        <v>10383</v>
      </c>
      <c r="B763" t="s">
        <v>287</v>
      </c>
      <c r="C763" t="s">
        <v>78</v>
      </c>
      <c r="D763" t="s">
        <v>79</v>
      </c>
      <c r="E763" t="s">
        <v>80</v>
      </c>
      <c r="F763" t="s">
        <v>30</v>
      </c>
      <c r="G763" t="s">
        <v>33</v>
      </c>
      <c r="H763">
        <v>3</v>
      </c>
      <c r="I763">
        <v>40</v>
      </c>
      <c r="J763">
        <v>100</v>
      </c>
      <c r="K763">
        <v>35</v>
      </c>
      <c r="L763">
        <v>6089.6</v>
      </c>
      <c r="M763">
        <v>4689.6000000000004</v>
      </c>
      <c r="N763" s="1">
        <v>38405</v>
      </c>
      <c r="O763" t="s">
        <v>25</v>
      </c>
      <c r="P763">
        <v>1</v>
      </c>
      <c r="Q763">
        <v>2</v>
      </c>
      <c r="R763">
        <v>2005</v>
      </c>
      <c r="S763" t="s">
        <v>83</v>
      </c>
    </row>
    <row r="764" spans="1:19" x14ac:dyDescent="0.25">
      <c r="A764">
        <v>10398</v>
      </c>
      <c r="B764" t="s">
        <v>288</v>
      </c>
      <c r="C764" t="s">
        <v>27</v>
      </c>
      <c r="D764" t="s">
        <v>28</v>
      </c>
      <c r="E764" t="s">
        <v>29</v>
      </c>
      <c r="F764" t="s">
        <v>30</v>
      </c>
      <c r="G764" t="s">
        <v>24</v>
      </c>
      <c r="H764">
        <v>3</v>
      </c>
      <c r="I764">
        <v>28</v>
      </c>
      <c r="J764">
        <v>57.55</v>
      </c>
      <c r="K764">
        <v>68</v>
      </c>
      <c r="L764">
        <v>1611.4</v>
      </c>
      <c r="M764">
        <v>-292.60000000000002</v>
      </c>
      <c r="N764" s="1">
        <v>38441</v>
      </c>
      <c r="O764" t="s">
        <v>25</v>
      </c>
      <c r="P764">
        <v>1</v>
      </c>
      <c r="Q764">
        <v>3</v>
      </c>
      <c r="R764">
        <v>2005</v>
      </c>
      <c r="S764" t="s">
        <v>234</v>
      </c>
    </row>
    <row r="765" spans="1:19" x14ac:dyDescent="0.25">
      <c r="A765">
        <v>10148</v>
      </c>
      <c r="B765" t="s">
        <v>289</v>
      </c>
      <c r="C765" t="s">
        <v>121</v>
      </c>
      <c r="D765" t="s">
        <v>122</v>
      </c>
      <c r="E765" t="s">
        <v>49</v>
      </c>
      <c r="F765" t="s">
        <v>50</v>
      </c>
      <c r="G765" t="s">
        <v>33</v>
      </c>
      <c r="H765">
        <v>3</v>
      </c>
      <c r="I765">
        <v>34</v>
      </c>
      <c r="J765">
        <v>100</v>
      </c>
      <c r="K765">
        <v>117</v>
      </c>
      <c r="L765">
        <v>4392.12</v>
      </c>
      <c r="M765">
        <v>414.12</v>
      </c>
      <c r="N765" s="1">
        <v>37875</v>
      </c>
      <c r="O765" t="s">
        <v>25</v>
      </c>
      <c r="P765">
        <v>3</v>
      </c>
      <c r="Q765">
        <v>9</v>
      </c>
      <c r="R765">
        <v>2003</v>
      </c>
      <c r="S765" t="s">
        <v>83</v>
      </c>
    </row>
    <row r="766" spans="1:19" x14ac:dyDescent="0.25">
      <c r="A766">
        <v>10213</v>
      </c>
      <c r="B766" t="s">
        <v>289</v>
      </c>
      <c r="C766" t="s">
        <v>144</v>
      </c>
      <c r="D766" t="s">
        <v>139</v>
      </c>
      <c r="E766" t="s">
        <v>77</v>
      </c>
      <c r="F766" t="s">
        <v>30</v>
      </c>
      <c r="G766" t="s">
        <v>24</v>
      </c>
      <c r="H766">
        <v>3</v>
      </c>
      <c r="I766">
        <v>27</v>
      </c>
      <c r="J766">
        <v>100</v>
      </c>
      <c r="K766">
        <v>117</v>
      </c>
      <c r="L766">
        <v>2790.45</v>
      </c>
      <c r="M766">
        <v>-368.55</v>
      </c>
      <c r="N766" s="1">
        <v>38008</v>
      </c>
      <c r="O766" t="s">
        <v>25</v>
      </c>
      <c r="P766">
        <v>1</v>
      </c>
      <c r="Q766">
        <v>1</v>
      </c>
      <c r="R766">
        <v>2004</v>
      </c>
      <c r="S766" t="s">
        <v>83</v>
      </c>
    </row>
    <row r="767" spans="1:19" x14ac:dyDescent="0.25">
      <c r="A767">
        <v>10311</v>
      </c>
      <c r="B767" t="s">
        <v>289</v>
      </c>
      <c r="C767" t="s">
        <v>78</v>
      </c>
      <c r="D767" t="s">
        <v>79</v>
      </c>
      <c r="E767" t="s">
        <v>80</v>
      </c>
      <c r="F767" t="s">
        <v>30</v>
      </c>
      <c r="G767" t="s">
        <v>33</v>
      </c>
      <c r="H767">
        <v>3</v>
      </c>
      <c r="I767">
        <v>43</v>
      </c>
      <c r="J767">
        <v>100</v>
      </c>
      <c r="K767">
        <v>117</v>
      </c>
      <c r="L767">
        <v>4595.41</v>
      </c>
      <c r="M767">
        <v>-435.59</v>
      </c>
      <c r="N767" s="1">
        <v>38276</v>
      </c>
      <c r="O767" t="s">
        <v>25</v>
      </c>
      <c r="P767">
        <v>4</v>
      </c>
      <c r="Q767">
        <v>10</v>
      </c>
      <c r="R767">
        <v>2004</v>
      </c>
      <c r="S767" t="s">
        <v>83</v>
      </c>
    </row>
    <row r="768" spans="1:19" x14ac:dyDescent="0.25">
      <c r="A768">
        <v>10225</v>
      </c>
      <c r="B768" t="s">
        <v>290</v>
      </c>
      <c r="C768" t="s">
        <v>181</v>
      </c>
      <c r="D768" t="s">
        <v>182</v>
      </c>
      <c r="E768" t="s">
        <v>183</v>
      </c>
      <c r="F768" t="s">
        <v>30</v>
      </c>
      <c r="G768" t="s">
        <v>24</v>
      </c>
      <c r="H768">
        <v>3</v>
      </c>
      <c r="I768">
        <v>42</v>
      </c>
      <c r="J768">
        <v>36.630000000000003</v>
      </c>
      <c r="K768">
        <v>37</v>
      </c>
      <c r="L768">
        <v>1538.46</v>
      </c>
      <c r="M768">
        <v>-15.54</v>
      </c>
      <c r="N768" s="1">
        <v>38039</v>
      </c>
      <c r="O768" t="s">
        <v>25</v>
      </c>
      <c r="P768">
        <v>1</v>
      </c>
      <c r="Q768">
        <v>2</v>
      </c>
      <c r="R768">
        <v>2004</v>
      </c>
      <c r="S768" t="s">
        <v>83</v>
      </c>
    </row>
    <row r="769" spans="1:19" x14ac:dyDescent="0.25">
      <c r="A769">
        <v>10261</v>
      </c>
      <c r="B769" t="s">
        <v>291</v>
      </c>
      <c r="C769" t="s">
        <v>123</v>
      </c>
      <c r="D769" t="s">
        <v>124</v>
      </c>
      <c r="E769" t="s">
        <v>99</v>
      </c>
      <c r="F769" t="s">
        <v>23</v>
      </c>
      <c r="G769" t="s">
        <v>24</v>
      </c>
      <c r="H769">
        <v>3</v>
      </c>
      <c r="I769">
        <v>22</v>
      </c>
      <c r="J769">
        <v>91.17</v>
      </c>
      <c r="K769">
        <v>88</v>
      </c>
      <c r="L769">
        <v>2005.74</v>
      </c>
      <c r="M769">
        <v>69.739999999999995</v>
      </c>
      <c r="N769" s="1">
        <v>38155</v>
      </c>
      <c r="O769" t="s">
        <v>25</v>
      </c>
      <c r="P769">
        <v>2</v>
      </c>
      <c r="Q769">
        <v>6</v>
      </c>
      <c r="R769">
        <v>2004</v>
      </c>
      <c r="S769" t="s">
        <v>226</v>
      </c>
    </row>
    <row r="770" spans="1:19" x14ac:dyDescent="0.25">
      <c r="A770">
        <v>10295</v>
      </c>
      <c r="B770" t="s">
        <v>291</v>
      </c>
      <c r="C770" t="s">
        <v>156</v>
      </c>
      <c r="D770" t="s">
        <v>157</v>
      </c>
      <c r="E770" t="s">
        <v>22</v>
      </c>
      <c r="F770" t="s">
        <v>23</v>
      </c>
      <c r="G770" t="s">
        <v>33</v>
      </c>
      <c r="H770">
        <v>3</v>
      </c>
      <c r="I770">
        <v>46</v>
      </c>
      <c r="J770">
        <v>84.97</v>
      </c>
      <c r="K770">
        <v>88</v>
      </c>
      <c r="L770">
        <v>3908.62</v>
      </c>
      <c r="M770">
        <v>-139.38</v>
      </c>
      <c r="N770" s="1">
        <v>38240</v>
      </c>
      <c r="O770" t="s">
        <v>25</v>
      </c>
      <c r="P770">
        <v>3</v>
      </c>
      <c r="Q770">
        <v>9</v>
      </c>
      <c r="R770">
        <v>2004</v>
      </c>
      <c r="S770" t="s">
        <v>226</v>
      </c>
    </row>
    <row r="771" spans="1:19" x14ac:dyDescent="0.25">
      <c r="A771">
        <v>10326</v>
      </c>
      <c r="B771" t="s">
        <v>291</v>
      </c>
      <c r="C771" t="s">
        <v>84</v>
      </c>
      <c r="D771" t="s">
        <v>85</v>
      </c>
      <c r="E771" t="s">
        <v>86</v>
      </c>
      <c r="F771" t="s">
        <v>30</v>
      </c>
      <c r="G771" t="s">
        <v>33</v>
      </c>
      <c r="H771">
        <v>3</v>
      </c>
      <c r="I771">
        <v>41</v>
      </c>
      <c r="J771">
        <v>85.85</v>
      </c>
      <c r="K771">
        <v>88</v>
      </c>
      <c r="L771">
        <v>3519.85</v>
      </c>
      <c r="M771">
        <v>-88.15</v>
      </c>
      <c r="N771" s="1">
        <v>38300</v>
      </c>
      <c r="O771" t="s">
        <v>25</v>
      </c>
      <c r="P771">
        <v>4</v>
      </c>
      <c r="Q771">
        <v>11</v>
      </c>
      <c r="R771">
        <v>2004</v>
      </c>
      <c r="S771" t="s">
        <v>226</v>
      </c>
    </row>
    <row r="772" spans="1:19" x14ac:dyDescent="0.25">
      <c r="A772">
        <v>10192</v>
      </c>
      <c r="B772" t="s">
        <v>292</v>
      </c>
      <c r="C772" t="s">
        <v>117</v>
      </c>
      <c r="D772" t="s">
        <v>118</v>
      </c>
      <c r="E772" t="s">
        <v>22</v>
      </c>
      <c r="F772" t="s">
        <v>23</v>
      </c>
      <c r="G772" t="s">
        <v>24</v>
      </c>
      <c r="H772">
        <v>3</v>
      </c>
      <c r="I772">
        <v>32</v>
      </c>
      <c r="J772">
        <v>72.77</v>
      </c>
      <c r="K772">
        <v>85</v>
      </c>
      <c r="L772">
        <v>2328.64</v>
      </c>
      <c r="M772">
        <v>-391.36</v>
      </c>
      <c r="N772" s="1">
        <v>37945</v>
      </c>
      <c r="O772" t="s">
        <v>25</v>
      </c>
      <c r="P772">
        <v>4</v>
      </c>
      <c r="Q772">
        <v>11</v>
      </c>
      <c r="R772">
        <v>2003</v>
      </c>
      <c r="S772" t="s">
        <v>83</v>
      </c>
    </row>
    <row r="773" spans="1:19" x14ac:dyDescent="0.25">
      <c r="A773">
        <v>10167</v>
      </c>
      <c r="B773" t="s">
        <v>294</v>
      </c>
      <c r="C773" t="s">
        <v>111</v>
      </c>
      <c r="D773" t="s">
        <v>112</v>
      </c>
      <c r="E773" t="s">
        <v>86</v>
      </c>
      <c r="F773" t="s">
        <v>30</v>
      </c>
      <c r="G773" t="s">
        <v>24</v>
      </c>
      <c r="H773">
        <v>3</v>
      </c>
      <c r="I773">
        <v>32</v>
      </c>
      <c r="J773">
        <v>63.12</v>
      </c>
      <c r="K773">
        <v>65</v>
      </c>
      <c r="L773">
        <v>2019.84</v>
      </c>
      <c r="M773">
        <v>-60.16</v>
      </c>
      <c r="N773" s="1">
        <v>37917</v>
      </c>
      <c r="O773" t="s">
        <v>141</v>
      </c>
      <c r="P773">
        <v>4</v>
      </c>
      <c r="Q773">
        <v>10</v>
      </c>
      <c r="R773">
        <v>2003</v>
      </c>
      <c r="S773" t="s">
        <v>226</v>
      </c>
    </row>
    <row r="774" spans="1:19" x14ac:dyDescent="0.25">
      <c r="A774">
        <v>10186</v>
      </c>
      <c r="B774" t="s">
        <v>294</v>
      </c>
      <c r="C774" t="s">
        <v>144</v>
      </c>
      <c r="D774" t="s">
        <v>139</v>
      </c>
      <c r="E774" t="s">
        <v>77</v>
      </c>
      <c r="F774" t="s">
        <v>30</v>
      </c>
      <c r="G774" t="s">
        <v>24</v>
      </c>
      <c r="H774">
        <v>3</v>
      </c>
      <c r="I774">
        <v>21</v>
      </c>
      <c r="J774">
        <v>69.040000000000006</v>
      </c>
      <c r="K774">
        <v>65</v>
      </c>
      <c r="L774">
        <v>1449.84</v>
      </c>
      <c r="M774">
        <v>84.84</v>
      </c>
      <c r="N774" s="1">
        <v>37939</v>
      </c>
      <c r="O774" t="s">
        <v>25</v>
      </c>
      <c r="P774">
        <v>4</v>
      </c>
      <c r="Q774">
        <v>11</v>
      </c>
      <c r="R774">
        <v>2003</v>
      </c>
      <c r="S774" t="s">
        <v>226</v>
      </c>
    </row>
    <row r="775" spans="1:19" x14ac:dyDescent="0.25">
      <c r="A775">
        <v>10274</v>
      </c>
      <c r="B775" t="s">
        <v>294</v>
      </c>
      <c r="C775" t="s">
        <v>119</v>
      </c>
      <c r="D775" t="s">
        <v>120</v>
      </c>
      <c r="E775" t="s">
        <v>22</v>
      </c>
      <c r="F775" t="s">
        <v>23</v>
      </c>
      <c r="G775" t="s">
        <v>24</v>
      </c>
      <c r="H775">
        <v>3</v>
      </c>
      <c r="I775">
        <v>24</v>
      </c>
      <c r="J775">
        <v>72.33</v>
      </c>
      <c r="K775">
        <v>65</v>
      </c>
      <c r="L775">
        <v>1735.92</v>
      </c>
      <c r="M775">
        <v>175.92</v>
      </c>
      <c r="N775" s="1">
        <v>38189</v>
      </c>
      <c r="O775" t="s">
        <v>25</v>
      </c>
      <c r="P775">
        <v>3</v>
      </c>
      <c r="Q775">
        <v>7</v>
      </c>
      <c r="R775">
        <v>2004</v>
      </c>
      <c r="S775" t="s">
        <v>226</v>
      </c>
    </row>
    <row r="776" spans="1:19" x14ac:dyDescent="0.25">
      <c r="A776">
        <v>10307</v>
      </c>
      <c r="B776" t="s">
        <v>294</v>
      </c>
      <c r="C776" t="s">
        <v>93</v>
      </c>
      <c r="D776" t="s">
        <v>94</v>
      </c>
      <c r="E776" t="s">
        <v>22</v>
      </c>
      <c r="F776" t="s">
        <v>23</v>
      </c>
      <c r="G776" t="s">
        <v>24</v>
      </c>
      <c r="H776">
        <v>3</v>
      </c>
      <c r="I776">
        <v>22</v>
      </c>
      <c r="J776">
        <v>71.67</v>
      </c>
      <c r="K776">
        <v>65</v>
      </c>
      <c r="L776">
        <v>1576.74</v>
      </c>
      <c r="M776">
        <v>146.74</v>
      </c>
      <c r="N776" s="1">
        <v>38274</v>
      </c>
      <c r="O776" t="s">
        <v>25</v>
      </c>
      <c r="P776">
        <v>4</v>
      </c>
      <c r="Q776">
        <v>10</v>
      </c>
      <c r="R776">
        <v>2004</v>
      </c>
      <c r="S776" t="s">
        <v>226</v>
      </c>
    </row>
    <row r="777" spans="1:19" x14ac:dyDescent="0.25">
      <c r="A777">
        <v>10400</v>
      </c>
      <c r="B777" t="s">
        <v>294</v>
      </c>
      <c r="C777" t="s">
        <v>162</v>
      </c>
      <c r="D777" t="s">
        <v>163</v>
      </c>
      <c r="E777" t="s">
        <v>22</v>
      </c>
      <c r="F777" t="s">
        <v>23</v>
      </c>
      <c r="G777" t="s">
        <v>24</v>
      </c>
      <c r="H777">
        <v>3</v>
      </c>
      <c r="I777">
        <v>38</v>
      </c>
      <c r="J777">
        <v>57.2</v>
      </c>
      <c r="K777">
        <v>65</v>
      </c>
      <c r="L777">
        <v>2173.6</v>
      </c>
      <c r="M777">
        <v>-296.39999999999998</v>
      </c>
      <c r="N777" s="1">
        <v>38443</v>
      </c>
      <c r="O777" t="s">
        <v>25</v>
      </c>
      <c r="P777">
        <v>2</v>
      </c>
      <c r="Q777">
        <v>4</v>
      </c>
      <c r="R777">
        <v>2005</v>
      </c>
      <c r="S777" t="s">
        <v>226</v>
      </c>
    </row>
    <row r="778" spans="1:19" x14ac:dyDescent="0.25">
      <c r="A778">
        <v>10273</v>
      </c>
      <c r="B778" t="s">
        <v>296</v>
      </c>
      <c r="C778" t="s">
        <v>151</v>
      </c>
      <c r="D778" t="s">
        <v>152</v>
      </c>
      <c r="E778" t="s">
        <v>153</v>
      </c>
      <c r="F778" t="s">
        <v>30</v>
      </c>
      <c r="G778" t="s">
        <v>33</v>
      </c>
      <c r="H778">
        <v>3</v>
      </c>
      <c r="I778">
        <v>48</v>
      </c>
      <c r="J778">
        <v>83.02</v>
      </c>
      <c r="K778">
        <v>83</v>
      </c>
      <c r="L778">
        <v>3984.96</v>
      </c>
      <c r="M778">
        <v>0.96</v>
      </c>
      <c r="N778" s="1">
        <v>38189</v>
      </c>
      <c r="O778" t="s">
        <v>25</v>
      </c>
      <c r="P778">
        <v>3</v>
      </c>
      <c r="Q778">
        <v>7</v>
      </c>
      <c r="R778">
        <v>2004</v>
      </c>
      <c r="S778" t="s">
        <v>226</v>
      </c>
    </row>
    <row r="779" spans="1:19" x14ac:dyDescent="0.25">
      <c r="A779">
        <v>10160</v>
      </c>
      <c r="B779" t="s">
        <v>297</v>
      </c>
      <c r="C779" t="s">
        <v>147</v>
      </c>
      <c r="D779" t="s">
        <v>148</v>
      </c>
      <c r="E779" t="s">
        <v>22</v>
      </c>
      <c r="F779" t="s">
        <v>23</v>
      </c>
      <c r="G779" t="s">
        <v>33</v>
      </c>
      <c r="H779">
        <v>3</v>
      </c>
      <c r="I779">
        <v>35</v>
      </c>
      <c r="J779">
        <v>100</v>
      </c>
      <c r="K779">
        <v>140</v>
      </c>
      <c r="L779">
        <v>4767.7</v>
      </c>
      <c r="M779">
        <v>-132.30000000000001</v>
      </c>
      <c r="N779" s="1">
        <v>37905</v>
      </c>
      <c r="O779" t="s">
        <v>25</v>
      </c>
      <c r="P779">
        <v>4</v>
      </c>
      <c r="Q779">
        <v>10</v>
      </c>
      <c r="R779">
        <v>2003</v>
      </c>
      <c r="S779" t="s">
        <v>83</v>
      </c>
    </row>
    <row r="780" spans="1:19" x14ac:dyDescent="0.25">
      <c r="A780">
        <v>10203</v>
      </c>
      <c r="B780" t="s">
        <v>297</v>
      </c>
      <c r="C780" t="s">
        <v>78</v>
      </c>
      <c r="D780" t="s">
        <v>79</v>
      </c>
      <c r="E780" t="s">
        <v>80</v>
      </c>
      <c r="F780" t="s">
        <v>30</v>
      </c>
      <c r="G780" t="s">
        <v>33</v>
      </c>
      <c r="H780">
        <v>3</v>
      </c>
      <c r="I780">
        <v>47</v>
      </c>
      <c r="J780">
        <v>100</v>
      </c>
      <c r="K780">
        <v>140</v>
      </c>
      <c r="L780">
        <v>6996.42</v>
      </c>
      <c r="M780">
        <v>416.42</v>
      </c>
      <c r="N780" s="1">
        <v>37957</v>
      </c>
      <c r="O780" t="s">
        <v>25</v>
      </c>
      <c r="P780">
        <v>4</v>
      </c>
      <c r="Q780">
        <v>12</v>
      </c>
      <c r="R780">
        <v>2003</v>
      </c>
      <c r="S780" t="s">
        <v>83</v>
      </c>
    </row>
    <row r="781" spans="1:19" x14ac:dyDescent="0.25">
      <c r="A781">
        <v>10239</v>
      </c>
      <c r="B781" t="s">
        <v>297</v>
      </c>
      <c r="C781" t="s">
        <v>160</v>
      </c>
      <c r="D781" t="s">
        <v>161</v>
      </c>
      <c r="E781" t="s">
        <v>62</v>
      </c>
      <c r="F781" t="s">
        <v>30</v>
      </c>
      <c r="G781" t="s">
        <v>33</v>
      </c>
      <c r="H781">
        <v>3</v>
      </c>
      <c r="I781">
        <v>29</v>
      </c>
      <c r="J781">
        <v>100</v>
      </c>
      <c r="K781">
        <v>140</v>
      </c>
      <c r="L781">
        <v>4479.63</v>
      </c>
      <c r="M781">
        <v>419.63</v>
      </c>
      <c r="N781" s="1">
        <v>38089</v>
      </c>
      <c r="O781" t="s">
        <v>25</v>
      </c>
      <c r="P781">
        <v>2</v>
      </c>
      <c r="Q781">
        <v>4</v>
      </c>
      <c r="R781">
        <v>2004</v>
      </c>
      <c r="S781" t="s">
        <v>83</v>
      </c>
    </row>
    <row r="782" spans="1:19" x14ac:dyDescent="0.25">
      <c r="A782">
        <v>10378</v>
      </c>
      <c r="B782" t="s">
        <v>297</v>
      </c>
      <c r="C782" t="s">
        <v>78</v>
      </c>
      <c r="D782" t="s">
        <v>79</v>
      </c>
      <c r="E782" t="s">
        <v>80</v>
      </c>
      <c r="F782" t="s">
        <v>30</v>
      </c>
      <c r="G782" t="s">
        <v>24</v>
      </c>
      <c r="H782">
        <v>3</v>
      </c>
      <c r="I782">
        <v>33</v>
      </c>
      <c r="J782">
        <v>53.27</v>
      </c>
      <c r="K782">
        <v>140</v>
      </c>
      <c r="L782">
        <v>1757.91</v>
      </c>
      <c r="M782">
        <v>-2862.09</v>
      </c>
      <c r="N782" s="1">
        <v>38393</v>
      </c>
      <c r="O782" t="s">
        <v>25</v>
      </c>
      <c r="P782">
        <v>1</v>
      </c>
      <c r="Q782">
        <v>2</v>
      </c>
      <c r="R782">
        <v>2005</v>
      </c>
      <c r="S782" t="s">
        <v>83</v>
      </c>
    </row>
    <row r="783" spans="1:19" x14ac:dyDescent="0.25">
      <c r="A783">
        <v>10405</v>
      </c>
      <c r="B783" t="s">
        <v>297</v>
      </c>
      <c r="C783" t="s">
        <v>217</v>
      </c>
      <c r="D783" t="s">
        <v>218</v>
      </c>
      <c r="E783" t="s">
        <v>29</v>
      </c>
      <c r="F783" t="s">
        <v>30</v>
      </c>
      <c r="G783" t="s">
        <v>70</v>
      </c>
      <c r="H783">
        <v>3</v>
      </c>
      <c r="I783">
        <v>76</v>
      </c>
      <c r="J783">
        <v>100</v>
      </c>
      <c r="K783">
        <v>140</v>
      </c>
      <c r="L783">
        <v>11739.7</v>
      </c>
      <c r="M783">
        <v>1099.7</v>
      </c>
      <c r="N783" s="1">
        <v>38456</v>
      </c>
      <c r="O783" t="s">
        <v>25</v>
      </c>
      <c r="P783">
        <v>2</v>
      </c>
      <c r="Q783">
        <v>4</v>
      </c>
      <c r="R783">
        <v>2005</v>
      </c>
      <c r="S783" t="s">
        <v>83</v>
      </c>
    </row>
    <row r="784" spans="1:19" x14ac:dyDescent="0.25">
      <c r="A784">
        <v>10131</v>
      </c>
      <c r="B784" t="s">
        <v>298</v>
      </c>
      <c r="C784" t="s">
        <v>235</v>
      </c>
      <c r="D784" t="s">
        <v>208</v>
      </c>
      <c r="E784" t="s">
        <v>22</v>
      </c>
      <c r="F784" t="s">
        <v>23</v>
      </c>
      <c r="G784" t="s">
        <v>33</v>
      </c>
      <c r="H784">
        <v>3</v>
      </c>
      <c r="I784">
        <v>50</v>
      </c>
      <c r="J784">
        <v>81.89</v>
      </c>
      <c r="K784">
        <v>68</v>
      </c>
      <c r="L784">
        <v>4094.5</v>
      </c>
      <c r="M784">
        <v>694.5</v>
      </c>
      <c r="N784" s="1">
        <v>37788</v>
      </c>
      <c r="O784" t="s">
        <v>25</v>
      </c>
      <c r="P784">
        <v>2</v>
      </c>
      <c r="Q784">
        <v>6</v>
      </c>
      <c r="R784">
        <v>2003</v>
      </c>
      <c r="S784" t="s">
        <v>234</v>
      </c>
    </row>
    <row r="785" spans="1:19" x14ac:dyDescent="0.25">
      <c r="A785">
        <v>10178</v>
      </c>
      <c r="B785" t="s">
        <v>298</v>
      </c>
      <c r="C785" t="s">
        <v>142</v>
      </c>
      <c r="D785" t="s">
        <v>143</v>
      </c>
      <c r="E785" t="s">
        <v>29</v>
      </c>
      <c r="F785" t="s">
        <v>30</v>
      </c>
      <c r="G785" t="s">
        <v>24</v>
      </c>
      <c r="H785">
        <v>3</v>
      </c>
      <c r="I785">
        <v>30</v>
      </c>
      <c r="J785">
        <v>72.33</v>
      </c>
      <c r="K785">
        <v>68</v>
      </c>
      <c r="L785">
        <v>2169.9</v>
      </c>
      <c r="M785">
        <v>129.9</v>
      </c>
      <c r="N785" s="1">
        <v>37933</v>
      </c>
      <c r="O785" t="s">
        <v>25</v>
      </c>
      <c r="P785">
        <v>4</v>
      </c>
      <c r="Q785">
        <v>11</v>
      </c>
      <c r="R785">
        <v>2003</v>
      </c>
      <c r="S785" t="s">
        <v>234</v>
      </c>
    </row>
    <row r="786" spans="1:19" x14ac:dyDescent="0.25">
      <c r="A786">
        <v>10198</v>
      </c>
      <c r="B786" t="s">
        <v>298</v>
      </c>
      <c r="C786" t="s">
        <v>173</v>
      </c>
      <c r="D786" t="s">
        <v>174</v>
      </c>
      <c r="E786" t="s">
        <v>175</v>
      </c>
      <c r="F786" t="s">
        <v>50</v>
      </c>
      <c r="G786" t="s">
        <v>24</v>
      </c>
      <c r="H786">
        <v>3</v>
      </c>
      <c r="I786">
        <v>43</v>
      </c>
      <c r="J786">
        <v>66.19</v>
      </c>
      <c r="K786">
        <v>68</v>
      </c>
      <c r="L786">
        <v>2846.17</v>
      </c>
      <c r="M786">
        <v>-77.83</v>
      </c>
      <c r="N786" s="1">
        <v>37952</v>
      </c>
      <c r="O786" t="s">
        <v>25</v>
      </c>
      <c r="P786">
        <v>4</v>
      </c>
      <c r="Q786">
        <v>11</v>
      </c>
      <c r="R786">
        <v>2003</v>
      </c>
      <c r="S786" t="s">
        <v>234</v>
      </c>
    </row>
    <row r="787" spans="1:19" x14ac:dyDescent="0.25">
      <c r="A787">
        <v>10222</v>
      </c>
      <c r="B787" t="s">
        <v>298</v>
      </c>
      <c r="C787" t="s">
        <v>149</v>
      </c>
      <c r="D787" t="s">
        <v>150</v>
      </c>
      <c r="E787" t="s">
        <v>22</v>
      </c>
      <c r="F787" t="s">
        <v>23</v>
      </c>
      <c r="G787" t="s">
        <v>24</v>
      </c>
      <c r="H787">
        <v>3</v>
      </c>
      <c r="I787">
        <v>48</v>
      </c>
      <c r="J787">
        <v>56.64</v>
      </c>
      <c r="K787">
        <v>68</v>
      </c>
      <c r="L787">
        <v>2718.72</v>
      </c>
      <c r="M787">
        <v>-545.28</v>
      </c>
      <c r="N787" s="1">
        <v>38036</v>
      </c>
      <c r="O787" t="s">
        <v>25</v>
      </c>
      <c r="P787">
        <v>1</v>
      </c>
      <c r="Q787">
        <v>2</v>
      </c>
      <c r="R787">
        <v>2004</v>
      </c>
      <c r="S787" t="s">
        <v>234</v>
      </c>
    </row>
    <row r="788" spans="1:19" x14ac:dyDescent="0.25">
      <c r="A788">
        <v>10328</v>
      </c>
      <c r="B788" t="s">
        <v>298</v>
      </c>
      <c r="C788" t="s">
        <v>227</v>
      </c>
      <c r="D788" t="s">
        <v>228</v>
      </c>
      <c r="E788" t="s">
        <v>110</v>
      </c>
      <c r="F788" t="s">
        <v>30</v>
      </c>
      <c r="G788" t="s">
        <v>24</v>
      </c>
      <c r="H788">
        <v>3</v>
      </c>
      <c r="I788">
        <v>35</v>
      </c>
      <c r="J788">
        <v>76.430000000000007</v>
      </c>
      <c r="K788">
        <v>68</v>
      </c>
      <c r="L788">
        <v>2675.05</v>
      </c>
      <c r="M788">
        <v>295.05</v>
      </c>
      <c r="N788" s="1">
        <v>38303</v>
      </c>
      <c r="O788" t="s">
        <v>25</v>
      </c>
      <c r="P788">
        <v>4</v>
      </c>
      <c r="Q788">
        <v>11</v>
      </c>
      <c r="R788">
        <v>2004</v>
      </c>
      <c r="S788" t="s">
        <v>234</v>
      </c>
    </row>
    <row r="789" spans="1:19" x14ac:dyDescent="0.25">
      <c r="A789">
        <v>10351</v>
      </c>
      <c r="B789" t="s">
        <v>298</v>
      </c>
      <c r="C789" t="s">
        <v>138</v>
      </c>
      <c r="D789" t="s">
        <v>139</v>
      </c>
      <c r="E789" t="s">
        <v>77</v>
      </c>
      <c r="F789" t="s">
        <v>30</v>
      </c>
      <c r="G789" t="s">
        <v>24</v>
      </c>
      <c r="H789">
        <v>3</v>
      </c>
      <c r="I789">
        <v>34</v>
      </c>
      <c r="J789">
        <v>59.37</v>
      </c>
      <c r="K789">
        <v>68</v>
      </c>
      <c r="L789">
        <v>2018.58</v>
      </c>
      <c r="M789">
        <v>-293.42</v>
      </c>
      <c r="N789" s="1">
        <v>38324</v>
      </c>
      <c r="O789" t="s">
        <v>25</v>
      </c>
      <c r="P789">
        <v>4</v>
      </c>
      <c r="Q789">
        <v>12</v>
      </c>
      <c r="R789">
        <v>2004</v>
      </c>
      <c r="S789" t="s">
        <v>234</v>
      </c>
    </row>
    <row r="790" spans="1:19" x14ac:dyDescent="0.25">
      <c r="A790">
        <v>10288</v>
      </c>
      <c r="B790" t="s">
        <v>299</v>
      </c>
      <c r="C790" t="s">
        <v>171</v>
      </c>
      <c r="D790" t="s">
        <v>89</v>
      </c>
      <c r="E790" t="s">
        <v>89</v>
      </c>
      <c r="F790" t="s">
        <v>50</v>
      </c>
      <c r="G790" t="s">
        <v>24</v>
      </c>
      <c r="H790">
        <v>3</v>
      </c>
      <c r="I790">
        <v>33</v>
      </c>
      <c r="J790">
        <v>40.619999999999997</v>
      </c>
      <c r="K790">
        <v>41</v>
      </c>
      <c r="L790">
        <v>1340.46</v>
      </c>
      <c r="M790">
        <v>-12.54</v>
      </c>
      <c r="N790" s="1">
        <v>38231</v>
      </c>
      <c r="O790" t="s">
        <v>25</v>
      </c>
      <c r="P790">
        <v>3</v>
      </c>
      <c r="Q790">
        <v>9</v>
      </c>
      <c r="R790">
        <v>2004</v>
      </c>
      <c r="S790" t="s">
        <v>226</v>
      </c>
    </row>
    <row r="791" spans="1:19" x14ac:dyDescent="0.25">
      <c r="A791">
        <v>10368</v>
      </c>
      <c r="B791" t="s">
        <v>299</v>
      </c>
      <c r="C791" t="s">
        <v>115</v>
      </c>
      <c r="D791" t="s">
        <v>116</v>
      </c>
      <c r="E791" t="s">
        <v>22</v>
      </c>
      <c r="F791" t="s">
        <v>23</v>
      </c>
      <c r="G791" t="s">
        <v>24</v>
      </c>
      <c r="H791">
        <v>3</v>
      </c>
      <c r="I791">
        <v>46</v>
      </c>
      <c r="J791">
        <v>37.340000000000003</v>
      </c>
      <c r="K791">
        <v>41</v>
      </c>
      <c r="L791">
        <v>1717.64</v>
      </c>
      <c r="M791">
        <v>-168.36</v>
      </c>
      <c r="N791" s="1">
        <v>38371</v>
      </c>
      <c r="O791" t="s">
        <v>25</v>
      </c>
      <c r="P791">
        <v>1</v>
      </c>
      <c r="Q791">
        <v>1</v>
      </c>
      <c r="R791">
        <v>2005</v>
      </c>
      <c r="S791" t="s">
        <v>226</v>
      </c>
    </row>
    <row r="792" spans="1:19" x14ac:dyDescent="0.25">
      <c r="A792">
        <v>10420</v>
      </c>
      <c r="B792" t="s">
        <v>299</v>
      </c>
      <c r="C792" t="s">
        <v>71</v>
      </c>
      <c r="D792" t="s">
        <v>72</v>
      </c>
      <c r="E792" t="s">
        <v>49</v>
      </c>
      <c r="F792" t="s">
        <v>50</v>
      </c>
      <c r="G792" t="s">
        <v>24</v>
      </c>
      <c r="H792">
        <v>3</v>
      </c>
      <c r="I792">
        <v>15</v>
      </c>
      <c r="J792">
        <v>43.49</v>
      </c>
      <c r="K792">
        <v>41</v>
      </c>
      <c r="L792">
        <v>652.35</v>
      </c>
      <c r="M792">
        <v>37.35</v>
      </c>
      <c r="N792" s="1">
        <v>38501</v>
      </c>
      <c r="O792" t="s">
        <v>125</v>
      </c>
      <c r="P792">
        <v>2</v>
      </c>
      <c r="Q792">
        <v>5</v>
      </c>
      <c r="R792">
        <v>2005</v>
      </c>
      <c r="S792" t="s">
        <v>226</v>
      </c>
    </row>
    <row r="793" spans="1:19" x14ac:dyDescent="0.25">
      <c r="A793">
        <v>10152</v>
      </c>
      <c r="B793" t="s">
        <v>300</v>
      </c>
      <c r="C793" t="s">
        <v>91</v>
      </c>
      <c r="D793" t="s">
        <v>92</v>
      </c>
      <c r="E793" t="s">
        <v>49</v>
      </c>
      <c r="F793" t="s">
        <v>50</v>
      </c>
      <c r="G793" t="s">
        <v>24</v>
      </c>
      <c r="H793">
        <v>3</v>
      </c>
      <c r="I793">
        <v>23</v>
      </c>
      <c r="J793">
        <v>100</v>
      </c>
      <c r="K793">
        <v>118</v>
      </c>
      <c r="L793">
        <v>2802.09</v>
      </c>
      <c r="M793">
        <v>88.09</v>
      </c>
      <c r="N793" s="1">
        <v>37889</v>
      </c>
      <c r="O793" t="s">
        <v>25</v>
      </c>
      <c r="P793">
        <v>3</v>
      </c>
      <c r="Q793">
        <v>9</v>
      </c>
      <c r="R793">
        <v>2003</v>
      </c>
      <c r="S793" t="s">
        <v>83</v>
      </c>
    </row>
    <row r="794" spans="1:19" x14ac:dyDescent="0.25">
      <c r="A794">
        <v>10207</v>
      </c>
      <c r="B794" t="s">
        <v>300</v>
      </c>
      <c r="C794" t="s">
        <v>170</v>
      </c>
      <c r="D794" t="s">
        <v>157</v>
      </c>
      <c r="E794" t="s">
        <v>22</v>
      </c>
      <c r="F794" t="s">
        <v>23</v>
      </c>
      <c r="G794" t="s">
        <v>24</v>
      </c>
      <c r="H794">
        <v>3</v>
      </c>
      <c r="I794">
        <v>28</v>
      </c>
      <c r="J794">
        <v>100</v>
      </c>
      <c r="K794">
        <v>118</v>
      </c>
      <c r="L794">
        <v>2980.6</v>
      </c>
      <c r="M794">
        <v>-323.39999999999998</v>
      </c>
      <c r="N794" s="1">
        <v>37964</v>
      </c>
      <c r="O794" t="s">
        <v>25</v>
      </c>
      <c r="P794">
        <v>4</v>
      </c>
      <c r="Q794">
        <v>12</v>
      </c>
      <c r="R794">
        <v>2003</v>
      </c>
      <c r="S794" t="s">
        <v>83</v>
      </c>
    </row>
    <row r="795" spans="1:19" x14ac:dyDescent="0.25">
      <c r="A795">
        <v>10111</v>
      </c>
      <c r="B795" t="s">
        <v>301</v>
      </c>
      <c r="C795" t="s">
        <v>45</v>
      </c>
      <c r="D795" t="s">
        <v>37</v>
      </c>
      <c r="E795" t="s">
        <v>22</v>
      </c>
      <c r="F795" t="s">
        <v>23</v>
      </c>
      <c r="G795" t="s">
        <v>24</v>
      </c>
      <c r="H795">
        <v>3</v>
      </c>
      <c r="I795">
        <v>26</v>
      </c>
      <c r="J795">
        <v>86.68</v>
      </c>
      <c r="K795">
        <v>97</v>
      </c>
      <c r="L795">
        <v>2253.6799999999998</v>
      </c>
      <c r="M795">
        <v>-268.32</v>
      </c>
      <c r="N795" s="1">
        <v>37705</v>
      </c>
      <c r="O795" t="s">
        <v>25</v>
      </c>
      <c r="P795">
        <v>1</v>
      </c>
      <c r="Q795">
        <v>3</v>
      </c>
      <c r="R795">
        <v>2003</v>
      </c>
      <c r="S795" t="s">
        <v>226</v>
      </c>
    </row>
    <row r="796" spans="1:19" x14ac:dyDescent="0.25">
      <c r="A796">
        <v>10173</v>
      </c>
      <c r="B796" t="s">
        <v>301</v>
      </c>
      <c r="C796" t="s">
        <v>227</v>
      </c>
      <c r="D796" t="s">
        <v>228</v>
      </c>
      <c r="E796" t="s">
        <v>110</v>
      </c>
      <c r="F796" t="s">
        <v>30</v>
      </c>
      <c r="G796" t="s">
        <v>24</v>
      </c>
      <c r="H796">
        <v>3</v>
      </c>
      <c r="I796">
        <v>22</v>
      </c>
      <c r="J796">
        <v>100</v>
      </c>
      <c r="K796">
        <v>97</v>
      </c>
      <c r="L796">
        <v>2571.14</v>
      </c>
      <c r="M796">
        <v>437.14</v>
      </c>
      <c r="N796" s="1">
        <v>37930</v>
      </c>
      <c r="O796" t="s">
        <v>25</v>
      </c>
      <c r="P796">
        <v>4</v>
      </c>
      <c r="Q796">
        <v>11</v>
      </c>
      <c r="R796">
        <v>2003</v>
      </c>
      <c r="S796" t="s">
        <v>226</v>
      </c>
    </row>
    <row r="797" spans="1:19" x14ac:dyDescent="0.25">
      <c r="A797">
        <v>10324</v>
      </c>
      <c r="B797" t="s">
        <v>301</v>
      </c>
      <c r="C797" t="s">
        <v>51</v>
      </c>
      <c r="D797" t="s">
        <v>21</v>
      </c>
      <c r="E797" t="s">
        <v>22</v>
      </c>
      <c r="F797" t="s">
        <v>23</v>
      </c>
      <c r="G797" t="s">
        <v>33</v>
      </c>
      <c r="H797">
        <v>3</v>
      </c>
      <c r="I797">
        <v>33</v>
      </c>
      <c r="J797">
        <v>100</v>
      </c>
      <c r="K797">
        <v>97</v>
      </c>
      <c r="L797">
        <v>6267.69</v>
      </c>
      <c r="M797">
        <v>3066.69</v>
      </c>
      <c r="N797" s="1">
        <v>38296</v>
      </c>
      <c r="O797" t="s">
        <v>25</v>
      </c>
      <c r="P797">
        <v>4</v>
      </c>
      <c r="Q797">
        <v>11</v>
      </c>
      <c r="R797">
        <v>2004</v>
      </c>
      <c r="S797" t="s">
        <v>226</v>
      </c>
    </row>
    <row r="798" spans="1:19" x14ac:dyDescent="0.25">
      <c r="A798">
        <v>10369</v>
      </c>
      <c r="B798" t="s">
        <v>301</v>
      </c>
      <c r="C798" t="s">
        <v>119</v>
      </c>
      <c r="D798" t="s">
        <v>120</v>
      </c>
      <c r="E798" t="s">
        <v>22</v>
      </c>
      <c r="F798" t="s">
        <v>23</v>
      </c>
      <c r="G798" t="s">
        <v>33</v>
      </c>
      <c r="H798">
        <v>3</v>
      </c>
      <c r="I798">
        <v>40</v>
      </c>
      <c r="J798">
        <v>86.92</v>
      </c>
      <c r="K798">
        <v>97</v>
      </c>
      <c r="L798">
        <v>3476.8</v>
      </c>
      <c r="M798">
        <v>-403.2</v>
      </c>
      <c r="N798" s="1">
        <v>38372</v>
      </c>
      <c r="O798" t="s">
        <v>25</v>
      </c>
      <c r="P798">
        <v>1</v>
      </c>
      <c r="Q798">
        <v>1</v>
      </c>
      <c r="R798">
        <v>2005</v>
      </c>
      <c r="S798" t="s">
        <v>226</v>
      </c>
    </row>
    <row r="799" spans="1:19" x14ac:dyDescent="0.25">
      <c r="A799">
        <v>10106</v>
      </c>
      <c r="B799" t="s">
        <v>302</v>
      </c>
      <c r="C799" t="s">
        <v>227</v>
      </c>
      <c r="D799" t="s">
        <v>228</v>
      </c>
      <c r="E799" t="s">
        <v>110</v>
      </c>
      <c r="F799" t="s">
        <v>30</v>
      </c>
      <c r="G799" t="s">
        <v>24</v>
      </c>
      <c r="H799">
        <v>3</v>
      </c>
      <c r="I799">
        <v>26</v>
      </c>
      <c r="J799">
        <v>63.76</v>
      </c>
      <c r="K799">
        <v>72</v>
      </c>
      <c r="L799">
        <v>1657.76</v>
      </c>
      <c r="M799">
        <v>-214.24</v>
      </c>
      <c r="N799" s="1">
        <v>37669</v>
      </c>
      <c r="O799" t="s">
        <v>25</v>
      </c>
      <c r="P799">
        <v>1</v>
      </c>
      <c r="Q799">
        <v>2</v>
      </c>
      <c r="R799">
        <v>2003</v>
      </c>
      <c r="S799" t="s">
        <v>234</v>
      </c>
    </row>
    <row r="800" spans="1:19" x14ac:dyDescent="0.25">
      <c r="A800">
        <v>10353</v>
      </c>
      <c r="B800" t="s">
        <v>302</v>
      </c>
      <c r="C800" t="s">
        <v>235</v>
      </c>
      <c r="D800" t="s">
        <v>208</v>
      </c>
      <c r="E800" t="s">
        <v>22</v>
      </c>
      <c r="F800" t="s">
        <v>23</v>
      </c>
      <c r="G800" t="s">
        <v>33</v>
      </c>
      <c r="H800">
        <v>3</v>
      </c>
      <c r="I800">
        <v>35</v>
      </c>
      <c r="J800">
        <v>89.9</v>
      </c>
      <c r="K800">
        <v>72</v>
      </c>
      <c r="L800">
        <v>3146.5</v>
      </c>
      <c r="M800">
        <v>626.5</v>
      </c>
      <c r="N800" s="1">
        <v>38325</v>
      </c>
      <c r="O800" t="s">
        <v>25</v>
      </c>
      <c r="P800">
        <v>4</v>
      </c>
      <c r="Q800">
        <v>12</v>
      </c>
      <c r="R800">
        <v>2004</v>
      </c>
      <c r="S800" t="s">
        <v>234</v>
      </c>
    </row>
    <row r="801" spans="1:19" x14ac:dyDescent="0.25">
      <c r="A801">
        <v>10252</v>
      </c>
      <c r="B801" t="s">
        <v>303</v>
      </c>
      <c r="C801" t="s">
        <v>46</v>
      </c>
      <c r="D801" t="s">
        <v>32</v>
      </c>
      <c r="E801" t="s">
        <v>29</v>
      </c>
      <c r="F801" t="s">
        <v>30</v>
      </c>
      <c r="G801" t="s">
        <v>33</v>
      </c>
      <c r="H801">
        <v>3</v>
      </c>
      <c r="I801">
        <v>38</v>
      </c>
      <c r="J801">
        <v>87.31</v>
      </c>
      <c r="K801">
        <v>80</v>
      </c>
      <c r="L801">
        <v>3317.78</v>
      </c>
      <c r="M801">
        <v>277.77999999999997</v>
      </c>
      <c r="N801" s="1">
        <v>38133</v>
      </c>
      <c r="O801" t="s">
        <v>25</v>
      </c>
      <c r="P801">
        <v>2</v>
      </c>
      <c r="Q801">
        <v>5</v>
      </c>
      <c r="R801">
        <v>2004</v>
      </c>
      <c r="S801" t="s">
        <v>83</v>
      </c>
    </row>
    <row r="802" spans="1:19" x14ac:dyDescent="0.25">
      <c r="A802">
        <v>10103</v>
      </c>
      <c r="B802" t="s">
        <v>304</v>
      </c>
      <c r="C802" t="s">
        <v>63</v>
      </c>
      <c r="D802" t="s">
        <v>64</v>
      </c>
      <c r="E802" t="s">
        <v>44</v>
      </c>
      <c r="F802" t="s">
        <v>30</v>
      </c>
      <c r="G802" t="s">
        <v>33</v>
      </c>
      <c r="H802">
        <v>3</v>
      </c>
      <c r="I802">
        <v>31</v>
      </c>
      <c r="J802">
        <v>100</v>
      </c>
      <c r="K802">
        <v>96</v>
      </c>
      <c r="L802">
        <v>3224.31</v>
      </c>
      <c r="M802">
        <v>248.31</v>
      </c>
      <c r="N802" s="1">
        <v>37650</v>
      </c>
      <c r="O802" t="s">
        <v>25</v>
      </c>
      <c r="P802">
        <v>1</v>
      </c>
      <c r="Q802">
        <v>1</v>
      </c>
      <c r="R802">
        <v>2003</v>
      </c>
      <c r="S802" t="s">
        <v>202</v>
      </c>
    </row>
    <row r="803" spans="1:19" x14ac:dyDescent="0.25">
      <c r="A803">
        <v>10126</v>
      </c>
      <c r="B803" t="s">
        <v>304</v>
      </c>
      <c r="C803" t="s">
        <v>87</v>
      </c>
      <c r="D803" t="s">
        <v>79</v>
      </c>
      <c r="E803" t="s">
        <v>80</v>
      </c>
      <c r="F803" t="s">
        <v>30</v>
      </c>
      <c r="G803" t="s">
        <v>33</v>
      </c>
      <c r="H803">
        <v>3</v>
      </c>
      <c r="I803">
        <v>43</v>
      </c>
      <c r="J803">
        <v>96.31</v>
      </c>
      <c r="K803">
        <v>96</v>
      </c>
      <c r="L803">
        <v>4141.33</v>
      </c>
      <c r="M803">
        <v>13.33</v>
      </c>
      <c r="N803" s="1">
        <v>37769</v>
      </c>
      <c r="O803" t="s">
        <v>25</v>
      </c>
      <c r="P803">
        <v>2</v>
      </c>
      <c r="Q803">
        <v>5</v>
      </c>
      <c r="R803">
        <v>2003</v>
      </c>
      <c r="S803" t="s">
        <v>202</v>
      </c>
    </row>
    <row r="804" spans="1:19" x14ac:dyDescent="0.25">
      <c r="A804">
        <v>10140</v>
      </c>
      <c r="B804" t="s">
        <v>304</v>
      </c>
      <c r="C804" t="s">
        <v>38</v>
      </c>
      <c r="D804" t="s">
        <v>39</v>
      </c>
      <c r="E804" t="s">
        <v>22</v>
      </c>
      <c r="F804" t="s">
        <v>23</v>
      </c>
      <c r="G804" t="s">
        <v>24</v>
      </c>
      <c r="H804">
        <v>3</v>
      </c>
      <c r="I804">
        <v>26</v>
      </c>
      <c r="J804">
        <v>100</v>
      </c>
      <c r="K804">
        <v>96</v>
      </c>
      <c r="L804">
        <v>2829.58</v>
      </c>
      <c r="M804">
        <v>333.58</v>
      </c>
      <c r="N804" s="1">
        <v>37826</v>
      </c>
      <c r="O804" t="s">
        <v>25</v>
      </c>
      <c r="P804">
        <v>3</v>
      </c>
      <c r="Q804">
        <v>7</v>
      </c>
      <c r="R804">
        <v>2003</v>
      </c>
      <c r="S804" t="s">
        <v>202</v>
      </c>
    </row>
    <row r="805" spans="1:19" x14ac:dyDescent="0.25">
      <c r="A805">
        <v>10194</v>
      </c>
      <c r="B805" t="s">
        <v>304</v>
      </c>
      <c r="C805" t="s">
        <v>95</v>
      </c>
      <c r="D805" t="s">
        <v>96</v>
      </c>
      <c r="E805" t="s">
        <v>29</v>
      </c>
      <c r="F805" t="s">
        <v>30</v>
      </c>
      <c r="G805" t="s">
        <v>33</v>
      </c>
      <c r="H805">
        <v>3</v>
      </c>
      <c r="I805">
        <v>37</v>
      </c>
      <c r="J805">
        <v>97.27</v>
      </c>
      <c r="K805">
        <v>96</v>
      </c>
      <c r="L805">
        <v>3598.99</v>
      </c>
      <c r="M805">
        <v>46.99</v>
      </c>
      <c r="N805" s="1">
        <v>37950</v>
      </c>
      <c r="O805" t="s">
        <v>25</v>
      </c>
      <c r="P805">
        <v>4</v>
      </c>
      <c r="Q805">
        <v>11</v>
      </c>
      <c r="R805">
        <v>2003</v>
      </c>
      <c r="S805" t="s">
        <v>202</v>
      </c>
    </row>
    <row r="806" spans="1:19" x14ac:dyDescent="0.25">
      <c r="A806">
        <v>10217</v>
      </c>
      <c r="B806" t="s">
        <v>304</v>
      </c>
      <c r="C806" t="s">
        <v>171</v>
      </c>
      <c r="D806" t="s">
        <v>89</v>
      </c>
      <c r="E806" t="s">
        <v>89</v>
      </c>
      <c r="F806" t="s">
        <v>50</v>
      </c>
      <c r="G806" t="s">
        <v>24</v>
      </c>
      <c r="H806">
        <v>3</v>
      </c>
      <c r="I806">
        <v>21</v>
      </c>
      <c r="J806">
        <v>100</v>
      </c>
      <c r="K806">
        <v>96</v>
      </c>
      <c r="L806">
        <v>2244.9</v>
      </c>
      <c r="M806">
        <v>228.9</v>
      </c>
      <c r="N806" s="1">
        <v>38021</v>
      </c>
      <c r="O806" t="s">
        <v>25</v>
      </c>
      <c r="P806">
        <v>1</v>
      </c>
      <c r="Q806">
        <v>2</v>
      </c>
      <c r="R806">
        <v>2004</v>
      </c>
      <c r="S806" t="s">
        <v>202</v>
      </c>
    </row>
    <row r="807" spans="1:19" x14ac:dyDescent="0.25">
      <c r="A807">
        <v>10291</v>
      </c>
      <c r="B807" t="s">
        <v>304</v>
      </c>
      <c r="C807" t="s">
        <v>111</v>
      </c>
      <c r="D807" t="s">
        <v>112</v>
      </c>
      <c r="E807" t="s">
        <v>86</v>
      </c>
      <c r="F807" t="s">
        <v>30</v>
      </c>
      <c r="G807" t="s">
        <v>24</v>
      </c>
      <c r="H807">
        <v>3</v>
      </c>
      <c r="I807">
        <v>26</v>
      </c>
      <c r="J807">
        <v>83.79</v>
      </c>
      <c r="K807">
        <v>96</v>
      </c>
      <c r="L807">
        <v>2178.54</v>
      </c>
      <c r="M807">
        <v>-317.45999999999998</v>
      </c>
      <c r="N807" s="1">
        <v>38238</v>
      </c>
      <c r="O807" t="s">
        <v>25</v>
      </c>
      <c r="P807">
        <v>3</v>
      </c>
      <c r="Q807">
        <v>9</v>
      </c>
      <c r="R807">
        <v>2004</v>
      </c>
      <c r="S807" t="s">
        <v>202</v>
      </c>
    </row>
    <row r="808" spans="1:19" x14ac:dyDescent="0.25">
      <c r="A808">
        <v>10348</v>
      </c>
      <c r="B808" t="s">
        <v>304</v>
      </c>
      <c r="C808" t="s">
        <v>87</v>
      </c>
      <c r="D808" t="s">
        <v>79</v>
      </c>
      <c r="E808" t="s">
        <v>80</v>
      </c>
      <c r="F808" t="s">
        <v>30</v>
      </c>
      <c r="G808" t="s">
        <v>33</v>
      </c>
      <c r="H808">
        <v>3</v>
      </c>
      <c r="I808">
        <v>42</v>
      </c>
      <c r="J808">
        <v>100</v>
      </c>
      <c r="K808">
        <v>96</v>
      </c>
      <c r="L808">
        <v>6386.94</v>
      </c>
      <c r="M808">
        <v>2354.94</v>
      </c>
      <c r="N808" s="1">
        <v>38292</v>
      </c>
      <c r="O808" t="s">
        <v>25</v>
      </c>
      <c r="P808">
        <v>4</v>
      </c>
      <c r="Q808">
        <v>11</v>
      </c>
      <c r="R808">
        <v>2004</v>
      </c>
      <c r="S808" t="s">
        <v>202</v>
      </c>
    </row>
    <row r="809" spans="1:19" x14ac:dyDescent="0.25">
      <c r="A809">
        <v>10375</v>
      </c>
      <c r="B809" t="s">
        <v>305</v>
      </c>
      <c r="C809" t="s">
        <v>56</v>
      </c>
      <c r="D809" t="s">
        <v>57</v>
      </c>
      <c r="E809" t="s">
        <v>29</v>
      </c>
      <c r="F809" t="s">
        <v>30</v>
      </c>
      <c r="G809" t="s">
        <v>33</v>
      </c>
      <c r="H809">
        <v>3</v>
      </c>
      <c r="I809">
        <v>37</v>
      </c>
      <c r="J809">
        <v>100</v>
      </c>
      <c r="K809">
        <v>99</v>
      </c>
      <c r="L809">
        <v>6353.27</v>
      </c>
      <c r="M809">
        <v>2690.27</v>
      </c>
      <c r="N809" s="1">
        <v>38386</v>
      </c>
      <c r="O809" t="s">
        <v>25</v>
      </c>
      <c r="P809">
        <v>1</v>
      </c>
      <c r="Q809">
        <v>2</v>
      </c>
      <c r="R809">
        <v>2005</v>
      </c>
      <c r="S809" t="s">
        <v>26</v>
      </c>
    </row>
    <row r="810" spans="1:19" x14ac:dyDescent="0.25">
      <c r="A810">
        <v>10331</v>
      </c>
      <c r="B810" t="s">
        <v>306</v>
      </c>
      <c r="C810" t="s">
        <v>129</v>
      </c>
      <c r="D810" t="s">
        <v>94</v>
      </c>
      <c r="E810" t="s">
        <v>22</v>
      </c>
      <c r="F810" t="s">
        <v>23</v>
      </c>
      <c r="G810" t="s">
        <v>33</v>
      </c>
      <c r="H810">
        <v>3</v>
      </c>
      <c r="I810">
        <v>28</v>
      </c>
      <c r="J810">
        <v>100</v>
      </c>
      <c r="K810">
        <v>40</v>
      </c>
      <c r="L810">
        <v>4102.5600000000004</v>
      </c>
      <c r="M810">
        <v>2982.56</v>
      </c>
      <c r="N810" s="1">
        <v>38308</v>
      </c>
      <c r="O810" t="s">
        <v>25</v>
      </c>
      <c r="P810">
        <v>4</v>
      </c>
      <c r="Q810">
        <v>11</v>
      </c>
      <c r="R810">
        <v>2004</v>
      </c>
      <c r="S810" t="s">
        <v>26</v>
      </c>
    </row>
    <row r="811" spans="1:19" x14ac:dyDescent="0.25">
      <c r="A811">
        <v>10175</v>
      </c>
      <c r="B811" t="s">
        <v>307</v>
      </c>
      <c r="C811" t="s">
        <v>138</v>
      </c>
      <c r="D811" t="s">
        <v>139</v>
      </c>
      <c r="E811" t="s">
        <v>77</v>
      </c>
      <c r="F811" t="s">
        <v>30</v>
      </c>
      <c r="G811" t="s">
        <v>33</v>
      </c>
      <c r="H811">
        <v>3</v>
      </c>
      <c r="I811">
        <v>50</v>
      </c>
      <c r="J811">
        <v>63.31</v>
      </c>
      <c r="K811">
        <v>54</v>
      </c>
      <c r="L811">
        <v>3165.5</v>
      </c>
      <c r="M811">
        <v>465.5</v>
      </c>
      <c r="N811" s="1">
        <v>37931</v>
      </c>
      <c r="O811" t="s">
        <v>25</v>
      </c>
      <c r="P811">
        <v>4</v>
      </c>
      <c r="Q811">
        <v>11</v>
      </c>
      <c r="R811">
        <v>2003</v>
      </c>
      <c r="S811" t="s">
        <v>202</v>
      </c>
    </row>
    <row r="812" spans="1:19" x14ac:dyDescent="0.25">
      <c r="A812">
        <v>10229</v>
      </c>
      <c r="B812" t="s">
        <v>307</v>
      </c>
      <c r="C812" t="s">
        <v>115</v>
      </c>
      <c r="D812" t="s">
        <v>116</v>
      </c>
      <c r="E812" t="s">
        <v>22</v>
      </c>
      <c r="F812" t="s">
        <v>23</v>
      </c>
      <c r="G812" t="s">
        <v>24</v>
      </c>
      <c r="H812">
        <v>3</v>
      </c>
      <c r="I812">
        <v>23</v>
      </c>
      <c r="J812">
        <v>54.11</v>
      </c>
      <c r="K812">
        <v>54</v>
      </c>
      <c r="L812">
        <v>1244.53</v>
      </c>
      <c r="M812">
        <v>2.5299999999999998</v>
      </c>
      <c r="N812" s="1">
        <v>38057</v>
      </c>
      <c r="O812" t="s">
        <v>25</v>
      </c>
      <c r="P812">
        <v>1</v>
      </c>
      <c r="Q812">
        <v>3</v>
      </c>
      <c r="R812">
        <v>2004</v>
      </c>
      <c r="S812" t="s">
        <v>202</v>
      </c>
    </row>
    <row r="813" spans="1:19" x14ac:dyDescent="0.25">
      <c r="A813">
        <v>10281</v>
      </c>
      <c r="B813" t="s">
        <v>307</v>
      </c>
      <c r="C813" t="s">
        <v>65</v>
      </c>
      <c r="D813" t="s">
        <v>66</v>
      </c>
      <c r="E813" t="s">
        <v>22</v>
      </c>
      <c r="F813" t="s">
        <v>23</v>
      </c>
      <c r="G813" t="s">
        <v>24</v>
      </c>
      <c r="H813">
        <v>3</v>
      </c>
      <c r="I813">
        <v>31</v>
      </c>
      <c r="J813">
        <v>55.19</v>
      </c>
      <c r="K813">
        <v>54</v>
      </c>
      <c r="L813">
        <v>1710.89</v>
      </c>
      <c r="M813">
        <v>36.89</v>
      </c>
      <c r="N813" s="1">
        <v>38218</v>
      </c>
      <c r="O813" t="s">
        <v>25</v>
      </c>
      <c r="P813">
        <v>3</v>
      </c>
      <c r="Q813">
        <v>8</v>
      </c>
      <c r="R813">
        <v>2004</v>
      </c>
      <c r="S813" t="s">
        <v>202</v>
      </c>
    </row>
    <row r="814" spans="1:19" x14ac:dyDescent="0.25">
      <c r="A814">
        <v>10325</v>
      </c>
      <c r="B814" t="s">
        <v>307</v>
      </c>
      <c r="C814" t="s">
        <v>63</v>
      </c>
      <c r="D814" t="s">
        <v>64</v>
      </c>
      <c r="E814" t="s">
        <v>44</v>
      </c>
      <c r="F814" t="s">
        <v>30</v>
      </c>
      <c r="G814" t="s">
        <v>70</v>
      </c>
      <c r="H814">
        <v>3</v>
      </c>
      <c r="I814">
        <v>38</v>
      </c>
      <c r="J814">
        <v>100</v>
      </c>
      <c r="K814">
        <v>54</v>
      </c>
      <c r="L814">
        <v>8844.1200000000008</v>
      </c>
      <c r="M814">
        <v>6792.12</v>
      </c>
      <c r="N814" s="1">
        <v>38296</v>
      </c>
      <c r="O814" t="s">
        <v>25</v>
      </c>
      <c r="P814">
        <v>4</v>
      </c>
      <c r="Q814">
        <v>11</v>
      </c>
      <c r="R814">
        <v>2004</v>
      </c>
      <c r="S814" t="s">
        <v>202</v>
      </c>
    </row>
    <row r="815" spans="1:19" x14ac:dyDescent="0.25">
      <c r="A815">
        <v>10335</v>
      </c>
      <c r="B815" t="s">
        <v>307</v>
      </c>
      <c r="C815" t="s">
        <v>115</v>
      </c>
      <c r="D815" t="s">
        <v>116</v>
      </c>
      <c r="E815" t="s">
        <v>22</v>
      </c>
      <c r="F815" t="s">
        <v>23</v>
      </c>
      <c r="G815" t="s">
        <v>24</v>
      </c>
      <c r="H815">
        <v>3</v>
      </c>
      <c r="I815">
        <v>40</v>
      </c>
      <c r="J815">
        <v>60.6</v>
      </c>
      <c r="K815">
        <v>54</v>
      </c>
      <c r="L815">
        <v>2424</v>
      </c>
      <c r="M815">
        <v>264</v>
      </c>
      <c r="N815" s="1">
        <v>38310</v>
      </c>
      <c r="O815" t="s">
        <v>25</v>
      </c>
      <c r="P815">
        <v>4</v>
      </c>
      <c r="Q815">
        <v>11</v>
      </c>
      <c r="R815">
        <v>2004</v>
      </c>
      <c r="S815" t="s">
        <v>202</v>
      </c>
    </row>
    <row r="816" spans="1:19" x14ac:dyDescent="0.25">
      <c r="A816">
        <v>10359</v>
      </c>
      <c r="B816" t="s">
        <v>307</v>
      </c>
      <c r="C816" t="s">
        <v>27</v>
      </c>
      <c r="D816" t="s">
        <v>28</v>
      </c>
      <c r="E816" t="s">
        <v>29</v>
      </c>
      <c r="F816" t="s">
        <v>30</v>
      </c>
      <c r="G816" t="s">
        <v>33</v>
      </c>
      <c r="H816">
        <v>3</v>
      </c>
      <c r="I816">
        <v>36</v>
      </c>
      <c r="J816">
        <v>100</v>
      </c>
      <c r="K816">
        <v>54</v>
      </c>
      <c r="L816">
        <v>6358.68</v>
      </c>
      <c r="M816">
        <v>4414.68</v>
      </c>
      <c r="N816" s="1">
        <v>38336</v>
      </c>
      <c r="O816" t="s">
        <v>25</v>
      </c>
      <c r="P816">
        <v>4</v>
      </c>
      <c r="Q816">
        <v>12</v>
      </c>
      <c r="R816">
        <v>2004</v>
      </c>
      <c r="S816" t="s">
        <v>202</v>
      </c>
    </row>
    <row r="817" spans="1:19" x14ac:dyDescent="0.25">
      <c r="A817">
        <v>10394</v>
      </c>
      <c r="B817" t="s">
        <v>307</v>
      </c>
      <c r="C817" t="s">
        <v>78</v>
      </c>
      <c r="D817" t="s">
        <v>79</v>
      </c>
      <c r="E817" t="s">
        <v>80</v>
      </c>
      <c r="F817" t="s">
        <v>30</v>
      </c>
      <c r="G817" t="s">
        <v>24</v>
      </c>
      <c r="H817">
        <v>3</v>
      </c>
      <c r="I817">
        <v>36</v>
      </c>
      <c r="J817">
        <v>62.77</v>
      </c>
      <c r="K817">
        <v>54</v>
      </c>
      <c r="L817">
        <v>2259.7199999999998</v>
      </c>
      <c r="M817">
        <v>315.72000000000003</v>
      </c>
      <c r="N817" s="1">
        <v>38426</v>
      </c>
      <c r="O817" t="s">
        <v>25</v>
      </c>
      <c r="P817">
        <v>1</v>
      </c>
      <c r="Q817">
        <v>3</v>
      </c>
      <c r="R817">
        <v>2005</v>
      </c>
      <c r="S817" t="s">
        <v>202</v>
      </c>
    </row>
    <row r="818" spans="1:19" x14ac:dyDescent="0.25">
      <c r="A818">
        <v>10292</v>
      </c>
      <c r="B818" t="s">
        <v>308</v>
      </c>
      <c r="C818" t="s">
        <v>20</v>
      </c>
      <c r="D818" t="s">
        <v>21</v>
      </c>
      <c r="E818" t="s">
        <v>22</v>
      </c>
      <c r="F818" t="s">
        <v>23</v>
      </c>
      <c r="G818" t="s">
        <v>24</v>
      </c>
      <c r="H818">
        <v>3</v>
      </c>
      <c r="I818">
        <v>31</v>
      </c>
      <c r="J818">
        <v>67.73</v>
      </c>
      <c r="K818">
        <v>62</v>
      </c>
      <c r="L818">
        <v>2099.63</v>
      </c>
      <c r="M818">
        <v>177.63</v>
      </c>
      <c r="N818" s="1">
        <v>38238</v>
      </c>
      <c r="O818" t="s">
        <v>25</v>
      </c>
      <c r="P818">
        <v>3</v>
      </c>
      <c r="Q818">
        <v>9</v>
      </c>
      <c r="R818">
        <v>2004</v>
      </c>
      <c r="S818" t="s">
        <v>261</v>
      </c>
    </row>
    <row r="819" spans="1:19" x14ac:dyDescent="0.25">
      <c r="A819">
        <v>10370</v>
      </c>
      <c r="B819" t="s">
        <v>309</v>
      </c>
      <c r="C819" t="s">
        <v>121</v>
      </c>
      <c r="D819" t="s">
        <v>122</v>
      </c>
      <c r="E819" t="s">
        <v>49</v>
      </c>
      <c r="F819" t="s">
        <v>50</v>
      </c>
      <c r="G819" t="s">
        <v>33</v>
      </c>
      <c r="H819">
        <v>3</v>
      </c>
      <c r="I819">
        <v>25</v>
      </c>
      <c r="J819">
        <v>100</v>
      </c>
      <c r="K819">
        <v>64</v>
      </c>
      <c r="L819">
        <v>3160.25</v>
      </c>
      <c r="M819">
        <v>1560.25</v>
      </c>
      <c r="N819" s="1">
        <v>38372</v>
      </c>
      <c r="O819" t="s">
        <v>25</v>
      </c>
      <c r="P819">
        <v>1</v>
      </c>
      <c r="Q819">
        <v>1</v>
      </c>
      <c r="R819">
        <v>2005</v>
      </c>
      <c r="S819" t="s">
        <v>202</v>
      </c>
    </row>
    <row r="820" spans="1:19" x14ac:dyDescent="0.25">
      <c r="A820">
        <v>10340</v>
      </c>
      <c r="B820" t="s">
        <v>310</v>
      </c>
      <c r="C820" t="s">
        <v>145</v>
      </c>
      <c r="D820" t="s">
        <v>146</v>
      </c>
      <c r="E820" t="s">
        <v>80</v>
      </c>
      <c r="F820" t="s">
        <v>30</v>
      </c>
      <c r="G820" t="s">
        <v>24</v>
      </c>
      <c r="H820">
        <v>3</v>
      </c>
      <c r="I820">
        <v>39</v>
      </c>
      <c r="J820">
        <v>59.16</v>
      </c>
      <c r="K820">
        <v>68</v>
      </c>
      <c r="L820">
        <v>2307.2399999999998</v>
      </c>
      <c r="M820">
        <v>-344.76</v>
      </c>
      <c r="N820" s="1">
        <v>38315</v>
      </c>
      <c r="O820" t="s">
        <v>25</v>
      </c>
      <c r="P820">
        <v>4</v>
      </c>
      <c r="Q820">
        <v>11</v>
      </c>
      <c r="R820">
        <v>2004</v>
      </c>
      <c r="S820" t="s">
        <v>226</v>
      </c>
    </row>
    <row r="821" spans="1:19" x14ac:dyDescent="0.25">
      <c r="A821">
        <v>10121</v>
      </c>
      <c r="B821" t="s">
        <v>311</v>
      </c>
      <c r="C821" t="s">
        <v>27</v>
      </c>
      <c r="D821" t="s">
        <v>28</v>
      </c>
      <c r="E821" t="s">
        <v>29</v>
      </c>
      <c r="F821" t="s">
        <v>30</v>
      </c>
      <c r="G821" t="s">
        <v>24</v>
      </c>
      <c r="H821">
        <v>3</v>
      </c>
      <c r="I821">
        <v>25</v>
      </c>
      <c r="J821">
        <v>86.74</v>
      </c>
      <c r="K821">
        <v>102</v>
      </c>
      <c r="L821">
        <v>2168.5</v>
      </c>
      <c r="M821">
        <v>-381.5</v>
      </c>
      <c r="N821" s="1">
        <v>37748</v>
      </c>
      <c r="O821" t="s">
        <v>25</v>
      </c>
      <c r="P821">
        <v>2</v>
      </c>
      <c r="Q821">
        <v>5</v>
      </c>
      <c r="R821">
        <v>2003</v>
      </c>
      <c r="S821" t="s">
        <v>26</v>
      </c>
    </row>
    <row r="822" spans="1:19" x14ac:dyDescent="0.25">
      <c r="A822">
        <v>10309</v>
      </c>
      <c r="B822" t="s">
        <v>311</v>
      </c>
      <c r="C822" t="s">
        <v>63</v>
      </c>
      <c r="D822" t="s">
        <v>64</v>
      </c>
      <c r="E822" t="s">
        <v>44</v>
      </c>
      <c r="F822" t="s">
        <v>30</v>
      </c>
      <c r="G822" t="s">
        <v>33</v>
      </c>
      <c r="H822">
        <v>3</v>
      </c>
      <c r="I822">
        <v>50</v>
      </c>
      <c r="J822">
        <v>84.7</v>
      </c>
      <c r="K822">
        <v>102</v>
      </c>
      <c r="L822">
        <v>4235</v>
      </c>
      <c r="M822">
        <v>-865</v>
      </c>
      <c r="N822" s="1">
        <v>38275</v>
      </c>
      <c r="O822" t="s">
        <v>25</v>
      </c>
      <c r="P822">
        <v>4</v>
      </c>
      <c r="Q822">
        <v>10</v>
      </c>
      <c r="R822">
        <v>2004</v>
      </c>
      <c r="S822" t="s">
        <v>26</v>
      </c>
    </row>
    <row r="823" spans="1:19" x14ac:dyDescent="0.25">
      <c r="A823">
        <v>10365</v>
      </c>
      <c r="B823" t="s">
        <v>311</v>
      </c>
      <c r="C823" t="s">
        <v>140</v>
      </c>
      <c r="D823" t="s">
        <v>74</v>
      </c>
      <c r="E823" t="s">
        <v>22</v>
      </c>
      <c r="F823" t="s">
        <v>23</v>
      </c>
      <c r="G823" t="s">
        <v>33</v>
      </c>
      <c r="H823">
        <v>3</v>
      </c>
      <c r="I823">
        <v>22</v>
      </c>
      <c r="J823">
        <v>100</v>
      </c>
      <c r="K823">
        <v>102</v>
      </c>
      <c r="L823">
        <v>3425.18</v>
      </c>
      <c r="M823">
        <v>1181.18</v>
      </c>
      <c r="N823" s="1">
        <v>38359</v>
      </c>
      <c r="O823" t="s">
        <v>25</v>
      </c>
      <c r="P823">
        <v>1</v>
      </c>
      <c r="Q823">
        <v>1</v>
      </c>
      <c r="R823">
        <v>2005</v>
      </c>
      <c r="S823" t="s">
        <v>26</v>
      </c>
    </row>
    <row r="824" spans="1:19" x14ac:dyDescent="0.25">
      <c r="A824">
        <v>10262</v>
      </c>
      <c r="B824" t="s">
        <v>312</v>
      </c>
      <c r="C824" t="s">
        <v>78</v>
      </c>
      <c r="D824" t="s">
        <v>79</v>
      </c>
      <c r="E824" t="s">
        <v>80</v>
      </c>
      <c r="F824" t="s">
        <v>30</v>
      </c>
      <c r="G824" t="s">
        <v>24</v>
      </c>
      <c r="H824">
        <v>3</v>
      </c>
      <c r="I824">
        <v>49</v>
      </c>
      <c r="J824">
        <v>37.97</v>
      </c>
      <c r="K824">
        <v>43</v>
      </c>
      <c r="L824">
        <v>1860.53</v>
      </c>
      <c r="M824">
        <v>-246.47</v>
      </c>
      <c r="N824" s="1">
        <v>38162</v>
      </c>
      <c r="O824" t="s">
        <v>141</v>
      </c>
      <c r="P824">
        <v>2</v>
      </c>
      <c r="Q824">
        <v>6</v>
      </c>
      <c r="R824">
        <v>2004</v>
      </c>
      <c r="S824" t="s">
        <v>226</v>
      </c>
    </row>
    <row r="825" spans="1:19" x14ac:dyDescent="0.25">
      <c r="A825">
        <v>10316</v>
      </c>
      <c r="B825" t="s">
        <v>312</v>
      </c>
      <c r="C825" t="s">
        <v>158</v>
      </c>
      <c r="D825" t="s">
        <v>159</v>
      </c>
      <c r="E825" t="s">
        <v>77</v>
      </c>
      <c r="F825" t="s">
        <v>30</v>
      </c>
      <c r="G825" t="s">
        <v>24</v>
      </c>
      <c r="H825">
        <v>3</v>
      </c>
      <c r="I825">
        <v>34</v>
      </c>
      <c r="J825">
        <v>47.57</v>
      </c>
      <c r="K825">
        <v>43</v>
      </c>
      <c r="L825">
        <v>1617.38</v>
      </c>
      <c r="M825">
        <v>155.38</v>
      </c>
      <c r="N825" s="1">
        <v>38292</v>
      </c>
      <c r="O825" t="s">
        <v>25</v>
      </c>
      <c r="P825">
        <v>4</v>
      </c>
      <c r="Q825">
        <v>11</v>
      </c>
      <c r="R825">
        <v>2004</v>
      </c>
      <c r="S825" t="s">
        <v>226</v>
      </c>
    </row>
    <row r="826" spans="1:19" x14ac:dyDescent="0.25">
      <c r="A826">
        <v>10361</v>
      </c>
      <c r="B826" t="s">
        <v>312</v>
      </c>
      <c r="C826" t="s">
        <v>71</v>
      </c>
      <c r="D826" t="s">
        <v>72</v>
      </c>
      <c r="E826" t="s">
        <v>49</v>
      </c>
      <c r="F826" t="s">
        <v>50</v>
      </c>
      <c r="G826" t="s">
        <v>24</v>
      </c>
      <c r="H826">
        <v>3</v>
      </c>
      <c r="I826">
        <v>33</v>
      </c>
      <c r="J826">
        <v>82.59</v>
      </c>
      <c r="K826">
        <v>43</v>
      </c>
      <c r="L826">
        <v>2725.47</v>
      </c>
      <c r="M826">
        <v>1306.47</v>
      </c>
      <c r="N826" s="1">
        <v>38338</v>
      </c>
      <c r="O826" t="s">
        <v>25</v>
      </c>
      <c r="P826">
        <v>4</v>
      </c>
      <c r="Q826">
        <v>12</v>
      </c>
      <c r="R826">
        <v>2004</v>
      </c>
      <c r="S826" t="s">
        <v>226</v>
      </c>
    </row>
    <row r="827" spans="1:19" x14ac:dyDescent="0.25">
      <c r="A827">
        <v>10115</v>
      </c>
      <c r="B827" t="s">
        <v>313</v>
      </c>
      <c r="C827" t="s">
        <v>90</v>
      </c>
      <c r="D827" t="s">
        <v>21</v>
      </c>
      <c r="E827" t="s">
        <v>22</v>
      </c>
      <c r="F827" t="s">
        <v>23</v>
      </c>
      <c r="G827" t="s">
        <v>24</v>
      </c>
      <c r="H827">
        <v>3</v>
      </c>
      <c r="I827">
        <v>27</v>
      </c>
      <c r="J827">
        <v>100</v>
      </c>
      <c r="K827">
        <v>115</v>
      </c>
      <c r="L827">
        <v>2843.91</v>
      </c>
      <c r="M827">
        <v>-261.08999999999997</v>
      </c>
      <c r="N827" s="1">
        <v>37715</v>
      </c>
      <c r="O827" t="s">
        <v>25</v>
      </c>
      <c r="P827">
        <v>2</v>
      </c>
      <c r="Q827">
        <v>4</v>
      </c>
      <c r="R827">
        <v>2003</v>
      </c>
      <c r="S827" t="s">
        <v>202</v>
      </c>
    </row>
    <row r="828" spans="1:19" x14ac:dyDescent="0.25">
      <c r="A828">
        <v>10141</v>
      </c>
      <c r="B828" t="s">
        <v>313</v>
      </c>
      <c r="C828" t="s">
        <v>189</v>
      </c>
      <c r="D828" t="s">
        <v>190</v>
      </c>
      <c r="E828" t="s">
        <v>62</v>
      </c>
      <c r="F828" t="s">
        <v>30</v>
      </c>
      <c r="G828" t="s">
        <v>33</v>
      </c>
      <c r="H828">
        <v>3</v>
      </c>
      <c r="I828">
        <v>44</v>
      </c>
      <c r="J828">
        <v>100</v>
      </c>
      <c r="K828">
        <v>115</v>
      </c>
      <c r="L828">
        <v>5500.44</v>
      </c>
      <c r="M828">
        <v>440.44</v>
      </c>
      <c r="N828" s="1">
        <v>37834</v>
      </c>
      <c r="O828" t="s">
        <v>25</v>
      </c>
      <c r="P828">
        <v>3</v>
      </c>
      <c r="Q828">
        <v>8</v>
      </c>
      <c r="R828">
        <v>2003</v>
      </c>
      <c r="S828" t="s">
        <v>202</v>
      </c>
    </row>
    <row r="829" spans="1:19" x14ac:dyDescent="0.25">
      <c r="A829">
        <v>10246</v>
      </c>
      <c r="B829" t="s">
        <v>313</v>
      </c>
      <c r="C829" t="s">
        <v>78</v>
      </c>
      <c r="D829" t="s">
        <v>79</v>
      </c>
      <c r="E829" t="s">
        <v>80</v>
      </c>
      <c r="F829" t="s">
        <v>30</v>
      </c>
      <c r="G829" t="s">
        <v>24</v>
      </c>
      <c r="H829">
        <v>3</v>
      </c>
      <c r="I829">
        <v>22</v>
      </c>
      <c r="J829">
        <v>100</v>
      </c>
      <c r="K829">
        <v>115</v>
      </c>
      <c r="L829">
        <v>2928.42</v>
      </c>
      <c r="M829">
        <v>398.42</v>
      </c>
      <c r="N829" s="1">
        <v>38112</v>
      </c>
      <c r="O829" t="s">
        <v>25</v>
      </c>
      <c r="P829">
        <v>2</v>
      </c>
      <c r="Q829">
        <v>5</v>
      </c>
      <c r="R829">
        <v>2004</v>
      </c>
      <c r="S829" t="s">
        <v>202</v>
      </c>
    </row>
    <row r="830" spans="1:19" x14ac:dyDescent="0.25">
      <c r="A830">
        <v>10271</v>
      </c>
      <c r="B830" t="s">
        <v>313</v>
      </c>
      <c r="C830" t="s">
        <v>115</v>
      </c>
      <c r="D830" t="s">
        <v>116</v>
      </c>
      <c r="E830" t="s">
        <v>22</v>
      </c>
      <c r="F830" t="s">
        <v>23</v>
      </c>
      <c r="G830" t="s">
        <v>33</v>
      </c>
      <c r="H830">
        <v>3</v>
      </c>
      <c r="I830">
        <v>34</v>
      </c>
      <c r="J830">
        <v>98.39</v>
      </c>
      <c r="K830">
        <v>115</v>
      </c>
      <c r="L830">
        <v>3345.26</v>
      </c>
      <c r="M830">
        <v>-564.74</v>
      </c>
      <c r="N830" s="1">
        <v>38188</v>
      </c>
      <c r="O830" t="s">
        <v>25</v>
      </c>
      <c r="P830">
        <v>3</v>
      </c>
      <c r="Q830">
        <v>7</v>
      </c>
      <c r="R830">
        <v>2004</v>
      </c>
      <c r="S830" t="s">
        <v>202</v>
      </c>
    </row>
    <row r="831" spans="1:19" x14ac:dyDescent="0.25">
      <c r="A831">
        <v>10305</v>
      </c>
      <c r="B831" t="s">
        <v>313</v>
      </c>
      <c r="C831" t="s">
        <v>58</v>
      </c>
      <c r="D831" t="s">
        <v>59</v>
      </c>
      <c r="E831" t="s">
        <v>22</v>
      </c>
      <c r="F831" t="s">
        <v>23</v>
      </c>
      <c r="G831" t="s">
        <v>33</v>
      </c>
      <c r="H831">
        <v>3</v>
      </c>
      <c r="I831">
        <v>42</v>
      </c>
      <c r="J831">
        <v>100</v>
      </c>
      <c r="K831">
        <v>115</v>
      </c>
      <c r="L831">
        <v>4618.32</v>
      </c>
      <c r="M831">
        <v>-211.68</v>
      </c>
      <c r="N831" s="1">
        <v>38273</v>
      </c>
      <c r="O831" t="s">
        <v>25</v>
      </c>
      <c r="P831">
        <v>4</v>
      </c>
      <c r="Q831">
        <v>10</v>
      </c>
      <c r="R831">
        <v>2004</v>
      </c>
      <c r="S831" t="s">
        <v>202</v>
      </c>
    </row>
    <row r="832" spans="1:19" x14ac:dyDescent="0.25">
      <c r="A832">
        <v>10412</v>
      </c>
      <c r="B832" t="s">
        <v>313</v>
      </c>
      <c r="C832" t="s">
        <v>78</v>
      </c>
      <c r="D832" t="s">
        <v>79</v>
      </c>
      <c r="E832" t="s">
        <v>80</v>
      </c>
      <c r="F832" t="s">
        <v>30</v>
      </c>
      <c r="G832" t="s">
        <v>33</v>
      </c>
      <c r="H832">
        <v>3</v>
      </c>
      <c r="I832">
        <v>26</v>
      </c>
      <c r="J832">
        <v>100</v>
      </c>
      <c r="K832">
        <v>115</v>
      </c>
      <c r="L832">
        <v>3460.86</v>
      </c>
      <c r="M832">
        <v>470.86</v>
      </c>
      <c r="N832" s="1">
        <v>38475</v>
      </c>
      <c r="O832" t="s">
        <v>25</v>
      </c>
      <c r="P832">
        <v>2</v>
      </c>
      <c r="Q832">
        <v>5</v>
      </c>
      <c r="R832">
        <v>2005</v>
      </c>
      <c r="S832" t="s">
        <v>202</v>
      </c>
    </row>
    <row r="833" spans="1:19" x14ac:dyDescent="0.25">
      <c r="A833">
        <v>10395</v>
      </c>
      <c r="B833" t="s">
        <v>314</v>
      </c>
      <c r="C833" t="s">
        <v>31</v>
      </c>
      <c r="D833" t="s">
        <v>32</v>
      </c>
      <c r="E833" t="s">
        <v>29</v>
      </c>
      <c r="F833" t="s">
        <v>30</v>
      </c>
      <c r="G833" t="s">
        <v>70</v>
      </c>
      <c r="H833">
        <v>3</v>
      </c>
      <c r="I833">
        <v>45</v>
      </c>
      <c r="J833">
        <v>100</v>
      </c>
      <c r="K833">
        <v>58</v>
      </c>
      <c r="L833">
        <v>8977.0499999999993</v>
      </c>
      <c r="M833">
        <v>6367.05</v>
      </c>
      <c r="N833" s="1">
        <v>38428</v>
      </c>
      <c r="O833" t="s">
        <v>25</v>
      </c>
      <c r="P833">
        <v>1</v>
      </c>
      <c r="Q833">
        <v>3</v>
      </c>
      <c r="R833">
        <v>2005</v>
      </c>
      <c r="S833" t="s">
        <v>261</v>
      </c>
    </row>
    <row r="834" spans="1:19" x14ac:dyDescent="0.25">
      <c r="A834">
        <v>10224</v>
      </c>
      <c r="B834" t="s">
        <v>315</v>
      </c>
      <c r="C834" t="s">
        <v>40</v>
      </c>
      <c r="D834" t="s">
        <v>41</v>
      </c>
      <c r="E834" t="s">
        <v>29</v>
      </c>
      <c r="F834" t="s">
        <v>30</v>
      </c>
      <c r="G834" t="s">
        <v>33</v>
      </c>
      <c r="H834">
        <v>3</v>
      </c>
      <c r="I834">
        <v>50</v>
      </c>
      <c r="J834">
        <v>77.290000000000006</v>
      </c>
      <c r="K834">
        <v>81</v>
      </c>
      <c r="L834">
        <v>3864.5</v>
      </c>
      <c r="M834">
        <v>-185.5</v>
      </c>
      <c r="N834" s="1">
        <v>38038</v>
      </c>
      <c r="O834" t="s">
        <v>25</v>
      </c>
      <c r="P834">
        <v>1</v>
      </c>
      <c r="Q834">
        <v>2</v>
      </c>
      <c r="R834">
        <v>2004</v>
      </c>
      <c r="S834" t="s">
        <v>26</v>
      </c>
    </row>
    <row r="835" spans="1:19" x14ac:dyDescent="0.25">
      <c r="A835">
        <v>10237</v>
      </c>
      <c r="B835" t="s">
        <v>315</v>
      </c>
      <c r="C835" t="s">
        <v>51</v>
      </c>
      <c r="D835" t="s">
        <v>21</v>
      </c>
      <c r="E835" t="s">
        <v>22</v>
      </c>
      <c r="F835" t="s">
        <v>23</v>
      </c>
      <c r="G835" t="s">
        <v>24</v>
      </c>
      <c r="H835">
        <v>3</v>
      </c>
      <c r="I835">
        <v>20</v>
      </c>
      <c r="J835">
        <v>68.34</v>
      </c>
      <c r="K835">
        <v>81</v>
      </c>
      <c r="L835">
        <v>1366.8</v>
      </c>
      <c r="M835">
        <v>-253.2</v>
      </c>
      <c r="N835" s="1">
        <v>38082</v>
      </c>
      <c r="O835" t="s">
        <v>25</v>
      </c>
      <c r="P835">
        <v>2</v>
      </c>
      <c r="Q835">
        <v>4</v>
      </c>
      <c r="R835">
        <v>2004</v>
      </c>
      <c r="S835" t="s">
        <v>26</v>
      </c>
    </row>
    <row r="836" spans="1:19" x14ac:dyDescent="0.25">
      <c r="A836">
        <v>10341</v>
      </c>
      <c r="B836" t="s">
        <v>315</v>
      </c>
      <c r="C836" t="s">
        <v>67</v>
      </c>
      <c r="D836" t="s">
        <v>68</v>
      </c>
      <c r="E836" t="s">
        <v>69</v>
      </c>
      <c r="F836" t="s">
        <v>30</v>
      </c>
      <c r="G836" t="s">
        <v>33</v>
      </c>
      <c r="H836">
        <v>3</v>
      </c>
      <c r="I836">
        <v>38</v>
      </c>
      <c r="J836">
        <v>100</v>
      </c>
      <c r="K836">
        <v>81</v>
      </c>
      <c r="L836">
        <v>4682.3599999999997</v>
      </c>
      <c r="M836">
        <v>1604.36</v>
      </c>
      <c r="N836" s="1">
        <v>38315</v>
      </c>
      <c r="O836" t="s">
        <v>25</v>
      </c>
      <c r="P836">
        <v>4</v>
      </c>
      <c r="Q836">
        <v>11</v>
      </c>
      <c r="R836">
        <v>2004</v>
      </c>
      <c r="S836" t="s">
        <v>26</v>
      </c>
    </row>
    <row r="837" spans="1:19" x14ac:dyDescent="0.25">
      <c r="A837">
        <v>10403</v>
      </c>
      <c r="B837" t="s">
        <v>315</v>
      </c>
      <c r="C837" t="s">
        <v>75</v>
      </c>
      <c r="D837" t="s">
        <v>76</v>
      </c>
      <c r="E837" t="s">
        <v>77</v>
      </c>
      <c r="F837" t="s">
        <v>30</v>
      </c>
      <c r="G837" t="s">
        <v>24</v>
      </c>
      <c r="H837">
        <v>3</v>
      </c>
      <c r="I837">
        <v>31</v>
      </c>
      <c r="J837">
        <v>68.34</v>
      </c>
      <c r="K837">
        <v>81</v>
      </c>
      <c r="L837">
        <v>2118.54</v>
      </c>
      <c r="M837">
        <v>-392.46</v>
      </c>
      <c r="N837" s="1">
        <v>38450</v>
      </c>
      <c r="O837" t="s">
        <v>25</v>
      </c>
      <c r="P837">
        <v>2</v>
      </c>
      <c r="Q837">
        <v>4</v>
      </c>
      <c r="R837">
        <v>2005</v>
      </c>
      <c r="S837" t="s">
        <v>26</v>
      </c>
    </row>
    <row r="838" spans="1:19" x14ac:dyDescent="0.25">
      <c r="A838">
        <v>10177</v>
      </c>
      <c r="B838" t="s">
        <v>316</v>
      </c>
      <c r="C838" t="s">
        <v>196</v>
      </c>
      <c r="D838" t="s">
        <v>79</v>
      </c>
      <c r="E838" t="s">
        <v>80</v>
      </c>
      <c r="F838" t="s">
        <v>30</v>
      </c>
      <c r="G838" t="s">
        <v>24</v>
      </c>
      <c r="H838">
        <v>3</v>
      </c>
      <c r="I838">
        <v>24</v>
      </c>
      <c r="J838">
        <v>76</v>
      </c>
      <c r="K838">
        <v>66</v>
      </c>
      <c r="L838">
        <v>1824</v>
      </c>
      <c r="M838">
        <v>240</v>
      </c>
      <c r="N838" s="1">
        <v>37932</v>
      </c>
      <c r="O838" t="s">
        <v>25</v>
      </c>
      <c r="P838">
        <v>4</v>
      </c>
      <c r="Q838">
        <v>11</v>
      </c>
      <c r="R838">
        <v>2003</v>
      </c>
      <c r="S838" t="s">
        <v>255</v>
      </c>
    </row>
    <row r="839" spans="1:19" x14ac:dyDescent="0.25">
      <c r="A839">
        <v>10185</v>
      </c>
      <c r="B839" t="s">
        <v>316</v>
      </c>
      <c r="C839" t="s">
        <v>140</v>
      </c>
      <c r="D839" t="s">
        <v>74</v>
      </c>
      <c r="E839" t="s">
        <v>22</v>
      </c>
      <c r="F839" t="s">
        <v>23</v>
      </c>
      <c r="G839" t="s">
        <v>24</v>
      </c>
      <c r="H839">
        <v>3</v>
      </c>
      <c r="I839">
        <v>21</v>
      </c>
      <c r="J839">
        <v>54</v>
      </c>
      <c r="K839">
        <v>66</v>
      </c>
      <c r="L839">
        <v>1134</v>
      </c>
      <c r="M839">
        <v>-252</v>
      </c>
      <c r="N839" s="1">
        <v>37939</v>
      </c>
      <c r="O839" t="s">
        <v>25</v>
      </c>
      <c r="P839">
        <v>4</v>
      </c>
      <c r="Q839">
        <v>11</v>
      </c>
      <c r="R839">
        <v>2003</v>
      </c>
      <c r="S839" t="s">
        <v>255</v>
      </c>
    </row>
    <row r="840" spans="1:19" x14ac:dyDescent="0.25">
      <c r="A840">
        <v>10208</v>
      </c>
      <c r="B840" t="s">
        <v>316</v>
      </c>
      <c r="C840" t="s">
        <v>95</v>
      </c>
      <c r="D840" t="s">
        <v>96</v>
      </c>
      <c r="E840" t="s">
        <v>29</v>
      </c>
      <c r="F840" t="s">
        <v>30</v>
      </c>
      <c r="G840" t="s">
        <v>24</v>
      </c>
      <c r="H840">
        <v>3</v>
      </c>
      <c r="I840">
        <v>38</v>
      </c>
      <c r="J840">
        <v>74.67</v>
      </c>
      <c r="K840">
        <v>66</v>
      </c>
      <c r="L840">
        <v>2837.46</v>
      </c>
      <c r="M840">
        <v>329.46</v>
      </c>
      <c r="N840" s="1">
        <v>37988</v>
      </c>
      <c r="O840" t="s">
        <v>25</v>
      </c>
      <c r="P840">
        <v>1</v>
      </c>
      <c r="Q840">
        <v>1</v>
      </c>
      <c r="R840">
        <v>2004</v>
      </c>
      <c r="S840" t="s">
        <v>255</v>
      </c>
    </row>
    <row r="841" spans="1:19" x14ac:dyDescent="0.25">
      <c r="A841">
        <v>10233</v>
      </c>
      <c r="B841" t="s">
        <v>316</v>
      </c>
      <c r="C841" t="s">
        <v>52</v>
      </c>
      <c r="D841" t="s">
        <v>53</v>
      </c>
      <c r="E841" t="s">
        <v>22</v>
      </c>
      <c r="F841" t="s">
        <v>23</v>
      </c>
      <c r="G841" t="s">
        <v>24</v>
      </c>
      <c r="H841">
        <v>3</v>
      </c>
      <c r="I841">
        <v>36</v>
      </c>
      <c r="J841">
        <v>70.67</v>
      </c>
      <c r="K841">
        <v>66</v>
      </c>
      <c r="L841">
        <v>2544.12</v>
      </c>
      <c r="M841">
        <v>168.12</v>
      </c>
      <c r="N841" s="1">
        <v>38075</v>
      </c>
      <c r="O841" t="s">
        <v>25</v>
      </c>
      <c r="P841">
        <v>1</v>
      </c>
      <c r="Q841">
        <v>3</v>
      </c>
      <c r="R841">
        <v>2004</v>
      </c>
      <c r="S841" t="s">
        <v>255</v>
      </c>
    </row>
    <row r="842" spans="1:19" x14ac:dyDescent="0.25">
      <c r="A842">
        <v>10306</v>
      </c>
      <c r="B842" t="s">
        <v>316</v>
      </c>
      <c r="C842" t="s">
        <v>197</v>
      </c>
      <c r="D842" t="s">
        <v>198</v>
      </c>
      <c r="E842" t="s">
        <v>77</v>
      </c>
      <c r="F842" t="s">
        <v>30</v>
      </c>
      <c r="G842" t="s">
        <v>24</v>
      </c>
      <c r="H842">
        <v>3</v>
      </c>
      <c r="I842">
        <v>50</v>
      </c>
      <c r="J842">
        <v>54</v>
      </c>
      <c r="K842">
        <v>66</v>
      </c>
      <c r="L842">
        <v>2700</v>
      </c>
      <c r="M842">
        <v>-600</v>
      </c>
      <c r="N842" s="1">
        <v>38274</v>
      </c>
      <c r="O842" t="s">
        <v>25</v>
      </c>
      <c r="P842">
        <v>4</v>
      </c>
      <c r="Q842">
        <v>10</v>
      </c>
      <c r="R842">
        <v>2004</v>
      </c>
      <c r="S842" t="s">
        <v>255</v>
      </c>
    </row>
    <row r="843" spans="1:19" x14ac:dyDescent="0.25">
      <c r="A843">
        <v>10128</v>
      </c>
      <c r="B843" t="s">
        <v>318</v>
      </c>
      <c r="C843" t="s">
        <v>78</v>
      </c>
      <c r="D843" t="s">
        <v>79</v>
      </c>
      <c r="E843" t="s">
        <v>80</v>
      </c>
      <c r="F843" t="s">
        <v>30</v>
      </c>
      <c r="G843" t="s">
        <v>33</v>
      </c>
      <c r="H843">
        <v>3</v>
      </c>
      <c r="I843">
        <v>32</v>
      </c>
      <c r="J843">
        <v>97</v>
      </c>
      <c r="K843">
        <v>86</v>
      </c>
      <c r="L843">
        <v>3104</v>
      </c>
      <c r="M843">
        <v>352</v>
      </c>
      <c r="N843" s="1">
        <v>37778</v>
      </c>
      <c r="O843" t="s">
        <v>25</v>
      </c>
      <c r="P843">
        <v>2</v>
      </c>
      <c r="Q843">
        <v>6</v>
      </c>
      <c r="R843">
        <v>2003</v>
      </c>
      <c r="S843" t="s">
        <v>255</v>
      </c>
    </row>
    <row r="844" spans="1:19" x14ac:dyDescent="0.25">
      <c r="A844">
        <v>10166</v>
      </c>
      <c r="B844" t="s">
        <v>318</v>
      </c>
      <c r="C844" t="s">
        <v>73</v>
      </c>
      <c r="D844" t="s">
        <v>74</v>
      </c>
      <c r="E844" t="s">
        <v>22</v>
      </c>
      <c r="F844" t="s">
        <v>23</v>
      </c>
      <c r="G844" t="s">
        <v>33</v>
      </c>
      <c r="H844">
        <v>3</v>
      </c>
      <c r="I844">
        <v>29</v>
      </c>
      <c r="J844">
        <v>100</v>
      </c>
      <c r="K844">
        <v>86</v>
      </c>
      <c r="L844">
        <v>3013.97</v>
      </c>
      <c r="M844">
        <v>519.97</v>
      </c>
      <c r="N844" s="1">
        <v>37915</v>
      </c>
      <c r="O844" t="s">
        <v>25</v>
      </c>
      <c r="P844">
        <v>4</v>
      </c>
      <c r="Q844">
        <v>10</v>
      </c>
      <c r="R844">
        <v>2003</v>
      </c>
      <c r="S844" t="s">
        <v>255</v>
      </c>
    </row>
    <row r="845" spans="1:19" x14ac:dyDescent="0.25">
      <c r="A845">
        <v>10352</v>
      </c>
      <c r="B845" t="s">
        <v>319</v>
      </c>
      <c r="C845" t="s">
        <v>256</v>
      </c>
      <c r="D845" t="s">
        <v>120</v>
      </c>
      <c r="E845" t="s">
        <v>22</v>
      </c>
      <c r="F845" t="s">
        <v>23</v>
      </c>
      <c r="G845" t="s">
        <v>24</v>
      </c>
      <c r="H845">
        <v>3</v>
      </c>
      <c r="I845">
        <v>23</v>
      </c>
      <c r="J845">
        <v>100</v>
      </c>
      <c r="K845">
        <v>90</v>
      </c>
      <c r="L845">
        <v>2352.67</v>
      </c>
      <c r="M845">
        <v>282.67</v>
      </c>
      <c r="N845" s="1">
        <v>38324</v>
      </c>
      <c r="O845" t="s">
        <v>25</v>
      </c>
      <c r="P845">
        <v>4</v>
      </c>
      <c r="Q845">
        <v>12</v>
      </c>
      <c r="R845">
        <v>2004</v>
      </c>
      <c r="S845" t="s">
        <v>255</v>
      </c>
    </row>
    <row r="846" spans="1:19" x14ac:dyDescent="0.25">
      <c r="A846">
        <v>10105</v>
      </c>
      <c r="B846" t="s">
        <v>321</v>
      </c>
      <c r="C846" t="s">
        <v>135</v>
      </c>
      <c r="D846" t="s">
        <v>136</v>
      </c>
      <c r="E846" t="s">
        <v>137</v>
      </c>
      <c r="F846" t="s">
        <v>30</v>
      </c>
      <c r="G846" t="s">
        <v>24</v>
      </c>
      <c r="H846">
        <v>3</v>
      </c>
      <c r="I846">
        <v>31</v>
      </c>
      <c r="J846">
        <v>65.77</v>
      </c>
      <c r="K846">
        <v>72</v>
      </c>
      <c r="L846">
        <v>2038.87</v>
      </c>
      <c r="M846">
        <v>-193.13</v>
      </c>
      <c r="N846" s="1">
        <v>37663</v>
      </c>
      <c r="O846" t="s">
        <v>25</v>
      </c>
      <c r="P846">
        <v>1</v>
      </c>
      <c r="Q846">
        <v>2</v>
      </c>
      <c r="R846">
        <v>2003</v>
      </c>
      <c r="S846" t="s">
        <v>255</v>
      </c>
    </row>
    <row r="847" spans="1:19" x14ac:dyDescent="0.25">
      <c r="A847">
        <v>10129</v>
      </c>
      <c r="B847" t="s">
        <v>321</v>
      </c>
      <c r="C847" t="s">
        <v>138</v>
      </c>
      <c r="D847" t="s">
        <v>139</v>
      </c>
      <c r="E847" t="s">
        <v>77</v>
      </c>
      <c r="F847" t="s">
        <v>30</v>
      </c>
      <c r="G847" t="s">
        <v>33</v>
      </c>
      <c r="H847">
        <v>3</v>
      </c>
      <c r="I847">
        <v>45</v>
      </c>
      <c r="J847">
        <v>85.29</v>
      </c>
      <c r="K847">
        <v>72</v>
      </c>
      <c r="L847">
        <v>3838.05</v>
      </c>
      <c r="M847">
        <v>598.04999999999995</v>
      </c>
      <c r="N847" s="1">
        <v>37784</v>
      </c>
      <c r="O847" t="s">
        <v>25</v>
      </c>
      <c r="P847">
        <v>2</v>
      </c>
      <c r="Q847">
        <v>6</v>
      </c>
      <c r="R847">
        <v>2003</v>
      </c>
      <c r="S847" t="s">
        <v>255</v>
      </c>
    </row>
    <row r="848" spans="1:19" x14ac:dyDescent="0.25">
      <c r="A848">
        <v>10150</v>
      </c>
      <c r="B848" t="s">
        <v>322</v>
      </c>
      <c r="C848" t="s">
        <v>88</v>
      </c>
      <c r="D848" t="s">
        <v>89</v>
      </c>
      <c r="E848" t="s">
        <v>89</v>
      </c>
      <c r="F848" t="s">
        <v>50</v>
      </c>
      <c r="G848" t="s">
        <v>24</v>
      </c>
      <c r="H848">
        <v>3</v>
      </c>
      <c r="I848">
        <v>20</v>
      </c>
      <c r="J848">
        <v>100</v>
      </c>
      <c r="K848">
        <v>101</v>
      </c>
      <c r="L848">
        <v>2104</v>
      </c>
      <c r="M848">
        <v>84</v>
      </c>
      <c r="N848" s="1">
        <v>37883</v>
      </c>
      <c r="O848" t="s">
        <v>25</v>
      </c>
      <c r="P848">
        <v>3</v>
      </c>
      <c r="Q848">
        <v>9</v>
      </c>
      <c r="R848">
        <v>2003</v>
      </c>
      <c r="S848" t="s">
        <v>83</v>
      </c>
    </row>
    <row r="849" spans="1:19" x14ac:dyDescent="0.25">
      <c r="A849">
        <v>10183</v>
      </c>
      <c r="B849" t="s">
        <v>322</v>
      </c>
      <c r="C849" t="s">
        <v>93</v>
      </c>
      <c r="D849" t="s">
        <v>94</v>
      </c>
      <c r="E849" t="s">
        <v>22</v>
      </c>
      <c r="F849" t="s">
        <v>23</v>
      </c>
      <c r="G849" t="s">
        <v>24</v>
      </c>
      <c r="H849">
        <v>3</v>
      </c>
      <c r="I849">
        <v>23</v>
      </c>
      <c r="J849">
        <v>86.99</v>
      </c>
      <c r="K849">
        <v>101</v>
      </c>
      <c r="L849">
        <v>2000.77</v>
      </c>
      <c r="M849">
        <v>-322.23</v>
      </c>
      <c r="N849" s="1">
        <v>37938</v>
      </c>
      <c r="O849" t="s">
        <v>25</v>
      </c>
      <c r="P849">
        <v>4</v>
      </c>
      <c r="Q849">
        <v>11</v>
      </c>
      <c r="R849">
        <v>2003</v>
      </c>
      <c r="S849" t="s">
        <v>83</v>
      </c>
    </row>
    <row r="850" spans="1:19" x14ac:dyDescent="0.25">
      <c r="A850">
        <v>10358</v>
      </c>
      <c r="B850" t="s">
        <v>322</v>
      </c>
      <c r="C850" t="s">
        <v>78</v>
      </c>
      <c r="D850" t="s">
        <v>79</v>
      </c>
      <c r="E850" t="s">
        <v>80</v>
      </c>
      <c r="F850" t="s">
        <v>30</v>
      </c>
      <c r="G850" t="s">
        <v>33</v>
      </c>
      <c r="H850">
        <v>3</v>
      </c>
      <c r="I850">
        <v>27</v>
      </c>
      <c r="J850">
        <v>100</v>
      </c>
      <c r="K850">
        <v>101</v>
      </c>
      <c r="L850">
        <v>3761.37</v>
      </c>
      <c r="M850">
        <v>1034.3699999999999</v>
      </c>
      <c r="N850" s="1">
        <v>38331</v>
      </c>
      <c r="O850" t="s">
        <v>25</v>
      </c>
      <c r="P850">
        <v>4</v>
      </c>
      <c r="Q850">
        <v>12</v>
      </c>
      <c r="R850">
        <v>2004</v>
      </c>
      <c r="S850" t="s">
        <v>83</v>
      </c>
    </row>
    <row r="851" spans="1:19" x14ac:dyDescent="0.25">
      <c r="A851">
        <v>10371</v>
      </c>
      <c r="B851" t="s">
        <v>322</v>
      </c>
      <c r="C851" t="s">
        <v>115</v>
      </c>
      <c r="D851" t="s">
        <v>116</v>
      </c>
      <c r="E851" t="s">
        <v>22</v>
      </c>
      <c r="F851" t="s">
        <v>23</v>
      </c>
      <c r="G851" t="s">
        <v>33</v>
      </c>
      <c r="H851">
        <v>3</v>
      </c>
      <c r="I851">
        <v>34</v>
      </c>
      <c r="J851">
        <v>100</v>
      </c>
      <c r="K851">
        <v>101</v>
      </c>
      <c r="L851">
        <v>4301.34</v>
      </c>
      <c r="M851">
        <v>867.34</v>
      </c>
      <c r="N851" s="1">
        <v>38375</v>
      </c>
      <c r="O851" t="s">
        <v>25</v>
      </c>
      <c r="P851">
        <v>1</v>
      </c>
      <c r="Q851">
        <v>1</v>
      </c>
      <c r="R851">
        <v>2005</v>
      </c>
      <c r="S851" t="s">
        <v>83</v>
      </c>
    </row>
    <row r="852" spans="1:19" x14ac:dyDescent="0.25">
      <c r="A852">
        <v>10250</v>
      </c>
      <c r="B852" t="s">
        <v>323</v>
      </c>
      <c r="C852" t="s">
        <v>162</v>
      </c>
      <c r="D852" t="s">
        <v>163</v>
      </c>
      <c r="E852" t="s">
        <v>22</v>
      </c>
      <c r="F852" t="s">
        <v>23</v>
      </c>
      <c r="G852" t="s">
        <v>33</v>
      </c>
      <c r="H852">
        <v>3</v>
      </c>
      <c r="I852">
        <v>44</v>
      </c>
      <c r="J852">
        <v>100</v>
      </c>
      <c r="K852">
        <v>118</v>
      </c>
      <c r="L852">
        <v>6055.72</v>
      </c>
      <c r="M852">
        <v>863.72</v>
      </c>
      <c r="N852" s="1">
        <v>38118</v>
      </c>
      <c r="O852" t="s">
        <v>25</v>
      </c>
      <c r="P852">
        <v>2</v>
      </c>
      <c r="Q852">
        <v>5</v>
      </c>
      <c r="R852">
        <v>2004</v>
      </c>
      <c r="S852" t="s">
        <v>234</v>
      </c>
    </row>
    <row r="853" spans="1:19" x14ac:dyDescent="0.25">
      <c r="A853">
        <v>10297</v>
      </c>
      <c r="B853" t="s">
        <v>323</v>
      </c>
      <c r="C853" t="s">
        <v>193</v>
      </c>
      <c r="D853" t="s">
        <v>194</v>
      </c>
      <c r="E853" t="s">
        <v>195</v>
      </c>
      <c r="F853" t="s">
        <v>30</v>
      </c>
      <c r="G853" t="s">
        <v>33</v>
      </c>
      <c r="H853">
        <v>3</v>
      </c>
      <c r="I853">
        <v>35</v>
      </c>
      <c r="J853">
        <v>100</v>
      </c>
      <c r="K853">
        <v>118</v>
      </c>
      <c r="L853">
        <v>3986.5</v>
      </c>
      <c r="M853">
        <v>-143.5</v>
      </c>
      <c r="N853" s="1">
        <v>38246</v>
      </c>
      <c r="O853" t="s">
        <v>25</v>
      </c>
      <c r="P853">
        <v>3</v>
      </c>
      <c r="Q853">
        <v>9</v>
      </c>
      <c r="R853">
        <v>2004</v>
      </c>
      <c r="S853" t="s">
        <v>234</v>
      </c>
    </row>
    <row r="854" spans="1:19" x14ac:dyDescent="0.25">
      <c r="A854">
        <v>10388</v>
      </c>
      <c r="B854" t="s">
        <v>323</v>
      </c>
      <c r="C854" t="s">
        <v>73</v>
      </c>
      <c r="D854" t="s">
        <v>74</v>
      </c>
      <c r="E854" t="s">
        <v>22</v>
      </c>
      <c r="F854" t="s">
        <v>23</v>
      </c>
      <c r="G854" t="s">
        <v>70</v>
      </c>
      <c r="H854">
        <v>3</v>
      </c>
      <c r="I854">
        <v>50</v>
      </c>
      <c r="J854">
        <v>100</v>
      </c>
      <c r="K854">
        <v>118</v>
      </c>
      <c r="L854">
        <v>7154.5</v>
      </c>
      <c r="M854">
        <v>1254.5</v>
      </c>
      <c r="N854" s="1">
        <v>38414</v>
      </c>
      <c r="O854" t="s">
        <v>25</v>
      </c>
      <c r="P854">
        <v>1</v>
      </c>
      <c r="Q854">
        <v>3</v>
      </c>
      <c r="R854">
        <v>2005</v>
      </c>
      <c r="S854" t="s">
        <v>234</v>
      </c>
    </row>
    <row r="855" spans="1:19" x14ac:dyDescent="0.25">
      <c r="A855">
        <v>10416</v>
      </c>
      <c r="B855" t="s">
        <v>323</v>
      </c>
      <c r="C855" t="s">
        <v>184</v>
      </c>
      <c r="D855" t="s">
        <v>185</v>
      </c>
      <c r="E855" t="s">
        <v>110</v>
      </c>
      <c r="F855" t="s">
        <v>30</v>
      </c>
      <c r="G855" t="s">
        <v>33</v>
      </c>
      <c r="H855">
        <v>3</v>
      </c>
      <c r="I855">
        <v>41</v>
      </c>
      <c r="J855">
        <v>100</v>
      </c>
      <c r="K855">
        <v>118</v>
      </c>
      <c r="L855">
        <v>5642.83</v>
      </c>
      <c r="M855">
        <v>804.83</v>
      </c>
      <c r="N855" s="1">
        <v>38482</v>
      </c>
      <c r="O855" t="s">
        <v>25</v>
      </c>
      <c r="P855">
        <v>2</v>
      </c>
      <c r="Q855">
        <v>5</v>
      </c>
      <c r="R855">
        <v>2005</v>
      </c>
      <c r="S855" t="s">
        <v>234</v>
      </c>
    </row>
    <row r="856" spans="1:19" x14ac:dyDescent="0.25">
      <c r="A856">
        <v>10143</v>
      </c>
      <c r="B856" t="s">
        <v>324</v>
      </c>
      <c r="C856" t="s">
        <v>140</v>
      </c>
      <c r="D856" t="s">
        <v>74</v>
      </c>
      <c r="E856" t="s">
        <v>22</v>
      </c>
      <c r="F856" t="s">
        <v>23</v>
      </c>
      <c r="G856" t="s">
        <v>24</v>
      </c>
      <c r="H856">
        <v>3</v>
      </c>
      <c r="I856">
        <v>28</v>
      </c>
      <c r="J856">
        <v>96</v>
      </c>
      <c r="K856">
        <v>80</v>
      </c>
      <c r="L856">
        <v>2688</v>
      </c>
      <c r="M856">
        <v>448</v>
      </c>
      <c r="N856" s="1">
        <v>37843</v>
      </c>
      <c r="O856" t="s">
        <v>25</v>
      </c>
      <c r="P856">
        <v>3</v>
      </c>
      <c r="Q856">
        <v>8</v>
      </c>
      <c r="R856">
        <v>2003</v>
      </c>
      <c r="S856" t="s">
        <v>234</v>
      </c>
    </row>
    <row r="857" spans="1:19" x14ac:dyDescent="0.25">
      <c r="A857">
        <v>10199</v>
      </c>
      <c r="B857" t="s">
        <v>324</v>
      </c>
      <c r="C857" t="s">
        <v>100</v>
      </c>
      <c r="D857" t="s">
        <v>101</v>
      </c>
      <c r="E857" t="s">
        <v>22</v>
      </c>
      <c r="F857" t="s">
        <v>23</v>
      </c>
      <c r="G857" t="s">
        <v>33</v>
      </c>
      <c r="H857">
        <v>3</v>
      </c>
      <c r="I857">
        <v>38</v>
      </c>
      <c r="J857">
        <v>82.4</v>
      </c>
      <c r="K857">
        <v>80</v>
      </c>
      <c r="L857">
        <v>3131.2</v>
      </c>
      <c r="M857">
        <v>91.2</v>
      </c>
      <c r="N857" s="1">
        <v>37956</v>
      </c>
      <c r="O857" t="s">
        <v>25</v>
      </c>
      <c r="P857">
        <v>4</v>
      </c>
      <c r="Q857">
        <v>12</v>
      </c>
      <c r="R857">
        <v>2003</v>
      </c>
      <c r="S857" t="s">
        <v>234</v>
      </c>
    </row>
    <row r="858" spans="1:19" x14ac:dyDescent="0.25">
      <c r="A858">
        <v>10296</v>
      </c>
      <c r="B858" t="s">
        <v>324</v>
      </c>
      <c r="C858" t="s">
        <v>236</v>
      </c>
      <c r="D858" t="s">
        <v>237</v>
      </c>
      <c r="E858" t="s">
        <v>180</v>
      </c>
      <c r="F858" t="s">
        <v>30</v>
      </c>
      <c r="G858" t="s">
        <v>24</v>
      </c>
      <c r="H858">
        <v>3</v>
      </c>
      <c r="I858">
        <v>22</v>
      </c>
      <c r="J858">
        <v>80.8</v>
      </c>
      <c r="K858">
        <v>80</v>
      </c>
      <c r="L858">
        <v>1777.6</v>
      </c>
      <c r="M858">
        <v>17.600000000000001</v>
      </c>
      <c r="N858" s="1">
        <v>38245</v>
      </c>
      <c r="O858" t="s">
        <v>25</v>
      </c>
      <c r="P858">
        <v>3</v>
      </c>
      <c r="Q858">
        <v>9</v>
      </c>
      <c r="R858">
        <v>2004</v>
      </c>
      <c r="S858" t="s">
        <v>234</v>
      </c>
    </row>
    <row r="859" spans="1:19" x14ac:dyDescent="0.25">
      <c r="A859">
        <v>10142</v>
      </c>
      <c r="B859" t="s">
        <v>325</v>
      </c>
      <c r="C859" t="s">
        <v>115</v>
      </c>
      <c r="D859" t="s">
        <v>116</v>
      </c>
      <c r="E859" t="s">
        <v>22</v>
      </c>
      <c r="F859" t="s">
        <v>23</v>
      </c>
      <c r="G859" t="s">
        <v>24</v>
      </c>
      <c r="H859">
        <v>3</v>
      </c>
      <c r="I859">
        <v>21</v>
      </c>
      <c r="J859">
        <v>100</v>
      </c>
      <c r="K859">
        <v>100</v>
      </c>
      <c r="L859">
        <v>2334.9899999999998</v>
      </c>
      <c r="M859">
        <v>234.99</v>
      </c>
      <c r="N859" s="1">
        <v>37841</v>
      </c>
      <c r="O859" t="s">
        <v>25</v>
      </c>
      <c r="P859">
        <v>3</v>
      </c>
      <c r="Q859">
        <v>8</v>
      </c>
      <c r="R859">
        <v>2003</v>
      </c>
      <c r="S859" t="s">
        <v>255</v>
      </c>
    </row>
    <row r="860" spans="1:19" x14ac:dyDescent="0.25">
      <c r="A860">
        <v>10315</v>
      </c>
      <c r="B860" t="s">
        <v>325</v>
      </c>
      <c r="C860" t="s">
        <v>56</v>
      </c>
      <c r="D860" t="s">
        <v>57</v>
      </c>
      <c r="E860" t="s">
        <v>29</v>
      </c>
      <c r="F860" t="s">
        <v>30</v>
      </c>
      <c r="G860" t="s">
        <v>24</v>
      </c>
      <c r="H860">
        <v>3</v>
      </c>
      <c r="I860">
        <v>31</v>
      </c>
      <c r="J860">
        <v>86.15</v>
      </c>
      <c r="K860">
        <v>100</v>
      </c>
      <c r="L860">
        <v>2670.65</v>
      </c>
      <c r="M860">
        <v>-429.35</v>
      </c>
      <c r="N860" s="1">
        <v>38289</v>
      </c>
      <c r="O860" t="s">
        <v>25</v>
      </c>
      <c r="P860">
        <v>4</v>
      </c>
      <c r="Q860">
        <v>10</v>
      </c>
      <c r="R860">
        <v>2004</v>
      </c>
      <c r="S860" t="s">
        <v>255</v>
      </c>
    </row>
    <row r="861" spans="1:19" x14ac:dyDescent="0.25">
      <c r="A861">
        <v>10397</v>
      </c>
      <c r="B861" t="s">
        <v>325</v>
      </c>
      <c r="C861" t="s">
        <v>142</v>
      </c>
      <c r="D861" t="s">
        <v>143</v>
      </c>
      <c r="E861" t="s">
        <v>29</v>
      </c>
      <c r="F861" t="s">
        <v>30</v>
      </c>
      <c r="G861" t="s">
        <v>33</v>
      </c>
      <c r="H861">
        <v>3</v>
      </c>
      <c r="I861">
        <v>48</v>
      </c>
      <c r="J861">
        <v>100</v>
      </c>
      <c r="K861">
        <v>100</v>
      </c>
      <c r="L861">
        <v>5192.6400000000003</v>
      </c>
      <c r="M861">
        <v>392.64</v>
      </c>
      <c r="N861" s="1">
        <v>38439</v>
      </c>
      <c r="O861" t="s">
        <v>25</v>
      </c>
      <c r="P861">
        <v>1</v>
      </c>
      <c r="Q861">
        <v>3</v>
      </c>
      <c r="R861">
        <v>2005</v>
      </c>
      <c r="S861" t="s">
        <v>255</v>
      </c>
    </row>
    <row r="862" spans="1:19" x14ac:dyDescent="0.25">
      <c r="A862">
        <v>10153</v>
      </c>
      <c r="B862" t="s">
        <v>326</v>
      </c>
      <c r="C862" t="s">
        <v>78</v>
      </c>
      <c r="D862" t="s">
        <v>79</v>
      </c>
      <c r="E862" t="s">
        <v>80</v>
      </c>
      <c r="F862" t="s">
        <v>30</v>
      </c>
      <c r="G862" t="s">
        <v>24</v>
      </c>
      <c r="H862">
        <v>3</v>
      </c>
      <c r="I862">
        <v>20</v>
      </c>
      <c r="J862">
        <v>100</v>
      </c>
      <c r="K862">
        <v>99</v>
      </c>
      <c r="L862">
        <v>2204.6</v>
      </c>
      <c r="M862">
        <v>224.6</v>
      </c>
      <c r="N862" s="1">
        <v>37892</v>
      </c>
      <c r="O862" t="s">
        <v>25</v>
      </c>
      <c r="P862">
        <v>3</v>
      </c>
      <c r="Q862">
        <v>9</v>
      </c>
      <c r="R862">
        <v>2003</v>
      </c>
      <c r="S862" t="s">
        <v>255</v>
      </c>
    </row>
    <row r="863" spans="1:19" x14ac:dyDescent="0.25">
      <c r="A863">
        <v>10327</v>
      </c>
      <c r="B863" t="s">
        <v>326</v>
      </c>
      <c r="C863" t="s">
        <v>135</v>
      </c>
      <c r="D863" t="s">
        <v>136</v>
      </c>
      <c r="E863" t="s">
        <v>137</v>
      </c>
      <c r="F863" t="s">
        <v>30</v>
      </c>
      <c r="G863" t="s">
        <v>33</v>
      </c>
      <c r="H863">
        <v>3</v>
      </c>
      <c r="I863">
        <v>37</v>
      </c>
      <c r="J863">
        <v>86.61</v>
      </c>
      <c r="K863">
        <v>99</v>
      </c>
      <c r="L863">
        <v>3204.57</v>
      </c>
      <c r="M863">
        <v>-458.43</v>
      </c>
      <c r="N863" s="1">
        <v>38301</v>
      </c>
      <c r="O863" t="s">
        <v>169</v>
      </c>
      <c r="P863">
        <v>4</v>
      </c>
      <c r="Q863">
        <v>11</v>
      </c>
      <c r="R863">
        <v>2004</v>
      </c>
      <c r="S863" t="s">
        <v>255</v>
      </c>
    </row>
    <row r="864" spans="1:19" x14ac:dyDescent="0.25">
      <c r="A864">
        <v>10386</v>
      </c>
      <c r="B864" t="s">
        <v>326</v>
      </c>
      <c r="C864" t="s">
        <v>78</v>
      </c>
      <c r="D864" t="s">
        <v>79</v>
      </c>
      <c r="E864" t="s">
        <v>80</v>
      </c>
      <c r="F864" t="s">
        <v>30</v>
      </c>
      <c r="G864" t="s">
        <v>24</v>
      </c>
      <c r="H864">
        <v>3</v>
      </c>
      <c r="I864">
        <v>30</v>
      </c>
      <c r="J864">
        <v>95.48</v>
      </c>
      <c r="K864">
        <v>99</v>
      </c>
      <c r="L864">
        <v>2864.4</v>
      </c>
      <c r="M864">
        <v>-105.6</v>
      </c>
      <c r="N864" s="1">
        <v>38412</v>
      </c>
      <c r="O864" t="s">
        <v>169</v>
      </c>
      <c r="P864">
        <v>1</v>
      </c>
      <c r="Q864">
        <v>3</v>
      </c>
      <c r="R864">
        <v>2005</v>
      </c>
      <c r="S864" t="s">
        <v>255</v>
      </c>
    </row>
    <row r="865" spans="1:19" x14ac:dyDescent="0.25">
      <c r="A865">
        <v>10155</v>
      </c>
      <c r="B865" t="s">
        <v>327</v>
      </c>
      <c r="C865" t="s">
        <v>60</v>
      </c>
      <c r="D865" t="s">
        <v>61</v>
      </c>
      <c r="E865" t="s">
        <v>62</v>
      </c>
      <c r="F865" t="s">
        <v>30</v>
      </c>
      <c r="G865" t="s">
        <v>33</v>
      </c>
      <c r="H865">
        <v>3</v>
      </c>
      <c r="I865">
        <v>44</v>
      </c>
      <c r="J865">
        <v>85.87</v>
      </c>
      <c r="K865">
        <v>74</v>
      </c>
      <c r="L865">
        <v>3778.28</v>
      </c>
      <c r="M865">
        <v>522.28</v>
      </c>
      <c r="N865" s="1">
        <v>37900</v>
      </c>
      <c r="O865" t="s">
        <v>25</v>
      </c>
      <c r="P865">
        <v>4</v>
      </c>
      <c r="Q865">
        <v>10</v>
      </c>
      <c r="R865">
        <v>2003</v>
      </c>
      <c r="S865" t="s">
        <v>234</v>
      </c>
    </row>
    <row r="866" spans="1:19" x14ac:dyDescent="0.25">
      <c r="A866">
        <v>10209</v>
      </c>
      <c r="B866" t="s">
        <v>328</v>
      </c>
      <c r="C866" t="s">
        <v>147</v>
      </c>
      <c r="D866" t="s">
        <v>148</v>
      </c>
      <c r="E866" t="s">
        <v>22</v>
      </c>
      <c r="F866" t="s">
        <v>23</v>
      </c>
      <c r="G866" t="s">
        <v>24</v>
      </c>
      <c r="H866">
        <v>3</v>
      </c>
      <c r="I866">
        <v>48</v>
      </c>
      <c r="J866">
        <v>44.69</v>
      </c>
      <c r="K866">
        <v>49</v>
      </c>
      <c r="L866">
        <v>2145.12</v>
      </c>
      <c r="M866">
        <v>-206.88</v>
      </c>
      <c r="N866" s="1">
        <v>37995</v>
      </c>
      <c r="O866" t="s">
        <v>25</v>
      </c>
      <c r="P866">
        <v>1</v>
      </c>
      <c r="Q866">
        <v>1</v>
      </c>
      <c r="R866">
        <v>2004</v>
      </c>
      <c r="S866" t="s">
        <v>234</v>
      </c>
    </row>
    <row r="867" spans="1:19" x14ac:dyDescent="0.25">
      <c r="A867">
        <v>10249</v>
      </c>
      <c r="B867" t="s">
        <v>328</v>
      </c>
      <c r="C867" t="s">
        <v>102</v>
      </c>
      <c r="D867" t="s">
        <v>59</v>
      </c>
      <c r="E867" t="s">
        <v>22</v>
      </c>
      <c r="F867" t="s">
        <v>23</v>
      </c>
      <c r="G867" t="s">
        <v>24</v>
      </c>
      <c r="H867">
        <v>3</v>
      </c>
      <c r="I867">
        <v>32</v>
      </c>
      <c r="J867">
        <v>57.61</v>
      </c>
      <c r="K867">
        <v>49</v>
      </c>
      <c r="L867">
        <v>1843.52</v>
      </c>
      <c r="M867">
        <v>275.52</v>
      </c>
      <c r="N867" s="1">
        <v>38115</v>
      </c>
      <c r="O867" t="s">
        <v>25</v>
      </c>
      <c r="P867">
        <v>2</v>
      </c>
      <c r="Q867">
        <v>5</v>
      </c>
      <c r="R867">
        <v>2004</v>
      </c>
      <c r="S867" t="s">
        <v>234</v>
      </c>
    </row>
    <row r="868" spans="1:19" x14ac:dyDescent="0.25">
      <c r="A868">
        <v>10415</v>
      </c>
      <c r="B868" t="s">
        <v>328</v>
      </c>
      <c r="C868" t="s">
        <v>229</v>
      </c>
      <c r="D868" t="s">
        <v>230</v>
      </c>
      <c r="E868" t="s">
        <v>49</v>
      </c>
      <c r="F868" t="s">
        <v>50</v>
      </c>
      <c r="G868" t="s">
        <v>24</v>
      </c>
      <c r="H868">
        <v>3</v>
      </c>
      <c r="I868">
        <v>42</v>
      </c>
      <c r="J868">
        <v>57.61</v>
      </c>
      <c r="K868">
        <v>49</v>
      </c>
      <c r="L868">
        <v>2419.62</v>
      </c>
      <c r="M868">
        <v>361.62</v>
      </c>
      <c r="N868" s="1">
        <v>38481</v>
      </c>
      <c r="O868" t="s">
        <v>81</v>
      </c>
      <c r="P868">
        <v>2</v>
      </c>
      <c r="Q868">
        <v>5</v>
      </c>
      <c r="R868">
        <v>2005</v>
      </c>
      <c r="S868" t="s">
        <v>234</v>
      </c>
    </row>
    <row r="869" spans="1:19" x14ac:dyDescent="0.25">
      <c r="A869">
        <v>10232</v>
      </c>
      <c r="B869" t="s">
        <v>329</v>
      </c>
      <c r="C869" t="s">
        <v>158</v>
      </c>
      <c r="D869" t="s">
        <v>159</v>
      </c>
      <c r="E869" t="s">
        <v>77</v>
      </c>
      <c r="F869" t="s">
        <v>30</v>
      </c>
      <c r="G869" t="s">
        <v>24</v>
      </c>
      <c r="H869">
        <v>3</v>
      </c>
      <c r="I869">
        <v>24</v>
      </c>
      <c r="J869">
        <v>49.69</v>
      </c>
      <c r="K869">
        <v>54</v>
      </c>
      <c r="L869">
        <v>1192.56</v>
      </c>
      <c r="M869">
        <v>-103.44</v>
      </c>
      <c r="N869" s="1">
        <v>38066</v>
      </c>
      <c r="O869" t="s">
        <v>25</v>
      </c>
      <c r="P869">
        <v>1</v>
      </c>
      <c r="Q869">
        <v>3</v>
      </c>
      <c r="R869">
        <v>2004</v>
      </c>
      <c r="S869" t="s">
        <v>255</v>
      </c>
    </row>
    <row r="870" spans="1:19" x14ac:dyDescent="0.25">
      <c r="A870">
        <v>10388</v>
      </c>
      <c r="B870" t="s">
        <v>19</v>
      </c>
      <c r="C870" t="s">
        <v>73</v>
      </c>
      <c r="D870" t="s">
        <v>74</v>
      </c>
      <c r="E870" t="s">
        <v>22</v>
      </c>
      <c r="F870" t="s">
        <v>23</v>
      </c>
      <c r="G870" t="s">
        <v>33</v>
      </c>
      <c r="H870">
        <v>4</v>
      </c>
      <c r="I870">
        <v>42</v>
      </c>
      <c r="J870">
        <v>76.36</v>
      </c>
      <c r="K870">
        <v>95</v>
      </c>
      <c r="L870">
        <v>3207.12</v>
      </c>
      <c r="M870">
        <v>-782.88</v>
      </c>
      <c r="N870" s="1">
        <v>38414</v>
      </c>
      <c r="O870" t="s">
        <v>25</v>
      </c>
      <c r="P870">
        <v>1</v>
      </c>
      <c r="Q870">
        <v>3</v>
      </c>
      <c r="R870">
        <v>2005</v>
      </c>
      <c r="S870" t="s">
        <v>26</v>
      </c>
    </row>
    <row r="871" spans="1:19" x14ac:dyDescent="0.25">
      <c r="A871">
        <v>10174</v>
      </c>
      <c r="B871" t="s">
        <v>82</v>
      </c>
      <c r="C871" t="s">
        <v>91</v>
      </c>
      <c r="D871" t="s">
        <v>92</v>
      </c>
      <c r="E871" t="s">
        <v>49</v>
      </c>
      <c r="F871" t="s">
        <v>50</v>
      </c>
      <c r="G871" t="s">
        <v>70</v>
      </c>
      <c r="H871">
        <v>4</v>
      </c>
      <c r="I871">
        <v>34</v>
      </c>
      <c r="J871">
        <v>100</v>
      </c>
      <c r="K871">
        <v>214</v>
      </c>
      <c r="L871">
        <v>8014.82</v>
      </c>
      <c r="M871">
        <v>738.82</v>
      </c>
      <c r="N871" s="1">
        <v>37931</v>
      </c>
      <c r="O871" t="s">
        <v>25</v>
      </c>
      <c r="P871">
        <v>4</v>
      </c>
      <c r="Q871">
        <v>11</v>
      </c>
      <c r="R871">
        <v>2003</v>
      </c>
      <c r="S871" t="s">
        <v>83</v>
      </c>
    </row>
    <row r="872" spans="1:19" x14ac:dyDescent="0.25">
      <c r="A872">
        <v>10391</v>
      </c>
      <c r="B872" t="s">
        <v>82</v>
      </c>
      <c r="C872" t="s">
        <v>121</v>
      </c>
      <c r="D872" t="s">
        <v>122</v>
      </c>
      <c r="E872" t="s">
        <v>49</v>
      </c>
      <c r="F872" t="s">
        <v>50</v>
      </c>
      <c r="G872" t="s">
        <v>24</v>
      </c>
      <c r="H872">
        <v>4</v>
      </c>
      <c r="I872">
        <v>24</v>
      </c>
      <c r="J872">
        <v>100</v>
      </c>
      <c r="K872">
        <v>214</v>
      </c>
      <c r="L872">
        <v>2416.56</v>
      </c>
      <c r="M872">
        <v>-2719.44</v>
      </c>
      <c r="N872" s="1">
        <v>38420</v>
      </c>
      <c r="O872" t="s">
        <v>25</v>
      </c>
      <c r="P872">
        <v>1</v>
      </c>
      <c r="Q872">
        <v>3</v>
      </c>
      <c r="R872">
        <v>2005</v>
      </c>
      <c r="S872" t="s">
        <v>83</v>
      </c>
    </row>
    <row r="873" spans="1:19" x14ac:dyDescent="0.25">
      <c r="A873">
        <v>10168</v>
      </c>
      <c r="B873" t="s">
        <v>126</v>
      </c>
      <c r="C873" t="s">
        <v>38</v>
      </c>
      <c r="D873" t="s">
        <v>39</v>
      </c>
      <c r="E873" t="s">
        <v>22</v>
      </c>
      <c r="F873" t="s">
        <v>23</v>
      </c>
      <c r="G873" t="s">
        <v>33</v>
      </c>
      <c r="H873">
        <v>4</v>
      </c>
      <c r="I873">
        <v>27</v>
      </c>
      <c r="J873">
        <v>100</v>
      </c>
      <c r="K873">
        <v>118</v>
      </c>
      <c r="L873">
        <v>3660.93</v>
      </c>
      <c r="M873">
        <v>474.93</v>
      </c>
      <c r="N873" s="1">
        <v>37922</v>
      </c>
      <c r="O873" t="s">
        <v>25</v>
      </c>
      <c r="P873">
        <v>4</v>
      </c>
      <c r="Q873">
        <v>10</v>
      </c>
      <c r="R873">
        <v>2003</v>
      </c>
      <c r="S873" t="s">
        <v>26</v>
      </c>
    </row>
    <row r="874" spans="1:19" x14ac:dyDescent="0.25">
      <c r="A874">
        <v>10188</v>
      </c>
      <c r="B874" t="s">
        <v>126</v>
      </c>
      <c r="C874" t="s">
        <v>42</v>
      </c>
      <c r="D874" t="s">
        <v>43</v>
      </c>
      <c r="E874" t="s">
        <v>44</v>
      </c>
      <c r="F874" t="s">
        <v>30</v>
      </c>
      <c r="G874" t="s">
        <v>33</v>
      </c>
      <c r="H874">
        <v>4</v>
      </c>
      <c r="I874">
        <v>38</v>
      </c>
      <c r="J874">
        <v>96.34</v>
      </c>
      <c r="K874">
        <v>118</v>
      </c>
      <c r="L874">
        <v>3660.92</v>
      </c>
      <c r="M874">
        <v>-823.08</v>
      </c>
      <c r="N874" s="1">
        <v>37943</v>
      </c>
      <c r="O874" t="s">
        <v>25</v>
      </c>
      <c r="P874">
        <v>4</v>
      </c>
      <c r="Q874">
        <v>11</v>
      </c>
      <c r="R874">
        <v>2003</v>
      </c>
      <c r="S874" t="s">
        <v>26</v>
      </c>
    </row>
    <row r="875" spans="1:19" x14ac:dyDescent="0.25">
      <c r="A875">
        <v>10223</v>
      </c>
      <c r="B875" t="s">
        <v>126</v>
      </c>
      <c r="C875" t="s">
        <v>47</v>
      </c>
      <c r="D875" t="s">
        <v>48</v>
      </c>
      <c r="E875" t="s">
        <v>49</v>
      </c>
      <c r="F875" t="s">
        <v>50</v>
      </c>
      <c r="G875" t="s">
        <v>33</v>
      </c>
      <c r="H875">
        <v>4</v>
      </c>
      <c r="I875">
        <v>47</v>
      </c>
      <c r="J875">
        <v>100</v>
      </c>
      <c r="K875">
        <v>118</v>
      </c>
      <c r="L875">
        <v>5422.39</v>
      </c>
      <c r="M875">
        <v>-123.61</v>
      </c>
      <c r="N875" s="1">
        <v>38037</v>
      </c>
      <c r="O875" t="s">
        <v>25</v>
      </c>
      <c r="P875">
        <v>1</v>
      </c>
      <c r="Q875">
        <v>2</v>
      </c>
      <c r="R875">
        <v>2004</v>
      </c>
      <c r="S875" t="s">
        <v>26</v>
      </c>
    </row>
    <row r="876" spans="1:19" x14ac:dyDescent="0.25">
      <c r="A876">
        <v>10275</v>
      </c>
      <c r="B876" t="s">
        <v>126</v>
      </c>
      <c r="C876" t="s">
        <v>56</v>
      </c>
      <c r="D876" t="s">
        <v>57</v>
      </c>
      <c r="E876" t="s">
        <v>29</v>
      </c>
      <c r="F876" t="s">
        <v>30</v>
      </c>
      <c r="G876" t="s">
        <v>24</v>
      </c>
      <c r="H876">
        <v>4</v>
      </c>
      <c r="I876">
        <v>22</v>
      </c>
      <c r="J876">
        <v>100</v>
      </c>
      <c r="K876">
        <v>118</v>
      </c>
      <c r="L876">
        <v>2904.44</v>
      </c>
      <c r="M876">
        <v>308.44</v>
      </c>
      <c r="N876" s="1">
        <v>38191</v>
      </c>
      <c r="O876" t="s">
        <v>25</v>
      </c>
      <c r="P876">
        <v>3</v>
      </c>
      <c r="Q876">
        <v>7</v>
      </c>
      <c r="R876">
        <v>2004</v>
      </c>
      <c r="S876" t="s">
        <v>26</v>
      </c>
    </row>
    <row r="877" spans="1:19" x14ac:dyDescent="0.25">
      <c r="A877">
        <v>10318</v>
      </c>
      <c r="B877" t="s">
        <v>126</v>
      </c>
      <c r="C877" t="s">
        <v>65</v>
      </c>
      <c r="D877" t="s">
        <v>66</v>
      </c>
      <c r="E877" t="s">
        <v>22</v>
      </c>
      <c r="F877" t="s">
        <v>23</v>
      </c>
      <c r="G877" t="s">
        <v>33</v>
      </c>
      <c r="H877">
        <v>4</v>
      </c>
      <c r="I877">
        <v>45</v>
      </c>
      <c r="J877">
        <v>100</v>
      </c>
      <c r="K877">
        <v>118</v>
      </c>
      <c r="L877">
        <v>5566.5</v>
      </c>
      <c r="M877">
        <v>256.5</v>
      </c>
      <c r="N877" s="1">
        <v>38293</v>
      </c>
      <c r="O877" t="s">
        <v>25</v>
      </c>
      <c r="P877">
        <v>4</v>
      </c>
      <c r="Q877">
        <v>11</v>
      </c>
      <c r="R877">
        <v>2004</v>
      </c>
      <c r="S877" t="s">
        <v>26</v>
      </c>
    </row>
    <row r="878" spans="1:19" x14ac:dyDescent="0.25">
      <c r="A878">
        <v>10339</v>
      </c>
      <c r="B878" t="s">
        <v>126</v>
      </c>
      <c r="C878" t="s">
        <v>105</v>
      </c>
      <c r="D878" t="s">
        <v>106</v>
      </c>
      <c r="E878" t="s">
        <v>107</v>
      </c>
      <c r="F878" t="s">
        <v>50</v>
      </c>
      <c r="G878" t="s">
        <v>24</v>
      </c>
      <c r="H878">
        <v>4</v>
      </c>
      <c r="I878">
        <v>40</v>
      </c>
      <c r="J878">
        <v>68.92</v>
      </c>
      <c r="K878">
        <v>118</v>
      </c>
      <c r="L878">
        <v>2756.8</v>
      </c>
      <c r="M878">
        <v>-1963.2</v>
      </c>
      <c r="N878" s="1">
        <v>38314</v>
      </c>
      <c r="O878" t="s">
        <v>25</v>
      </c>
      <c r="P878">
        <v>4</v>
      </c>
      <c r="Q878">
        <v>11</v>
      </c>
      <c r="R878">
        <v>2004</v>
      </c>
      <c r="S878" t="s">
        <v>26</v>
      </c>
    </row>
    <row r="879" spans="1:19" x14ac:dyDescent="0.25">
      <c r="A879">
        <v>10107</v>
      </c>
      <c r="B879" t="s">
        <v>133</v>
      </c>
      <c r="C879" t="s">
        <v>20</v>
      </c>
      <c r="D879" t="s">
        <v>21</v>
      </c>
      <c r="E879" t="s">
        <v>22</v>
      </c>
      <c r="F879" t="s">
        <v>23</v>
      </c>
      <c r="G879" t="s">
        <v>33</v>
      </c>
      <c r="H879">
        <v>4</v>
      </c>
      <c r="I879">
        <v>27</v>
      </c>
      <c r="J879">
        <v>100</v>
      </c>
      <c r="K879">
        <v>193</v>
      </c>
      <c r="L879">
        <v>6065.55</v>
      </c>
      <c r="M879">
        <v>854.55</v>
      </c>
      <c r="N879" s="1">
        <v>37676</v>
      </c>
      <c r="O879" t="s">
        <v>25</v>
      </c>
      <c r="P879">
        <v>1</v>
      </c>
      <c r="Q879">
        <v>2</v>
      </c>
      <c r="R879">
        <v>2003</v>
      </c>
      <c r="S879" t="s">
        <v>26</v>
      </c>
    </row>
    <row r="880" spans="1:19" x14ac:dyDescent="0.25">
      <c r="A880">
        <v>10134</v>
      </c>
      <c r="B880" t="s">
        <v>133</v>
      </c>
      <c r="C880" t="s">
        <v>31</v>
      </c>
      <c r="D880" t="s">
        <v>32</v>
      </c>
      <c r="E880" t="s">
        <v>29</v>
      </c>
      <c r="F880" t="s">
        <v>30</v>
      </c>
      <c r="G880" t="s">
        <v>70</v>
      </c>
      <c r="H880">
        <v>4</v>
      </c>
      <c r="I880">
        <v>31</v>
      </c>
      <c r="J880">
        <v>100</v>
      </c>
      <c r="K880">
        <v>193</v>
      </c>
      <c r="L880">
        <v>7023.98</v>
      </c>
      <c r="M880">
        <v>1040.98</v>
      </c>
      <c r="N880" s="1">
        <v>37803</v>
      </c>
      <c r="O880" t="s">
        <v>25</v>
      </c>
      <c r="P880">
        <v>3</v>
      </c>
      <c r="Q880">
        <v>7</v>
      </c>
      <c r="R880">
        <v>2003</v>
      </c>
      <c r="S880" t="s">
        <v>26</v>
      </c>
    </row>
    <row r="881" spans="1:19" x14ac:dyDescent="0.25">
      <c r="A881">
        <v>10201</v>
      </c>
      <c r="B881" t="s">
        <v>133</v>
      </c>
      <c r="C881" t="s">
        <v>45</v>
      </c>
      <c r="D881" t="s">
        <v>37</v>
      </c>
      <c r="E881" t="s">
        <v>22</v>
      </c>
      <c r="F881" t="s">
        <v>23</v>
      </c>
      <c r="G881" t="s">
        <v>70</v>
      </c>
      <c r="H881">
        <v>4</v>
      </c>
      <c r="I881">
        <v>49</v>
      </c>
      <c r="J881">
        <v>100</v>
      </c>
      <c r="K881">
        <v>193</v>
      </c>
      <c r="L881">
        <v>8065.89</v>
      </c>
      <c r="M881">
        <v>-1391.11</v>
      </c>
      <c r="N881" s="1">
        <v>37956</v>
      </c>
      <c r="O881" t="s">
        <v>25</v>
      </c>
      <c r="P881">
        <v>4</v>
      </c>
      <c r="Q881">
        <v>12</v>
      </c>
      <c r="R881">
        <v>2003</v>
      </c>
      <c r="S881" t="s">
        <v>26</v>
      </c>
    </row>
    <row r="882" spans="1:19" x14ac:dyDescent="0.25">
      <c r="A882">
        <v>10251</v>
      </c>
      <c r="B882" t="s">
        <v>133</v>
      </c>
      <c r="C882" t="s">
        <v>52</v>
      </c>
      <c r="D882" t="s">
        <v>53</v>
      </c>
      <c r="E882" t="s">
        <v>22</v>
      </c>
      <c r="F882" t="s">
        <v>23</v>
      </c>
      <c r="G882" t="s">
        <v>70</v>
      </c>
      <c r="H882">
        <v>4</v>
      </c>
      <c r="I882">
        <v>43</v>
      </c>
      <c r="J882">
        <v>100</v>
      </c>
      <c r="K882">
        <v>193</v>
      </c>
      <c r="L882">
        <v>7078.23</v>
      </c>
      <c r="M882">
        <v>-1220.77</v>
      </c>
      <c r="N882" s="1">
        <v>38125</v>
      </c>
      <c r="O882" t="s">
        <v>25</v>
      </c>
      <c r="P882">
        <v>2</v>
      </c>
      <c r="Q882">
        <v>5</v>
      </c>
      <c r="R882">
        <v>2004</v>
      </c>
      <c r="S882" t="s">
        <v>26</v>
      </c>
    </row>
    <row r="883" spans="1:19" x14ac:dyDescent="0.25">
      <c r="A883">
        <v>10263</v>
      </c>
      <c r="B883" t="s">
        <v>133</v>
      </c>
      <c r="C883" t="s">
        <v>54</v>
      </c>
      <c r="D883" t="s">
        <v>55</v>
      </c>
      <c r="E883" t="s">
        <v>22</v>
      </c>
      <c r="F883" t="s">
        <v>23</v>
      </c>
      <c r="G883" t="s">
        <v>70</v>
      </c>
      <c r="H883">
        <v>4</v>
      </c>
      <c r="I883">
        <v>41</v>
      </c>
      <c r="J883">
        <v>100</v>
      </c>
      <c r="K883">
        <v>193</v>
      </c>
      <c r="L883">
        <v>8336.94</v>
      </c>
      <c r="M883">
        <v>423.94</v>
      </c>
      <c r="N883" s="1">
        <v>38166</v>
      </c>
      <c r="O883" t="s">
        <v>25</v>
      </c>
      <c r="P883">
        <v>2</v>
      </c>
      <c r="Q883">
        <v>6</v>
      </c>
      <c r="R883">
        <v>2004</v>
      </c>
      <c r="S883" t="s">
        <v>26</v>
      </c>
    </row>
    <row r="884" spans="1:19" x14ac:dyDescent="0.25">
      <c r="A884">
        <v>10362</v>
      </c>
      <c r="B884" t="s">
        <v>133</v>
      </c>
      <c r="C884" t="s">
        <v>38</v>
      </c>
      <c r="D884" t="s">
        <v>39</v>
      </c>
      <c r="E884" t="s">
        <v>22</v>
      </c>
      <c r="F884" t="s">
        <v>23</v>
      </c>
      <c r="G884" t="s">
        <v>33</v>
      </c>
      <c r="H884">
        <v>4</v>
      </c>
      <c r="I884">
        <v>22</v>
      </c>
      <c r="J884">
        <v>100</v>
      </c>
      <c r="K884">
        <v>193</v>
      </c>
      <c r="L884">
        <v>3664.1</v>
      </c>
      <c r="M884">
        <v>-581.9</v>
      </c>
      <c r="N884" s="1">
        <v>38357</v>
      </c>
      <c r="O884" t="s">
        <v>25</v>
      </c>
      <c r="P884">
        <v>1</v>
      </c>
      <c r="Q884">
        <v>1</v>
      </c>
      <c r="R884">
        <v>2005</v>
      </c>
      <c r="S884" t="s">
        <v>26</v>
      </c>
    </row>
    <row r="885" spans="1:19" x14ac:dyDescent="0.25">
      <c r="A885">
        <v>10417</v>
      </c>
      <c r="B885" t="s">
        <v>133</v>
      </c>
      <c r="C885" t="s">
        <v>78</v>
      </c>
      <c r="D885" t="s">
        <v>79</v>
      </c>
      <c r="E885" t="s">
        <v>80</v>
      </c>
      <c r="F885" t="s">
        <v>30</v>
      </c>
      <c r="G885" t="s">
        <v>70</v>
      </c>
      <c r="H885">
        <v>4</v>
      </c>
      <c r="I885">
        <v>56</v>
      </c>
      <c r="J885">
        <v>100</v>
      </c>
      <c r="K885">
        <v>193</v>
      </c>
      <c r="L885">
        <v>9218.16</v>
      </c>
      <c r="M885">
        <v>-1589.84</v>
      </c>
      <c r="N885" s="1">
        <v>38485</v>
      </c>
      <c r="O885" t="s">
        <v>81</v>
      </c>
      <c r="P885">
        <v>2</v>
      </c>
      <c r="Q885">
        <v>5</v>
      </c>
      <c r="R885">
        <v>2005</v>
      </c>
      <c r="S885" t="s">
        <v>26</v>
      </c>
    </row>
    <row r="886" spans="1:19" x14ac:dyDescent="0.25">
      <c r="A886">
        <v>10273</v>
      </c>
      <c r="B886" t="s">
        <v>134</v>
      </c>
      <c r="C886" t="s">
        <v>151</v>
      </c>
      <c r="D886" t="s">
        <v>152</v>
      </c>
      <c r="E886" t="s">
        <v>153</v>
      </c>
      <c r="F886" t="s">
        <v>30</v>
      </c>
      <c r="G886" t="s">
        <v>33</v>
      </c>
      <c r="H886">
        <v>4</v>
      </c>
      <c r="I886">
        <v>30</v>
      </c>
      <c r="J886">
        <v>100</v>
      </c>
      <c r="K886">
        <v>136</v>
      </c>
      <c r="L886">
        <v>3508.8</v>
      </c>
      <c r="M886">
        <v>-571.20000000000005</v>
      </c>
      <c r="N886" s="1">
        <v>38189</v>
      </c>
      <c r="O886" t="s">
        <v>25</v>
      </c>
      <c r="P886">
        <v>3</v>
      </c>
      <c r="Q886">
        <v>7</v>
      </c>
      <c r="R886">
        <v>2004</v>
      </c>
      <c r="S886" t="s">
        <v>83</v>
      </c>
    </row>
    <row r="887" spans="1:19" x14ac:dyDescent="0.25">
      <c r="A887">
        <v>10384</v>
      </c>
      <c r="B887" t="s">
        <v>134</v>
      </c>
      <c r="C887" t="s">
        <v>36</v>
      </c>
      <c r="D887" t="s">
        <v>37</v>
      </c>
      <c r="E887" t="s">
        <v>22</v>
      </c>
      <c r="F887" t="s">
        <v>23</v>
      </c>
      <c r="G887" t="s">
        <v>33</v>
      </c>
      <c r="H887">
        <v>4</v>
      </c>
      <c r="I887">
        <v>34</v>
      </c>
      <c r="J887">
        <v>100</v>
      </c>
      <c r="K887">
        <v>136</v>
      </c>
      <c r="L887">
        <v>4846.7</v>
      </c>
      <c r="M887">
        <v>222.7</v>
      </c>
      <c r="N887" s="1">
        <v>38406</v>
      </c>
      <c r="O887" t="s">
        <v>25</v>
      </c>
      <c r="P887">
        <v>1</v>
      </c>
      <c r="Q887">
        <v>2</v>
      </c>
      <c r="R887">
        <v>2005</v>
      </c>
      <c r="S887" t="s">
        <v>83</v>
      </c>
    </row>
    <row r="888" spans="1:19" x14ac:dyDescent="0.25">
      <c r="A888">
        <v>10103</v>
      </c>
      <c r="B888" t="s">
        <v>165</v>
      </c>
      <c r="C888" t="s">
        <v>63</v>
      </c>
      <c r="D888" t="s">
        <v>64</v>
      </c>
      <c r="E888" t="s">
        <v>44</v>
      </c>
      <c r="F888" t="s">
        <v>30</v>
      </c>
      <c r="G888" t="s">
        <v>33</v>
      </c>
      <c r="H888">
        <v>4</v>
      </c>
      <c r="I888">
        <v>42</v>
      </c>
      <c r="J888">
        <v>100</v>
      </c>
      <c r="K888">
        <v>147</v>
      </c>
      <c r="L888">
        <v>5398.26</v>
      </c>
      <c r="M888">
        <v>-775.74</v>
      </c>
      <c r="N888" s="1">
        <v>37650</v>
      </c>
      <c r="O888" t="s">
        <v>25</v>
      </c>
      <c r="P888">
        <v>1</v>
      </c>
      <c r="Q888">
        <v>1</v>
      </c>
      <c r="R888">
        <v>2003</v>
      </c>
      <c r="S888" t="s">
        <v>83</v>
      </c>
    </row>
    <row r="889" spans="1:19" x14ac:dyDescent="0.25">
      <c r="A889">
        <v>10126</v>
      </c>
      <c r="B889" t="s">
        <v>165</v>
      </c>
      <c r="C889" t="s">
        <v>87</v>
      </c>
      <c r="D889" t="s">
        <v>79</v>
      </c>
      <c r="E889" t="s">
        <v>80</v>
      </c>
      <c r="F889" t="s">
        <v>30</v>
      </c>
      <c r="G889" t="s">
        <v>33</v>
      </c>
      <c r="H889">
        <v>4</v>
      </c>
      <c r="I889">
        <v>22</v>
      </c>
      <c r="J889">
        <v>100</v>
      </c>
      <c r="K889">
        <v>147</v>
      </c>
      <c r="L889">
        <v>3347.74</v>
      </c>
      <c r="M889">
        <v>113.74</v>
      </c>
      <c r="N889" s="1">
        <v>37769</v>
      </c>
      <c r="O889" t="s">
        <v>25</v>
      </c>
      <c r="P889">
        <v>2</v>
      </c>
      <c r="Q889">
        <v>5</v>
      </c>
      <c r="R889">
        <v>2003</v>
      </c>
      <c r="S889" t="s">
        <v>83</v>
      </c>
    </row>
    <row r="890" spans="1:19" x14ac:dyDescent="0.25">
      <c r="A890">
        <v>10140</v>
      </c>
      <c r="B890" t="s">
        <v>165</v>
      </c>
      <c r="C890" t="s">
        <v>38</v>
      </c>
      <c r="D890" t="s">
        <v>39</v>
      </c>
      <c r="E890" t="s">
        <v>22</v>
      </c>
      <c r="F890" t="s">
        <v>23</v>
      </c>
      <c r="G890" t="s">
        <v>33</v>
      </c>
      <c r="H890">
        <v>4</v>
      </c>
      <c r="I890">
        <v>26</v>
      </c>
      <c r="J890">
        <v>100</v>
      </c>
      <c r="K890">
        <v>147</v>
      </c>
      <c r="L890">
        <v>3188.12</v>
      </c>
      <c r="M890">
        <v>-633.88</v>
      </c>
      <c r="N890" s="1">
        <v>37826</v>
      </c>
      <c r="O890" t="s">
        <v>25</v>
      </c>
      <c r="P890">
        <v>3</v>
      </c>
      <c r="Q890">
        <v>7</v>
      </c>
      <c r="R890">
        <v>2003</v>
      </c>
      <c r="S890" t="s">
        <v>83</v>
      </c>
    </row>
    <row r="891" spans="1:19" x14ac:dyDescent="0.25">
      <c r="A891">
        <v>10194</v>
      </c>
      <c r="B891" t="s">
        <v>165</v>
      </c>
      <c r="C891" t="s">
        <v>95</v>
      </c>
      <c r="D891" t="s">
        <v>96</v>
      </c>
      <c r="E891" t="s">
        <v>29</v>
      </c>
      <c r="F891" t="s">
        <v>30</v>
      </c>
      <c r="G891" t="s">
        <v>33</v>
      </c>
      <c r="H891">
        <v>4</v>
      </c>
      <c r="I891">
        <v>26</v>
      </c>
      <c r="J891">
        <v>100</v>
      </c>
      <c r="K891">
        <v>147</v>
      </c>
      <c r="L891">
        <v>4263.74</v>
      </c>
      <c r="M891">
        <v>441.74</v>
      </c>
      <c r="N891" s="1">
        <v>37950</v>
      </c>
      <c r="O891" t="s">
        <v>25</v>
      </c>
      <c r="P891">
        <v>4</v>
      </c>
      <c r="Q891">
        <v>11</v>
      </c>
      <c r="R891">
        <v>2003</v>
      </c>
      <c r="S891" t="s">
        <v>83</v>
      </c>
    </row>
    <row r="892" spans="1:19" x14ac:dyDescent="0.25">
      <c r="A892">
        <v>10217</v>
      </c>
      <c r="B892" t="s">
        <v>165</v>
      </c>
      <c r="C892" t="s">
        <v>171</v>
      </c>
      <c r="D892" t="s">
        <v>89</v>
      </c>
      <c r="E892" t="s">
        <v>89</v>
      </c>
      <c r="F892" t="s">
        <v>50</v>
      </c>
      <c r="G892" t="s">
        <v>70</v>
      </c>
      <c r="H892">
        <v>4</v>
      </c>
      <c r="I892">
        <v>48</v>
      </c>
      <c r="J892">
        <v>100</v>
      </c>
      <c r="K892">
        <v>147</v>
      </c>
      <c r="L892">
        <v>7020.48</v>
      </c>
      <c r="M892">
        <v>-35.520000000000003</v>
      </c>
      <c r="N892" s="1">
        <v>38021</v>
      </c>
      <c r="O892" t="s">
        <v>25</v>
      </c>
      <c r="P892">
        <v>1</v>
      </c>
      <c r="Q892">
        <v>2</v>
      </c>
      <c r="R892">
        <v>2004</v>
      </c>
      <c r="S892" t="s">
        <v>83</v>
      </c>
    </row>
    <row r="893" spans="1:19" x14ac:dyDescent="0.25">
      <c r="A893">
        <v>10291</v>
      </c>
      <c r="B893" t="s">
        <v>165</v>
      </c>
      <c r="C893" t="s">
        <v>111</v>
      </c>
      <c r="D893" t="s">
        <v>112</v>
      </c>
      <c r="E893" t="s">
        <v>86</v>
      </c>
      <c r="F893" t="s">
        <v>30</v>
      </c>
      <c r="G893" t="s">
        <v>33</v>
      </c>
      <c r="H893">
        <v>4</v>
      </c>
      <c r="I893">
        <v>30</v>
      </c>
      <c r="J893">
        <v>100</v>
      </c>
      <c r="K893">
        <v>147</v>
      </c>
      <c r="L893">
        <v>3855.9</v>
      </c>
      <c r="M893">
        <v>-554.1</v>
      </c>
      <c r="N893" s="1">
        <v>38238</v>
      </c>
      <c r="O893" t="s">
        <v>25</v>
      </c>
      <c r="P893">
        <v>3</v>
      </c>
      <c r="Q893">
        <v>9</v>
      </c>
      <c r="R893">
        <v>2004</v>
      </c>
      <c r="S893" t="s">
        <v>83</v>
      </c>
    </row>
    <row r="894" spans="1:19" x14ac:dyDescent="0.25">
      <c r="A894">
        <v>10370</v>
      </c>
      <c r="B894" t="s">
        <v>165</v>
      </c>
      <c r="C894" t="s">
        <v>121</v>
      </c>
      <c r="D894" t="s">
        <v>122</v>
      </c>
      <c r="E894" t="s">
        <v>49</v>
      </c>
      <c r="F894" t="s">
        <v>50</v>
      </c>
      <c r="G894" t="s">
        <v>24</v>
      </c>
      <c r="H894">
        <v>4</v>
      </c>
      <c r="I894">
        <v>35</v>
      </c>
      <c r="J894">
        <v>65.63</v>
      </c>
      <c r="K894">
        <v>147</v>
      </c>
      <c r="L894">
        <v>2297.0500000000002</v>
      </c>
      <c r="M894">
        <v>-2847.95</v>
      </c>
      <c r="N894" s="1">
        <v>38372</v>
      </c>
      <c r="O894" t="s">
        <v>25</v>
      </c>
      <c r="P894">
        <v>1</v>
      </c>
      <c r="Q894">
        <v>1</v>
      </c>
      <c r="R894">
        <v>2005</v>
      </c>
      <c r="S894" t="s">
        <v>83</v>
      </c>
    </row>
    <row r="895" spans="1:19" x14ac:dyDescent="0.25">
      <c r="A895">
        <v>10389</v>
      </c>
      <c r="B895" t="s">
        <v>172</v>
      </c>
      <c r="C895" t="s">
        <v>111</v>
      </c>
      <c r="D895" t="s">
        <v>112</v>
      </c>
      <c r="E895" t="s">
        <v>86</v>
      </c>
      <c r="F895" t="s">
        <v>30</v>
      </c>
      <c r="G895" t="s">
        <v>24</v>
      </c>
      <c r="H895">
        <v>4</v>
      </c>
      <c r="I895">
        <v>26</v>
      </c>
      <c r="J895">
        <v>99.04</v>
      </c>
      <c r="K895">
        <v>194</v>
      </c>
      <c r="L895">
        <v>2575.04</v>
      </c>
      <c r="M895">
        <v>-2468.96</v>
      </c>
      <c r="N895" s="1">
        <v>38414</v>
      </c>
      <c r="O895" t="s">
        <v>25</v>
      </c>
      <c r="P895">
        <v>1</v>
      </c>
      <c r="Q895">
        <v>3</v>
      </c>
      <c r="R895">
        <v>2005</v>
      </c>
      <c r="S895" t="s">
        <v>83</v>
      </c>
    </row>
    <row r="896" spans="1:19" x14ac:dyDescent="0.25">
      <c r="A896">
        <v>10121</v>
      </c>
      <c r="B896" t="s">
        <v>203</v>
      </c>
      <c r="C896" t="s">
        <v>27</v>
      </c>
      <c r="D896" t="s">
        <v>28</v>
      </c>
      <c r="E896" t="s">
        <v>29</v>
      </c>
      <c r="F896" t="s">
        <v>30</v>
      </c>
      <c r="G896" t="s">
        <v>70</v>
      </c>
      <c r="H896">
        <v>4</v>
      </c>
      <c r="I896">
        <v>50</v>
      </c>
      <c r="J896">
        <v>100</v>
      </c>
      <c r="K896">
        <v>150</v>
      </c>
      <c r="L896">
        <v>8284</v>
      </c>
      <c r="M896">
        <v>784</v>
      </c>
      <c r="N896" s="1">
        <v>37748</v>
      </c>
      <c r="O896" t="s">
        <v>25</v>
      </c>
      <c r="P896">
        <v>2</v>
      </c>
      <c r="Q896">
        <v>5</v>
      </c>
      <c r="R896">
        <v>2003</v>
      </c>
      <c r="S896" t="s">
        <v>26</v>
      </c>
    </row>
    <row r="897" spans="1:19" x14ac:dyDescent="0.25">
      <c r="A897">
        <v>10309</v>
      </c>
      <c r="B897" t="s">
        <v>203</v>
      </c>
      <c r="C897" t="s">
        <v>63</v>
      </c>
      <c r="D897" t="s">
        <v>64</v>
      </c>
      <c r="E897" t="s">
        <v>44</v>
      </c>
      <c r="F897" t="s">
        <v>30</v>
      </c>
      <c r="G897" t="s">
        <v>33</v>
      </c>
      <c r="H897">
        <v>4</v>
      </c>
      <c r="I897">
        <v>26</v>
      </c>
      <c r="J897">
        <v>100</v>
      </c>
      <c r="K897">
        <v>150</v>
      </c>
      <c r="L897">
        <v>4660.24</v>
      </c>
      <c r="M897">
        <v>760.24</v>
      </c>
      <c r="N897" s="1">
        <v>38275</v>
      </c>
      <c r="O897" t="s">
        <v>25</v>
      </c>
      <c r="P897">
        <v>4</v>
      </c>
      <c r="Q897">
        <v>10</v>
      </c>
      <c r="R897">
        <v>2004</v>
      </c>
      <c r="S897" t="s">
        <v>26</v>
      </c>
    </row>
    <row r="898" spans="1:19" x14ac:dyDescent="0.25">
      <c r="A898">
        <v>10165</v>
      </c>
      <c r="B898" t="s">
        <v>205</v>
      </c>
      <c r="C898" t="s">
        <v>88</v>
      </c>
      <c r="D898" t="s">
        <v>89</v>
      </c>
      <c r="E898" t="s">
        <v>89</v>
      </c>
      <c r="F898" t="s">
        <v>50</v>
      </c>
      <c r="G898" t="s">
        <v>33</v>
      </c>
      <c r="H898">
        <v>4</v>
      </c>
      <c r="I898">
        <v>34</v>
      </c>
      <c r="J898">
        <v>100</v>
      </c>
      <c r="K898">
        <v>151</v>
      </c>
      <c r="L898">
        <v>4880.0200000000004</v>
      </c>
      <c r="M898">
        <v>-253.98</v>
      </c>
      <c r="N898" s="1">
        <v>37916</v>
      </c>
      <c r="O898" t="s">
        <v>25</v>
      </c>
      <c r="P898">
        <v>4</v>
      </c>
      <c r="Q898">
        <v>10</v>
      </c>
      <c r="R898">
        <v>2003</v>
      </c>
      <c r="S898" t="s">
        <v>83</v>
      </c>
    </row>
    <row r="899" spans="1:19" x14ac:dyDescent="0.25">
      <c r="A899">
        <v>10348</v>
      </c>
      <c r="B899" t="s">
        <v>205</v>
      </c>
      <c r="C899" t="s">
        <v>87</v>
      </c>
      <c r="D899" t="s">
        <v>79</v>
      </c>
      <c r="E899" t="s">
        <v>80</v>
      </c>
      <c r="F899" t="s">
        <v>30</v>
      </c>
      <c r="G899" t="s">
        <v>33</v>
      </c>
      <c r="H899">
        <v>4</v>
      </c>
      <c r="I899">
        <v>47</v>
      </c>
      <c r="J899">
        <v>100</v>
      </c>
      <c r="K899">
        <v>151</v>
      </c>
      <c r="L899">
        <v>4801.5200000000004</v>
      </c>
      <c r="M899">
        <v>-2295.48</v>
      </c>
      <c r="N899" s="1">
        <v>38292</v>
      </c>
      <c r="O899" t="s">
        <v>25</v>
      </c>
      <c r="P899">
        <v>4</v>
      </c>
      <c r="Q899">
        <v>11</v>
      </c>
      <c r="R899">
        <v>2004</v>
      </c>
      <c r="S899" t="s">
        <v>83</v>
      </c>
    </row>
    <row r="900" spans="1:19" x14ac:dyDescent="0.25">
      <c r="A900">
        <v>10372</v>
      </c>
      <c r="B900" t="s">
        <v>205</v>
      </c>
      <c r="C900" t="s">
        <v>105</v>
      </c>
      <c r="D900" t="s">
        <v>106</v>
      </c>
      <c r="E900" t="s">
        <v>107</v>
      </c>
      <c r="F900" t="s">
        <v>50</v>
      </c>
      <c r="G900" t="s">
        <v>33</v>
      </c>
      <c r="H900">
        <v>4</v>
      </c>
      <c r="I900">
        <v>40</v>
      </c>
      <c r="J900">
        <v>100</v>
      </c>
      <c r="K900">
        <v>151</v>
      </c>
      <c r="L900">
        <v>5862</v>
      </c>
      <c r="M900">
        <v>-178</v>
      </c>
      <c r="N900" s="1">
        <v>38378</v>
      </c>
      <c r="O900" t="s">
        <v>25</v>
      </c>
      <c r="P900">
        <v>1</v>
      </c>
      <c r="Q900">
        <v>1</v>
      </c>
      <c r="R900">
        <v>2005</v>
      </c>
      <c r="S900" t="s">
        <v>83</v>
      </c>
    </row>
    <row r="901" spans="1:19" x14ac:dyDescent="0.25">
      <c r="A901">
        <v>10108</v>
      </c>
      <c r="B901" t="s">
        <v>206</v>
      </c>
      <c r="C901" t="s">
        <v>173</v>
      </c>
      <c r="D901" t="s">
        <v>174</v>
      </c>
      <c r="E901" t="s">
        <v>175</v>
      </c>
      <c r="F901" t="s">
        <v>50</v>
      </c>
      <c r="G901" t="s">
        <v>33</v>
      </c>
      <c r="H901">
        <v>4</v>
      </c>
      <c r="I901">
        <v>45</v>
      </c>
      <c r="J901">
        <v>100</v>
      </c>
      <c r="K901">
        <v>117</v>
      </c>
      <c r="L901">
        <v>6130.35</v>
      </c>
      <c r="M901">
        <v>865.35</v>
      </c>
      <c r="N901" s="1">
        <v>37683</v>
      </c>
      <c r="O901" t="s">
        <v>25</v>
      </c>
      <c r="P901">
        <v>1</v>
      </c>
      <c r="Q901">
        <v>3</v>
      </c>
      <c r="R901">
        <v>2003</v>
      </c>
      <c r="S901" t="s">
        <v>83</v>
      </c>
    </row>
    <row r="902" spans="1:19" x14ac:dyDescent="0.25">
      <c r="A902">
        <v>10170</v>
      </c>
      <c r="B902" t="s">
        <v>206</v>
      </c>
      <c r="C902" t="s">
        <v>167</v>
      </c>
      <c r="D902" t="s">
        <v>168</v>
      </c>
      <c r="E902" t="s">
        <v>69</v>
      </c>
      <c r="F902" t="s">
        <v>30</v>
      </c>
      <c r="G902" t="s">
        <v>33</v>
      </c>
      <c r="H902">
        <v>4</v>
      </c>
      <c r="I902">
        <v>47</v>
      </c>
      <c r="J902">
        <v>100</v>
      </c>
      <c r="K902">
        <v>117</v>
      </c>
      <c r="L902">
        <v>5464.69</v>
      </c>
      <c r="M902">
        <v>-34.31</v>
      </c>
      <c r="N902" s="1">
        <v>37929</v>
      </c>
      <c r="O902" t="s">
        <v>25</v>
      </c>
      <c r="P902">
        <v>4</v>
      </c>
      <c r="Q902">
        <v>11</v>
      </c>
      <c r="R902">
        <v>2003</v>
      </c>
      <c r="S902" t="s">
        <v>83</v>
      </c>
    </row>
    <row r="903" spans="1:19" x14ac:dyDescent="0.25">
      <c r="A903">
        <v>10363</v>
      </c>
      <c r="B903" t="s">
        <v>206</v>
      </c>
      <c r="C903" t="s">
        <v>189</v>
      </c>
      <c r="D903" t="s">
        <v>190</v>
      </c>
      <c r="E903" t="s">
        <v>62</v>
      </c>
      <c r="F903" t="s">
        <v>30</v>
      </c>
      <c r="G903" t="s">
        <v>33</v>
      </c>
      <c r="H903">
        <v>4</v>
      </c>
      <c r="I903">
        <v>34</v>
      </c>
      <c r="J903">
        <v>96.73</v>
      </c>
      <c r="K903">
        <v>117</v>
      </c>
      <c r="L903">
        <v>3288.82</v>
      </c>
      <c r="M903">
        <v>-689.18</v>
      </c>
      <c r="N903" s="1">
        <v>38358</v>
      </c>
      <c r="O903" t="s">
        <v>25</v>
      </c>
      <c r="P903">
        <v>1</v>
      </c>
      <c r="Q903">
        <v>1</v>
      </c>
      <c r="R903">
        <v>2005</v>
      </c>
      <c r="S903" t="s">
        <v>83</v>
      </c>
    </row>
    <row r="904" spans="1:19" x14ac:dyDescent="0.25">
      <c r="A904">
        <v>10196</v>
      </c>
      <c r="B904" t="s">
        <v>209</v>
      </c>
      <c r="C904" t="s">
        <v>103</v>
      </c>
      <c r="D904" t="s">
        <v>104</v>
      </c>
      <c r="E904" t="s">
        <v>22</v>
      </c>
      <c r="F904" t="s">
        <v>23</v>
      </c>
      <c r="G904" t="s">
        <v>70</v>
      </c>
      <c r="H904">
        <v>4</v>
      </c>
      <c r="I904">
        <v>38</v>
      </c>
      <c r="J904">
        <v>100</v>
      </c>
      <c r="K904">
        <v>173</v>
      </c>
      <c r="L904">
        <v>7232.16</v>
      </c>
      <c r="M904">
        <v>658.16</v>
      </c>
      <c r="N904" s="1">
        <v>37951</v>
      </c>
      <c r="O904" t="s">
        <v>25</v>
      </c>
      <c r="P904">
        <v>4</v>
      </c>
      <c r="Q904">
        <v>11</v>
      </c>
      <c r="R904">
        <v>2003</v>
      </c>
      <c r="S904" t="s">
        <v>83</v>
      </c>
    </row>
    <row r="905" spans="1:19" x14ac:dyDescent="0.25">
      <c r="A905">
        <v>10282</v>
      </c>
      <c r="B905" t="s">
        <v>209</v>
      </c>
      <c r="C905" t="s">
        <v>115</v>
      </c>
      <c r="D905" t="s">
        <v>116</v>
      </c>
      <c r="E905" t="s">
        <v>22</v>
      </c>
      <c r="F905" t="s">
        <v>23</v>
      </c>
      <c r="G905" t="s">
        <v>33</v>
      </c>
      <c r="H905">
        <v>4</v>
      </c>
      <c r="I905">
        <v>24</v>
      </c>
      <c r="J905">
        <v>100</v>
      </c>
      <c r="K905">
        <v>173</v>
      </c>
      <c r="L905">
        <v>3778.8</v>
      </c>
      <c r="M905">
        <v>-373.2</v>
      </c>
      <c r="N905" s="1">
        <v>38219</v>
      </c>
      <c r="O905" t="s">
        <v>25</v>
      </c>
      <c r="P905">
        <v>3</v>
      </c>
      <c r="Q905">
        <v>8</v>
      </c>
      <c r="R905">
        <v>2004</v>
      </c>
      <c r="S905" t="s">
        <v>83</v>
      </c>
    </row>
    <row r="906" spans="1:19" x14ac:dyDescent="0.25">
      <c r="A906">
        <v>10314</v>
      </c>
      <c r="B906" t="s">
        <v>209</v>
      </c>
      <c r="C906" t="s">
        <v>199</v>
      </c>
      <c r="D906" t="s">
        <v>200</v>
      </c>
      <c r="E906" t="s">
        <v>137</v>
      </c>
      <c r="F906" t="s">
        <v>30</v>
      </c>
      <c r="G906" t="s">
        <v>33</v>
      </c>
      <c r="H906">
        <v>4</v>
      </c>
      <c r="I906">
        <v>36</v>
      </c>
      <c r="J906">
        <v>100</v>
      </c>
      <c r="K906">
        <v>173</v>
      </c>
      <c r="L906">
        <v>6913.8</v>
      </c>
      <c r="M906">
        <v>685.8</v>
      </c>
      <c r="N906" s="1">
        <v>38282</v>
      </c>
      <c r="O906" t="s">
        <v>25</v>
      </c>
      <c r="P906">
        <v>4</v>
      </c>
      <c r="Q906">
        <v>10</v>
      </c>
      <c r="R906">
        <v>2004</v>
      </c>
      <c r="S906" t="s">
        <v>83</v>
      </c>
    </row>
    <row r="907" spans="1:19" x14ac:dyDescent="0.25">
      <c r="A907">
        <v>10191</v>
      </c>
      <c r="B907" t="s">
        <v>210</v>
      </c>
      <c r="C907" t="s">
        <v>178</v>
      </c>
      <c r="D907" t="s">
        <v>179</v>
      </c>
      <c r="E907" t="s">
        <v>180</v>
      </c>
      <c r="F907" t="s">
        <v>30</v>
      </c>
      <c r="G907" t="s">
        <v>24</v>
      </c>
      <c r="H907">
        <v>4</v>
      </c>
      <c r="I907">
        <v>30</v>
      </c>
      <c r="J907">
        <v>64.64</v>
      </c>
      <c r="K907">
        <v>79</v>
      </c>
      <c r="L907">
        <v>1939.2</v>
      </c>
      <c r="M907">
        <v>-430.8</v>
      </c>
      <c r="N907" s="1">
        <v>37945</v>
      </c>
      <c r="O907" t="s">
        <v>25</v>
      </c>
      <c r="P907">
        <v>4</v>
      </c>
      <c r="Q907">
        <v>11</v>
      </c>
      <c r="R907">
        <v>2003</v>
      </c>
      <c r="S907" t="s">
        <v>83</v>
      </c>
    </row>
    <row r="908" spans="1:19" x14ac:dyDescent="0.25">
      <c r="A908">
        <v>10238</v>
      </c>
      <c r="B908" t="s">
        <v>210</v>
      </c>
      <c r="C908" t="s">
        <v>135</v>
      </c>
      <c r="D908" t="s">
        <v>136</v>
      </c>
      <c r="E908" t="s">
        <v>137</v>
      </c>
      <c r="F908" t="s">
        <v>30</v>
      </c>
      <c r="G908" t="s">
        <v>24</v>
      </c>
      <c r="H908">
        <v>4</v>
      </c>
      <c r="I908">
        <v>20</v>
      </c>
      <c r="J908">
        <v>74.209999999999994</v>
      </c>
      <c r="K908">
        <v>79</v>
      </c>
      <c r="L908">
        <v>1484.2</v>
      </c>
      <c r="M908">
        <v>-95.8</v>
      </c>
      <c r="N908" s="1">
        <v>38086</v>
      </c>
      <c r="O908" t="s">
        <v>25</v>
      </c>
      <c r="P908">
        <v>2</v>
      </c>
      <c r="Q908">
        <v>4</v>
      </c>
      <c r="R908">
        <v>2004</v>
      </c>
      <c r="S908" t="s">
        <v>83</v>
      </c>
    </row>
    <row r="909" spans="1:19" x14ac:dyDescent="0.25">
      <c r="A909">
        <v>10276</v>
      </c>
      <c r="B909" t="s">
        <v>210</v>
      </c>
      <c r="C909" t="s">
        <v>186</v>
      </c>
      <c r="D909" t="s">
        <v>120</v>
      </c>
      <c r="E909" t="s">
        <v>22</v>
      </c>
      <c r="F909" t="s">
        <v>23</v>
      </c>
      <c r="G909" t="s">
        <v>33</v>
      </c>
      <c r="H909">
        <v>4</v>
      </c>
      <c r="I909">
        <v>38</v>
      </c>
      <c r="J909">
        <v>83.79</v>
      </c>
      <c r="K909">
        <v>79</v>
      </c>
      <c r="L909">
        <v>3184.02</v>
      </c>
      <c r="M909">
        <v>182.02</v>
      </c>
      <c r="N909" s="1">
        <v>38201</v>
      </c>
      <c r="O909" t="s">
        <v>25</v>
      </c>
      <c r="P909">
        <v>3</v>
      </c>
      <c r="Q909">
        <v>8</v>
      </c>
      <c r="R909">
        <v>2004</v>
      </c>
      <c r="S909" t="s">
        <v>83</v>
      </c>
    </row>
    <row r="910" spans="1:19" x14ac:dyDescent="0.25">
      <c r="A910">
        <v>10320</v>
      </c>
      <c r="B910" t="s">
        <v>210</v>
      </c>
      <c r="C910" t="s">
        <v>84</v>
      </c>
      <c r="D910" t="s">
        <v>85</v>
      </c>
      <c r="E910" t="s">
        <v>86</v>
      </c>
      <c r="F910" t="s">
        <v>30</v>
      </c>
      <c r="G910" t="s">
        <v>24</v>
      </c>
      <c r="H910">
        <v>4</v>
      </c>
      <c r="I910">
        <v>38</v>
      </c>
      <c r="J910">
        <v>73.42</v>
      </c>
      <c r="K910">
        <v>79</v>
      </c>
      <c r="L910">
        <v>2789.96</v>
      </c>
      <c r="M910">
        <v>-212.04</v>
      </c>
      <c r="N910" s="1">
        <v>38294</v>
      </c>
      <c r="O910" t="s">
        <v>25</v>
      </c>
      <c r="P910">
        <v>4</v>
      </c>
      <c r="Q910">
        <v>11</v>
      </c>
      <c r="R910">
        <v>2004</v>
      </c>
      <c r="S910" t="s">
        <v>83</v>
      </c>
    </row>
    <row r="911" spans="1:19" x14ac:dyDescent="0.25">
      <c r="A911">
        <v>10259</v>
      </c>
      <c r="B911" t="s">
        <v>211</v>
      </c>
      <c r="C911" t="s">
        <v>171</v>
      </c>
      <c r="D911" t="s">
        <v>89</v>
      </c>
      <c r="E911" t="s">
        <v>89</v>
      </c>
      <c r="F911" t="s">
        <v>50</v>
      </c>
      <c r="G911" t="s">
        <v>33</v>
      </c>
      <c r="H911">
        <v>4</v>
      </c>
      <c r="I911">
        <v>46</v>
      </c>
      <c r="J911">
        <v>100</v>
      </c>
      <c r="K911">
        <v>118</v>
      </c>
      <c r="L911">
        <v>6541.2</v>
      </c>
      <c r="M911">
        <v>1113.2</v>
      </c>
      <c r="N911" s="1">
        <v>38153</v>
      </c>
      <c r="O911" t="s">
        <v>25</v>
      </c>
      <c r="P911">
        <v>2</v>
      </c>
      <c r="Q911">
        <v>6</v>
      </c>
      <c r="R911">
        <v>2004</v>
      </c>
      <c r="S911" t="s">
        <v>202</v>
      </c>
    </row>
    <row r="912" spans="1:19" x14ac:dyDescent="0.25">
      <c r="A912">
        <v>10371</v>
      </c>
      <c r="B912" t="s">
        <v>211</v>
      </c>
      <c r="C912" t="s">
        <v>115</v>
      </c>
      <c r="D912" t="s">
        <v>116</v>
      </c>
      <c r="E912" t="s">
        <v>22</v>
      </c>
      <c r="F912" t="s">
        <v>23</v>
      </c>
      <c r="G912" t="s">
        <v>24</v>
      </c>
      <c r="H912">
        <v>4</v>
      </c>
      <c r="I912">
        <v>49</v>
      </c>
      <c r="J912">
        <v>35.71</v>
      </c>
      <c r="K912">
        <v>118</v>
      </c>
      <c r="L912">
        <v>1749.79</v>
      </c>
      <c r="M912">
        <v>-4032.21</v>
      </c>
      <c r="N912" s="1">
        <v>38375</v>
      </c>
      <c r="O912" t="s">
        <v>25</v>
      </c>
      <c r="P912">
        <v>1</v>
      </c>
      <c r="Q912">
        <v>1</v>
      </c>
      <c r="R912">
        <v>2005</v>
      </c>
      <c r="S912" t="s">
        <v>202</v>
      </c>
    </row>
    <row r="913" spans="1:19" x14ac:dyDescent="0.25">
      <c r="A913">
        <v>10425</v>
      </c>
      <c r="B913" t="s">
        <v>211</v>
      </c>
      <c r="C913" t="s">
        <v>56</v>
      </c>
      <c r="D913" t="s">
        <v>57</v>
      </c>
      <c r="E913" t="s">
        <v>29</v>
      </c>
      <c r="F913" t="s">
        <v>30</v>
      </c>
      <c r="G913" t="s">
        <v>33</v>
      </c>
      <c r="H913">
        <v>4</v>
      </c>
      <c r="I913">
        <v>33</v>
      </c>
      <c r="J913">
        <v>100</v>
      </c>
      <c r="K913">
        <v>118</v>
      </c>
      <c r="L913">
        <v>4692.6000000000004</v>
      </c>
      <c r="M913">
        <v>798.6</v>
      </c>
      <c r="N913" s="1">
        <v>38503</v>
      </c>
      <c r="O913" t="s">
        <v>125</v>
      </c>
      <c r="P913">
        <v>2</v>
      </c>
      <c r="Q913">
        <v>5</v>
      </c>
      <c r="R913">
        <v>2005</v>
      </c>
      <c r="S913" t="s">
        <v>202</v>
      </c>
    </row>
    <row r="914" spans="1:19" x14ac:dyDescent="0.25">
      <c r="A914">
        <v>10135</v>
      </c>
      <c r="B914" t="s">
        <v>216</v>
      </c>
      <c r="C914" t="s">
        <v>115</v>
      </c>
      <c r="D914" t="s">
        <v>116</v>
      </c>
      <c r="E914" t="s">
        <v>22</v>
      </c>
      <c r="F914" t="s">
        <v>23</v>
      </c>
      <c r="G914" t="s">
        <v>24</v>
      </c>
      <c r="H914">
        <v>4</v>
      </c>
      <c r="I914">
        <v>29</v>
      </c>
      <c r="J914">
        <v>97.89</v>
      </c>
      <c r="K914">
        <v>115</v>
      </c>
      <c r="L914">
        <v>2838.81</v>
      </c>
      <c r="M914">
        <v>-496.19</v>
      </c>
      <c r="N914" s="1">
        <v>37804</v>
      </c>
      <c r="O914" t="s">
        <v>25</v>
      </c>
      <c r="P914">
        <v>3</v>
      </c>
      <c r="Q914">
        <v>7</v>
      </c>
      <c r="R914">
        <v>2003</v>
      </c>
      <c r="S914" t="s">
        <v>83</v>
      </c>
    </row>
    <row r="915" spans="1:19" x14ac:dyDescent="0.25">
      <c r="A915">
        <v>10147</v>
      </c>
      <c r="B915" t="s">
        <v>216</v>
      </c>
      <c r="C915" t="s">
        <v>119</v>
      </c>
      <c r="D915" t="s">
        <v>120</v>
      </c>
      <c r="E915" t="s">
        <v>22</v>
      </c>
      <c r="F915" t="s">
        <v>23</v>
      </c>
      <c r="G915" t="s">
        <v>33</v>
      </c>
      <c r="H915">
        <v>4</v>
      </c>
      <c r="I915">
        <v>33</v>
      </c>
      <c r="J915">
        <v>97.89</v>
      </c>
      <c r="K915">
        <v>115</v>
      </c>
      <c r="L915">
        <v>3230.37</v>
      </c>
      <c r="M915">
        <v>-564.63</v>
      </c>
      <c r="N915" s="1">
        <v>37869</v>
      </c>
      <c r="O915" t="s">
        <v>25</v>
      </c>
      <c r="P915">
        <v>3</v>
      </c>
      <c r="Q915">
        <v>9</v>
      </c>
      <c r="R915">
        <v>2003</v>
      </c>
      <c r="S915" t="s">
        <v>83</v>
      </c>
    </row>
    <row r="916" spans="1:19" x14ac:dyDescent="0.25">
      <c r="A916">
        <v>10113</v>
      </c>
      <c r="B916" t="s">
        <v>219</v>
      </c>
      <c r="C916" t="s">
        <v>115</v>
      </c>
      <c r="D916" t="s">
        <v>116</v>
      </c>
      <c r="E916" t="s">
        <v>22</v>
      </c>
      <c r="F916" t="s">
        <v>23</v>
      </c>
      <c r="G916" t="s">
        <v>33</v>
      </c>
      <c r="H916">
        <v>4</v>
      </c>
      <c r="I916">
        <v>49</v>
      </c>
      <c r="J916">
        <v>100</v>
      </c>
      <c r="K916">
        <v>116</v>
      </c>
      <c r="L916">
        <v>4916.66</v>
      </c>
      <c r="M916">
        <v>-767.34</v>
      </c>
      <c r="N916" s="1">
        <v>37706</v>
      </c>
      <c r="O916" t="s">
        <v>25</v>
      </c>
      <c r="P916">
        <v>1</v>
      </c>
      <c r="Q916">
        <v>3</v>
      </c>
      <c r="R916">
        <v>2003</v>
      </c>
      <c r="S916" t="s">
        <v>202</v>
      </c>
    </row>
    <row r="917" spans="1:19" x14ac:dyDescent="0.25">
      <c r="A917">
        <v>10109</v>
      </c>
      <c r="B917" t="s">
        <v>220</v>
      </c>
      <c r="C917" t="s">
        <v>129</v>
      </c>
      <c r="D917" t="s">
        <v>94</v>
      </c>
      <c r="E917" t="s">
        <v>22</v>
      </c>
      <c r="F917" t="s">
        <v>23</v>
      </c>
      <c r="G917" t="s">
        <v>33</v>
      </c>
      <c r="H917">
        <v>4</v>
      </c>
      <c r="I917">
        <v>26</v>
      </c>
      <c r="J917">
        <v>100</v>
      </c>
      <c r="K917">
        <v>141</v>
      </c>
      <c r="L917">
        <v>4379.18</v>
      </c>
      <c r="M917">
        <v>713.18</v>
      </c>
      <c r="N917" s="1">
        <v>37690</v>
      </c>
      <c r="O917" t="s">
        <v>25</v>
      </c>
      <c r="P917">
        <v>1</v>
      </c>
      <c r="Q917">
        <v>3</v>
      </c>
      <c r="R917">
        <v>2003</v>
      </c>
      <c r="S917" t="s">
        <v>83</v>
      </c>
    </row>
    <row r="918" spans="1:19" x14ac:dyDescent="0.25">
      <c r="A918">
        <v>10287</v>
      </c>
      <c r="B918" t="s">
        <v>220</v>
      </c>
      <c r="C918" t="s">
        <v>181</v>
      </c>
      <c r="D918" t="s">
        <v>182</v>
      </c>
      <c r="E918" t="s">
        <v>183</v>
      </c>
      <c r="F918" t="s">
        <v>30</v>
      </c>
      <c r="G918" t="s">
        <v>33</v>
      </c>
      <c r="H918">
        <v>4</v>
      </c>
      <c r="I918">
        <v>41</v>
      </c>
      <c r="J918">
        <v>100</v>
      </c>
      <c r="K918">
        <v>141</v>
      </c>
      <c r="L918">
        <v>6499.32</v>
      </c>
      <c r="M918">
        <v>718.32</v>
      </c>
      <c r="N918" s="1">
        <v>38229</v>
      </c>
      <c r="O918" t="s">
        <v>25</v>
      </c>
      <c r="P918">
        <v>3</v>
      </c>
      <c r="Q918">
        <v>8</v>
      </c>
      <c r="R918">
        <v>2004</v>
      </c>
      <c r="S918" t="s">
        <v>83</v>
      </c>
    </row>
    <row r="919" spans="1:19" x14ac:dyDescent="0.25">
      <c r="A919">
        <v>10149</v>
      </c>
      <c r="B919" t="s">
        <v>225</v>
      </c>
      <c r="C919" t="s">
        <v>214</v>
      </c>
      <c r="D919" t="s">
        <v>215</v>
      </c>
      <c r="E919" t="s">
        <v>22</v>
      </c>
      <c r="F919" t="s">
        <v>23</v>
      </c>
      <c r="G919" t="s">
        <v>33</v>
      </c>
      <c r="H919">
        <v>4</v>
      </c>
      <c r="I919">
        <v>50</v>
      </c>
      <c r="J919">
        <v>100</v>
      </c>
      <c r="K919">
        <v>102</v>
      </c>
      <c r="L919">
        <v>5907.5</v>
      </c>
      <c r="M919">
        <v>807.5</v>
      </c>
      <c r="N919" s="1">
        <v>37876</v>
      </c>
      <c r="O919" t="s">
        <v>25</v>
      </c>
      <c r="P919">
        <v>3</v>
      </c>
      <c r="Q919">
        <v>9</v>
      </c>
      <c r="R919">
        <v>2003</v>
      </c>
      <c r="S919" t="s">
        <v>226</v>
      </c>
    </row>
    <row r="920" spans="1:19" x14ac:dyDescent="0.25">
      <c r="A920">
        <v>10226</v>
      </c>
      <c r="B920" t="s">
        <v>232</v>
      </c>
      <c r="C920" t="s">
        <v>149</v>
      </c>
      <c r="D920" t="s">
        <v>150</v>
      </c>
      <c r="E920" t="s">
        <v>22</v>
      </c>
      <c r="F920" t="s">
        <v>23</v>
      </c>
      <c r="G920" t="s">
        <v>33</v>
      </c>
      <c r="H920">
        <v>4</v>
      </c>
      <c r="I920">
        <v>38</v>
      </c>
      <c r="J920">
        <v>100</v>
      </c>
      <c r="K920">
        <v>124</v>
      </c>
      <c r="L920">
        <v>4161.38</v>
      </c>
      <c r="M920">
        <v>-550.62</v>
      </c>
      <c r="N920" s="1">
        <v>38043</v>
      </c>
      <c r="O920" t="s">
        <v>25</v>
      </c>
      <c r="P920">
        <v>1</v>
      </c>
      <c r="Q920">
        <v>2</v>
      </c>
      <c r="R920">
        <v>2004</v>
      </c>
      <c r="S920" t="s">
        <v>83</v>
      </c>
    </row>
    <row r="921" spans="1:19" x14ac:dyDescent="0.25">
      <c r="A921">
        <v>10301</v>
      </c>
      <c r="B921" t="s">
        <v>232</v>
      </c>
      <c r="C921" t="s">
        <v>223</v>
      </c>
      <c r="D921" t="s">
        <v>224</v>
      </c>
      <c r="E921" t="s">
        <v>44</v>
      </c>
      <c r="F921" t="s">
        <v>30</v>
      </c>
      <c r="G921" t="s">
        <v>33</v>
      </c>
      <c r="H921">
        <v>4</v>
      </c>
      <c r="I921">
        <v>32</v>
      </c>
      <c r="J921">
        <v>100</v>
      </c>
      <c r="K921">
        <v>124</v>
      </c>
      <c r="L921">
        <v>3424.64</v>
      </c>
      <c r="M921">
        <v>-543.36</v>
      </c>
      <c r="N921" s="1">
        <v>37899</v>
      </c>
      <c r="O921" t="s">
        <v>25</v>
      </c>
      <c r="P921">
        <v>4</v>
      </c>
      <c r="Q921">
        <v>10</v>
      </c>
      <c r="R921">
        <v>2003</v>
      </c>
      <c r="S921" t="s">
        <v>83</v>
      </c>
    </row>
    <row r="922" spans="1:19" x14ac:dyDescent="0.25">
      <c r="A922">
        <v>10343</v>
      </c>
      <c r="B922" t="s">
        <v>232</v>
      </c>
      <c r="C922" t="s">
        <v>27</v>
      </c>
      <c r="D922" t="s">
        <v>28</v>
      </c>
      <c r="E922" t="s">
        <v>29</v>
      </c>
      <c r="F922" t="s">
        <v>30</v>
      </c>
      <c r="G922" t="s">
        <v>33</v>
      </c>
      <c r="H922">
        <v>4</v>
      </c>
      <c r="I922">
        <v>36</v>
      </c>
      <c r="J922">
        <v>100</v>
      </c>
      <c r="K922">
        <v>124</v>
      </c>
      <c r="L922">
        <v>5848.92</v>
      </c>
      <c r="M922">
        <v>1384.92</v>
      </c>
      <c r="N922" s="1">
        <v>38315</v>
      </c>
      <c r="O922" t="s">
        <v>25</v>
      </c>
      <c r="P922">
        <v>4</v>
      </c>
      <c r="Q922">
        <v>11</v>
      </c>
      <c r="R922">
        <v>2004</v>
      </c>
      <c r="S922" t="s">
        <v>83</v>
      </c>
    </row>
    <row r="923" spans="1:19" x14ac:dyDescent="0.25">
      <c r="A923">
        <v>10131</v>
      </c>
      <c r="B923" t="s">
        <v>233</v>
      </c>
      <c r="C923" t="s">
        <v>235</v>
      </c>
      <c r="D923" t="s">
        <v>208</v>
      </c>
      <c r="E923" t="s">
        <v>22</v>
      </c>
      <c r="F923" t="s">
        <v>23</v>
      </c>
      <c r="G923" t="s">
        <v>24</v>
      </c>
      <c r="H923">
        <v>4</v>
      </c>
      <c r="I923">
        <v>21</v>
      </c>
      <c r="J923">
        <v>100</v>
      </c>
      <c r="K923">
        <v>157</v>
      </c>
      <c r="L923">
        <v>2781.66</v>
      </c>
      <c r="M923">
        <v>-515.34</v>
      </c>
      <c r="N923" s="1">
        <v>37788</v>
      </c>
      <c r="O923" t="s">
        <v>25</v>
      </c>
      <c r="P923">
        <v>2</v>
      </c>
      <c r="Q923">
        <v>6</v>
      </c>
      <c r="R923">
        <v>2003</v>
      </c>
      <c r="S923" t="s">
        <v>234</v>
      </c>
    </row>
    <row r="924" spans="1:19" x14ac:dyDescent="0.25">
      <c r="A924">
        <v>10178</v>
      </c>
      <c r="B924" t="s">
        <v>233</v>
      </c>
      <c r="C924" t="s">
        <v>142</v>
      </c>
      <c r="D924" t="s">
        <v>143</v>
      </c>
      <c r="E924" t="s">
        <v>29</v>
      </c>
      <c r="F924" t="s">
        <v>30</v>
      </c>
      <c r="G924" t="s">
        <v>33</v>
      </c>
      <c r="H924">
        <v>4</v>
      </c>
      <c r="I924">
        <v>42</v>
      </c>
      <c r="J924">
        <v>100</v>
      </c>
      <c r="K924">
        <v>157</v>
      </c>
      <c r="L924">
        <v>6490.68</v>
      </c>
      <c r="M924">
        <v>-103.32</v>
      </c>
      <c r="N924" s="1">
        <v>37933</v>
      </c>
      <c r="O924" t="s">
        <v>25</v>
      </c>
      <c r="P924">
        <v>4</v>
      </c>
      <c r="Q924">
        <v>11</v>
      </c>
      <c r="R924">
        <v>2003</v>
      </c>
      <c r="S924" t="s">
        <v>234</v>
      </c>
    </row>
    <row r="925" spans="1:19" x14ac:dyDescent="0.25">
      <c r="A925">
        <v>10198</v>
      </c>
      <c r="B925" t="s">
        <v>233</v>
      </c>
      <c r="C925" t="s">
        <v>173</v>
      </c>
      <c r="D925" t="s">
        <v>174</v>
      </c>
      <c r="E925" t="s">
        <v>175</v>
      </c>
      <c r="F925" t="s">
        <v>50</v>
      </c>
      <c r="G925" t="s">
        <v>70</v>
      </c>
      <c r="H925">
        <v>4</v>
      </c>
      <c r="I925">
        <v>42</v>
      </c>
      <c r="J925">
        <v>100</v>
      </c>
      <c r="K925">
        <v>157</v>
      </c>
      <c r="L925">
        <v>7483.98</v>
      </c>
      <c r="M925">
        <v>889.98</v>
      </c>
      <c r="N925" s="1">
        <v>37952</v>
      </c>
      <c r="O925" t="s">
        <v>25</v>
      </c>
      <c r="P925">
        <v>4</v>
      </c>
      <c r="Q925">
        <v>11</v>
      </c>
      <c r="R925">
        <v>2003</v>
      </c>
      <c r="S925" t="s">
        <v>234</v>
      </c>
    </row>
    <row r="926" spans="1:19" x14ac:dyDescent="0.25">
      <c r="A926">
        <v>10222</v>
      </c>
      <c r="B926" t="s">
        <v>233</v>
      </c>
      <c r="C926" t="s">
        <v>149</v>
      </c>
      <c r="D926" t="s">
        <v>150</v>
      </c>
      <c r="E926" t="s">
        <v>22</v>
      </c>
      <c r="F926" t="s">
        <v>23</v>
      </c>
      <c r="G926" t="s">
        <v>33</v>
      </c>
      <c r="H926">
        <v>4</v>
      </c>
      <c r="I926">
        <v>49</v>
      </c>
      <c r="J926">
        <v>100</v>
      </c>
      <c r="K926">
        <v>157</v>
      </c>
      <c r="L926">
        <v>6954.08</v>
      </c>
      <c r="M926">
        <v>-738.92</v>
      </c>
      <c r="N926" s="1">
        <v>38036</v>
      </c>
      <c r="O926" t="s">
        <v>25</v>
      </c>
      <c r="P926">
        <v>1</v>
      </c>
      <c r="Q926">
        <v>2</v>
      </c>
      <c r="R926">
        <v>2004</v>
      </c>
      <c r="S926" t="s">
        <v>234</v>
      </c>
    </row>
    <row r="927" spans="1:19" x14ac:dyDescent="0.25">
      <c r="A927">
        <v>10373</v>
      </c>
      <c r="B927" t="s">
        <v>233</v>
      </c>
      <c r="C927" t="s">
        <v>160</v>
      </c>
      <c r="D927" t="s">
        <v>161</v>
      </c>
      <c r="E927" t="s">
        <v>62</v>
      </c>
      <c r="F927" t="s">
        <v>30</v>
      </c>
      <c r="G927" t="s">
        <v>24</v>
      </c>
      <c r="H927">
        <v>4</v>
      </c>
      <c r="I927">
        <v>28</v>
      </c>
      <c r="J927">
        <v>57.55</v>
      </c>
      <c r="K927">
        <v>157</v>
      </c>
      <c r="L927">
        <v>1611.4</v>
      </c>
      <c r="M927">
        <v>-2784.6</v>
      </c>
      <c r="N927" s="1">
        <v>38383</v>
      </c>
      <c r="O927" t="s">
        <v>25</v>
      </c>
      <c r="P927">
        <v>1</v>
      </c>
      <c r="Q927">
        <v>1</v>
      </c>
      <c r="R927">
        <v>2005</v>
      </c>
      <c r="S927" t="s">
        <v>234</v>
      </c>
    </row>
    <row r="928" spans="1:19" x14ac:dyDescent="0.25">
      <c r="A928">
        <v>10204</v>
      </c>
      <c r="B928" t="s">
        <v>240</v>
      </c>
      <c r="C928" t="s">
        <v>192</v>
      </c>
      <c r="D928" t="s">
        <v>21</v>
      </c>
      <c r="E928" t="s">
        <v>22</v>
      </c>
      <c r="F928" t="s">
        <v>23</v>
      </c>
      <c r="G928" t="s">
        <v>33</v>
      </c>
      <c r="H928">
        <v>4</v>
      </c>
      <c r="I928">
        <v>33</v>
      </c>
      <c r="J928">
        <v>100</v>
      </c>
      <c r="K928">
        <v>170</v>
      </c>
      <c r="L928">
        <v>5890.5</v>
      </c>
      <c r="M928">
        <v>280.5</v>
      </c>
      <c r="N928" s="1">
        <v>37957</v>
      </c>
      <c r="O928" t="s">
        <v>25</v>
      </c>
      <c r="P928">
        <v>4</v>
      </c>
      <c r="Q928">
        <v>12</v>
      </c>
      <c r="R928">
        <v>2003</v>
      </c>
      <c r="S928" t="s">
        <v>226</v>
      </c>
    </row>
    <row r="929" spans="1:19" x14ac:dyDescent="0.25">
      <c r="A929">
        <v>10160</v>
      </c>
      <c r="B929" t="s">
        <v>241</v>
      </c>
      <c r="C929" t="s">
        <v>147</v>
      </c>
      <c r="D929" t="s">
        <v>148</v>
      </c>
      <c r="E929" t="s">
        <v>22</v>
      </c>
      <c r="F929" t="s">
        <v>23</v>
      </c>
      <c r="G929" t="s">
        <v>33</v>
      </c>
      <c r="H929">
        <v>4</v>
      </c>
      <c r="I929">
        <v>38</v>
      </c>
      <c r="J929">
        <v>88.55</v>
      </c>
      <c r="K929">
        <v>77</v>
      </c>
      <c r="L929">
        <v>3364.9</v>
      </c>
      <c r="M929">
        <v>438.9</v>
      </c>
      <c r="N929" s="1">
        <v>37905</v>
      </c>
      <c r="O929" t="s">
        <v>25</v>
      </c>
      <c r="P929">
        <v>4</v>
      </c>
      <c r="Q929">
        <v>10</v>
      </c>
      <c r="R929">
        <v>2003</v>
      </c>
      <c r="S929" t="s">
        <v>83</v>
      </c>
    </row>
    <row r="930" spans="1:19" x14ac:dyDescent="0.25">
      <c r="A930">
        <v>10203</v>
      </c>
      <c r="B930" t="s">
        <v>241</v>
      </c>
      <c r="C930" t="s">
        <v>78</v>
      </c>
      <c r="D930" t="s">
        <v>79</v>
      </c>
      <c r="E930" t="s">
        <v>80</v>
      </c>
      <c r="F930" t="s">
        <v>30</v>
      </c>
      <c r="G930" t="s">
        <v>33</v>
      </c>
      <c r="H930">
        <v>4</v>
      </c>
      <c r="I930">
        <v>45</v>
      </c>
      <c r="J930">
        <v>85.47</v>
      </c>
      <c r="K930">
        <v>77</v>
      </c>
      <c r="L930">
        <v>3846.15</v>
      </c>
      <c r="M930">
        <v>381.15</v>
      </c>
      <c r="N930" s="1">
        <v>37957</v>
      </c>
      <c r="O930" t="s">
        <v>25</v>
      </c>
      <c r="P930">
        <v>4</v>
      </c>
      <c r="Q930">
        <v>12</v>
      </c>
      <c r="R930">
        <v>2003</v>
      </c>
      <c r="S930" t="s">
        <v>83</v>
      </c>
    </row>
    <row r="931" spans="1:19" x14ac:dyDescent="0.25">
      <c r="A931">
        <v>10239</v>
      </c>
      <c r="B931" t="s">
        <v>241</v>
      </c>
      <c r="C931" t="s">
        <v>160</v>
      </c>
      <c r="D931" t="s">
        <v>161</v>
      </c>
      <c r="E931" t="s">
        <v>62</v>
      </c>
      <c r="F931" t="s">
        <v>30</v>
      </c>
      <c r="G931" t="s">
        <v>33</v>
      </c>
      <c r="H931">
        <v>4</v>
      </c>
      <c r="I931">
        <v>46</v>
      </c>
      <c r="J931">
        <v>73.92</v>
      </c>
      <c r="K931">
        <v>77</v>
      </c>
      <c r="L931">
        <v>3400.32</v>
      </c>
      <c r="M931">
        <v>-141.68</v>
      </c>
      <c r="N931" s="1">
        <v>38089</v>
      </c>
      <c r="O931" t="s">
        <v>25</v>
      </c>
      <c r="P931">
        <v>2</v>
      </c>
      <c r="Q931">
        <v>4</v>
      </c>
      <c r="R931">
        <v>2004</v>
      </c>
      <c r="S931" t="s">
        <v>83</v>
      </c>
    </row>
    <row r="932" spans="1:19" x14ac:dyDescent="0.25">
      <c r="A932">
        <v>10377</v>
      </c>
      <c r="B932" t="s">
        <v>241</v>
      </c>
      <c r="C932" t="s">
        <v>60</v>
      </c>
      <c r="D932" t="s">
        <v>61</v>
      </c>
      <c r="E932" t="s">
        <v>62</v>
      </c>
      <c r="F932" t="s">
        <v>30</v>
      </c>
      <c r="G932" t="s">
        <v>24</v>
      </c>
      <c r="H932">
        <v>4</v>
      </c>
      <c r="I932">
        <v>31</v>
      </c>
      <c r="J932">
        <v>67.760000000000005</v>
      </c>
      <c r="K932">
        <v>77</v>
      </c>
      <c r="L932">
        <v>2100.56</v>
      </c>
      <c r="M932">
        <v>-286.44</v>
      </c>
      <c r="N932" s="1">
        <v>38392</v>
      </c>
      <c r="O932" t="s">
        <v>25</v>
      </c>
      <c r="P932">
        <v>1</v>
      </c>
      <c r="Q932">
        <v>2</v>
      </c>
      <c r="R932">
        <v>2005</v>
      </c>
      <c r="S932" t="s">
        <v>83</v>
      </c>
    </row>
    <row r="933" spans="1:19" x14ac:dyDescent="0.25">
      <c r="A933">
        <v>10405</v>
      </c>
      <c r="B933" t="s">
        <v>241</v>
      </c>
      <c r="C933" t="s">
        <v>217</v>
      </c>
      <c r="D933" t="s">
        <v>218</v>
      </c>
      <c r="E933" t="s">
        <v>29</v>
      </c>
      <c r="F933" t="s">
        <v>30</v>
      </c>
      <c r="G933" t="s">
        <v>33</v>
      </c>
      <c r="H933">
        <v>4</v>
      </c>
      <c r="I933">
        <v>61</v>
      </c>
      <c r="J933">
        <v>73.92</v>
      </c>
      <c r="K933">
        <v>77</v>
      </c>
      <c r="L933">
        <v>4509.12</v>
      </c>
      <c r="M933">
        <v>-187.88</v>
      </c>
      <c r="N933" s="1">
        <v>38456</v>
      </c>
      <c r="O933" t="s">
        <v>25</v>
      </c>
      <c r="P933">
        <v>2</v>
      </c>
      <c r="Q933">
        <v>4</v>
      </c>
      <c r="R933">
        <v>2005</v>
      </c>
      <c r="S933" t="s">
        <v>83</v>
      </c>
    </row>
    <row r="934" spans="1:19" x14ac:dyDescent="0.25">
      <c r="A934">
        <v>10253</v>
      </c>
      <c r="B934" t="s">
        <v>242</v>
      </c>
      <c r="C934" t="s">
        <v>75</v>
      </c>
      <c r="D934" t="s">
        <v>76</v>
      </c>
      <c r="E934" t="s">
        <v>77</v>
      </c>
      <c r="F934" t="s">
        <v>30</v>
      </c>
      <c r="G934" t="s">
        <v>33</v>
      </c>
      <c r="H934">
        <v>4</v>
      </c>
      <c r="I934">
        <v>33</v>
      </c>
      <c r="J934">
        <v>100</v>
      </c>
      <c r="K934">
        <v>142</v>
      </c>
      <c r="L934">
        <v>4459.62</v>
      </c>
      <c r="M934">
        <v>-226.38</v>
      </c>
      <c r="N934" s="1">
        <v>38139</v>
      </c>
      <c r="O934" t="s">
        <v>141</v>
      </c>
      <c r="P934">
        <v>2</v>
      </c>
      <c r="Q934">
        <v>6</v>
      </c>
      <c r="R934">
        <v>2004</v>
      </c>
      <c r="S934" t="s">
        <v>83</v>
      </c>
    </row>
    <row r="935" spans="1:19" x14ac:dyDescent="0.25">
      <c r="A935">
        <v>10419</v>
      </c>
      <c r="B935" t="s">
        <v>242</v>
      </c>
      <c r="C935" t="s">
        <v>67</v>
      </c>
      <c r="D935" t="s">
        <v>68</v>
      </c>
      <c r="E935" t="s">
        <v>69</v>
      </c>
      <c r="F935" t="s">
        <v>30</v>
      </c>
      <c r="G935" t="s">
        <v>33</v>
      </c>
      <c r="H935">
        <v>4</v>
      </c>
      <c r="I935">
        <v>34</v>
      </c>
      <c r="J935">
        <v>100</v>
      </c>
      <c r="K935">
        <v>142</v>
      </c>
      <c r="L935">
        <v>4594.76</v>
      </c>
      <c r="M935">
        <v>-233.24</v>
      </c>
      <c r="N935" s="1">
        <v>38489</v>
      </c>
      <c r="O935" t="s">
        <v>25</v>
      </c>
      <c r="P935">
        <v>2</v>
      </c>
      <c r="Q935">
        <v>5</v>
      </c>
      <c r="R935">
        <v>2005</v>
      </c>
      <c r="S935" t="s">
        <v>83</v>
      </c>
    </row>
    <row r="936" spans="1:19" x14ac:dyDescent="0.25">
      <c r="A936">
        <v>10115</v>
      </c>
      <c r="B936" t="s">
        <v>243</v>
      </c>
      <c r="C936" t="s">
        <v>90</v>
      </c>
      <c r="D936" t="s">
        <v>21</v>
      </c>
      <c r="E936" t="s">
        <v>22</v>
      </c>
      <c r="F936" t="s">
        <v>23</v>
      </c>
      <c r="G936" t="s">
        <v>70</v>
      </c>
      <c r="H936">
        <v>4</v>
      </c>
      <c r="I936">
        <v>46</v>
      </c>
      <c r="J936">
        <v>100</v>
      </c>
      <c r="K936">
        <v>163</v>
      </c>
      <c r="L936">
        <v>7381.16</v>
      </c>
      <c r="M936">
        <v>-116.84</v>
      </c>
      <c r="N936" s="1">
        <v>37715</v>
      </c>
      <c r="O936" t="s">
        <v>25</v>
      </c>
      <c r="P936">
        <v>2</v>
      </c>
      <c r="Q936">
        <v>4</v>
      </c>
      <c r="R936">
        <v>2003</v>
      </c>
      <c r="S936" t="s">
        <v>83</v>
      </c>
    </row>
    <row r="937" spans="1:19" x14ac:dyDescent="0.25">
      <c r="A937">
        <v>10141</v>
      </c>
      <c r="B937" t="s">
        <v>243</v>
      </c>
      <c r="C937" t="s">
        <v>189</v>
      </c>
      <c r="D937" t="s">
        <v>190</v>
      </c>
      <c r="E937" t="s">
        <v>62</v>
      </c>
      <c r="F937" t="s">
        <v>30</v>
      </c>
      <c r="G937" t="s">
        <v>33</v>
      </c>
      <c r="H937">
        <v>4</v>
      </c>
      <c r="I937">
        <v>39</v>
      </c>
      <c r="J937">
        <v>100</v>
      </c>
      <c r="K937">
        <v>163</v>
      </c>
      <c r="L937">
        <v>5938.53</v>
      </c>
      <c r="M937">
        <v>-418.47</v>
      </c>
      <c r="N937" s="1">
        <v>37834</v>
      </c>
      <c r="O937" t="s">
        <v>25</v>
      </c>
      <c r="P937">
        <v>3</v>
      </c>
      <c r="Q937">
        <v>8</v>
      </c>
      <c r="R937">
        <v>2003</v>
      </c>
      <c r="S937" t="s">
        <v>83</v>
      </c>
    </row>
    <row r="938" spans="1:19" x14ac:dyDescent="0.25">
      <c r="A938">
        <v>10246</v>
      </c>
      <c r="B938" t="s">
        <v>243</v>
      </c>
      <c r="C938" t="s">
        <v>78</v>
      </c>
      <c r="D938" t="s">
        <v>79</v>
      </c>
      <c r="E938" t="s">
        <v>80</v>
      </c>
      <c r="F938" t="s">
        <v>30</v>
      </c>
      <c r="G938" t="s">
        <v>33</v>
      </c>
      <c r="H938">
        <v>4</v>
      </c>
      <c r="I938">
        <v>40</v>
      </c>
      <c r="J938">
        <v>100</v>
      </c>
      <c r="K938">
        <v>163</v>
      </c>
      <c r="L938">
        <v>6549.2</v>
      </c>
      <c r="M938">
        <v>29.2</v>
      </c>
      <c r="N938" s="1">
        <v>38112</v>
      </c>
      <c r="O938" t="s">
        <v>25</v>
      </c>
      <c r="P938">
        <v>2</v>
      </c>
      <c r="Q938">
        <v>5</v>
      </c>
      <c r="R938">
        <v>2004</v>
      </c>
      <c r="S938" t="s">
        <v>83</v>
      </c>
    </row>
    <row r="939" spans="1:19" x14ac:dyDescent="0.25">
      <c r="A939">
        <v>10271</v>
      </c>
      <c r="B939" t="s">
        <v>243</v>
      </c>
      <c r="C939" t="s">
        <v>115</v>
      </c>
      <c r="D939" t="s">
        <v>116</v>
      </c>
      <c r="E939" t="s">
        <v>22</v>
      </c>
      <c r="F939" t="s">
        <v>23</v>
      </c>
      <c r="G939" t="s">
        <v>70</v>
      </c>
      <c r="H939">
        <v>4</v>
      </c>
      <c r="I939">
        <v>50</v>
      </c>
      <c r="J939">
        <v>100</v>
      </c>
      <c r="K939">
        <v>163</v>
      </c>
      <c r="L939">
        <v>9169</v>
      </c>
      <c r="M939">
        <v>1019</v>
      </c>
      <c r="N939" s="1">
        <v>38188</v>
      </c>
      <c r="O939" t="s">
        <v>25</v>
      </c>
      <c r="P939">
        <v>3</v>
      </c>
      <c r="Q939">
        <v>7</v>
      </c>
      <c r="R939">
        <v>2004</v>
      </c>
      <c r="S939" t="s">
        <v>83</v>
      </c>
    </row>
    <row r="940" spans="1:19" x14ac:dyDescent="0.25">
      <c r="A940">
        <v>10305</v>
      </c>
      <c r="B940" t="s">
        <v>243</v>
      </c>
      <c r="C940" t="s">
        <v>58</v>
      </c>
      <c r="D940" t="s">
        <v>59</v>
      </c>
      <c r="E940" t="s">
        <v>22</v>
      </c>
      <c r="F940" t="s">
        <v>23</v>
      </c>
      <c r="G940" t="s">
        <v>33</v>
      </c>
      <c r="H940">
        <v>4</v>
      </c>
      <c r="I940">
        <v>27</v>
      </c>
      <c r="J940">
        <v>100</v>
      </c>
      <c r="K940">
        <v>163</v>
      </c>
      <c r="L940">
        <v>3934.44</v>
      </c>
      <c r="M940">
        <v>-466.56</v>
      </c>
      <c r="N940" s="1">
        <v>38273</v>
      </c>
      <c r="O940" t="s">
        <v>25</v>
      </c>
      <c r="P940">
        <v>4</v>
      </c>
      <c r="Q940">
        <v>10</v>
      </c>
      <c r="R940">
        <v>2004</v>
      </c>
      <c r="S940" t="s">
        <v>83</v>
      </c>
    </row>
    <row r="941" spans="1:19" x14ac:dyDescent="0.25">
      <c r="A941">
        <v>10412</v>
      </c>
      <c r="B941" t="s">
        <v>243</v>
      </c>
      <c r="C941" t="s">
        <v>78</v>
      </c>
      <c r="D941" t="s">
        <v>79</v>
      </c>
      <c r="E941" t="s">
        <v>80</v>
      </c>
      <c r="F941" t="s">
        <v>30</v>
      </c>
      <c r="G941" t="s">
        <v>33</v>
      </c>
      <c r="H941">
        <v>4</v>
      </c>
      <c r="I941">
        <v>41</v>
      </c>
      <c r="J941">
        <v>100</v>
      </c>
      <c r="K941">
        <v>163</v>
      </c>
      <c r="L941">
        <v>6712.93</v>
      </c>
      <c r="M941">
        <v>29.93</v>
      </c>
      <c r="N941" s="1">
        <v>38475</v>
      </c>
      <c r="O941" t="s">
        <v>25</v>
      </c>
      <c r="P941">
        <v>2</v>
      </c>
      <c r="Q941">
        <v>5</v>
      </c>
      <c r="R941">
        <v>2005</v>
      </c>
      <c r="S941" t="s">
        <v>83</v>
      </c>
    </row>
    <row r="942" spans="1:19" x14ac:dyDescent="0.25">
      <c r="A942">
        <v>10288</v>
      </c>
      <c r="B942" t="s">
        <v>244</v>
      </c>
      <c r="C942" t="s">
        <v>171</v>
      </c>
      <c r="D942" t="s">
        <v>89</v>
      </c>
      <c r="E942" t="s">
        <v>89</v>
      </c>
      <c r="F942" t="s">
        <v>50</v>
      </c>
      <c r="G942" t="s">
        <v>24</v>
      </c>
      <c r="H942">
        <v>4</v>
      </c>
      <c r="I942">
        <v>28</v>
      </c>
      <c r="J942">
        <v>61.75</v>
      </c>
      <c r="K942">
        <v>60</v>
      </c>
      <c r="L942">
        <v>1729</v>
      </c>
      <c r="M942">
        <v>49</v>
      </c>
      <c r="N942" s="1">
        <v>38231</v>
      </c>
      <c r="O942" t="s">
        <v>25</v>
      </c>
      <c r="P942">
        <v>3</v>
      </c>
      <c r="Q942">
        <v>9</v>
      </c>
      <c r="R942">
        <v>2004</v>
      </c>
      <c r="S942" t="s">
        <v>226</v>
      </c>
    </row>
    <row r="943" spans="1:19" x14ac:dyDescent="0.25">
      <c r="A943">
        <v>10367</v>
      </c>
      <c r="B943" t="s">
        <v>244</v>
      </c>
      <c r="C943" t="s">
        <v>34</v>
      </c>
      <c r="D943" t="s">
        <v>35</v>
      </c>
      <c r="E943" t="s">
        <v>22</v>
      </c>
      <c r="F943" t="s">
        <v>23</v>
      </c>
      <c r="G943" t="s">
        <v>70</v>
      </c>
      <c r="H943">
        <v>4</v>
      </c>
      <c r="I943">
        <v>45</v>
      </c>
      <c r="J943">
        <v>100</v>
      </c>
      <c r="K943">
        <v>60</v>
      </c>
      <c r="L943">
        <v>8884.7999999999993</v>
      </c>
      <c r="M943">
        <v>6184.8</v>
      </c>
      <c r="N943" s="1">
        <v>38364</v>
      </c>
      <c r="O943" t="s">
        <v>169</v>
      </c>
      <c r="P943">
        <v>1</v>
      </c>
      <c r="Q943">
        <v>1</v>
      </c>
      <c r="R943">
        <v>2005</v>
      </c>
      <c r="S943" t="s">
        <v>226</v>
      </c>
    </row>
    <row r="944" spans="1:19" x14ac:dyDescent="0.25">
      <c r="A944">
        <v>10420</v>
      </c>
      <c r="B944" t="s">
        <v>244</v>
      </c>
      <c r="C944" t="s">
        <v>71</v>
      </c>
      <c r="D944" t="s">
        <v>72</v>
      </c>
      <c r="E944" t="s">
        <v>49</v>
      </c>
      <c r="F944" t="s">
        <v>50</v>
      </c>
      <c r="G944" t="s">
        <v>24</v>
      </c>
      <c r="H944">
        <v>4</v>
      </c>
      <c r="I944">
        <v>36</v>
      </c>
      <c r="J944">
        <v>63.57</v>
      </c>
      <c r="K944">
        <v>60</v>
      </c>
      <c r="L944">
        <v>2288.52</v>
      </c>
      <c r="M944">
        <v>128.52000000000001</v>
      </c>
      <c r="N944" s="1">
        <v>38501</v>
      </c>
      <c r="O944" t="s">
        <v>125</v>
      </c>
      <c r="P944">
        <v>2</v>
      </c>
      <c r="Q944">
        <v>5</v>
      </c>
      <c r="R944">
        <v>2005</v>
      </c>
      <c r="S944" t="s">
        <v>226</v>
      </c>
    </row>
    <row r="945" spans="1:19" x14ac:dyDescent="0.25">
      <c r="A945">
        <v>10175</v>
      </c>
      <c r="B945" t="s">
        <v>245</v>
      </c>
      <c r="C945" t="s">
        <v>138</v>
      </c>
      <c r="D945" t="s">
        <v>139</v>
      </c>
      <c r="E945" t="s">
        <v>77</v>
      </c>
      <c r="F945" t="s">
        <v>30</v>
      </c>
      <c r="G945" t="s">
        <v>33</v>
      </c>
      <c r="H945">
        <v>4</v>
      </c>
      <c r="I945">
        <v>48</v>
      </c>
      <c r="J945">
        <v>100</v>
      </c>
      <c r="K945">
        <v>122</v>
      </c>
      <c r="L945">
        <v>5891.04</v>
      </c>
      <c r="M945">
        <v>35.04</v>
      </c>
      <c r="N945" s="1">
        <v>37931</v>
      </c>
      <c r="O945" t="s">
        <v>25</v>
      </c>
      <c r="P945">
        <v>4</v>
      </c>
      <c r="Q945">
        <v>11</v>
      </c>
      <c r="R945">
        <v>2003</v>
      </c>
      <c r="S945" t="s">
        <v>202</v>
      </c>
    </row>
    <row r="946" spans="1:19" x14ac:dyDescent="0.25">
      <c r="A946">
        <v>10229</v>
      </c>
      <c r="B946" t="s">
        <v>245</v>
      </c>
      <c r="C946" t="s">
        <v>115</v>
      </c>
      <c r="D946" t="s">
        <v>116</v>
      </c>
      <c r="E946" t="s">
        <v>22</v>
      </c>
      <c r="F946" t="s">
        <v>23</v>
      </c>
      <c r="G946" t="s">
        <v>33</v>
      </c>
      <c r="H946">
        <v>4</v>
      </c>
      <c r="I946">
        <v>26</v>
      </c>
      <c r="J946">
        <v>100</v>
      </c>
      <c r="K946">
        <v>122</v>
      </c>
      <c r="L946">
        <v>3765.32</v>
      </c>
      <c r="M946">
        <v>593.32000000000005</v>
      </c>
      <c r="N946" s="1">
        <v>38057</v>
      </c>
      <c r="O946" t="s">
        <v>25</v>
      </c>
      <c r="P946">
        <v>1</v>
      </c>
      <c r="Q946">
        <v>3</v>
      </c>
      <c r="R946">
        <v>2004</v>
      </c>
      <c r="S946" t="s">
        <v>202</v>
      </c>
    </row>
    <row r="947" spans="1:19" x14ac:dyDescent="0.25">
      <c r="A947">
        <v>10281</v>
      </c>
      <c r="B947" t="s">
        <v>245</v>
      </c>
      <c r="C947" t="s">
        <v>65</v>
      </c>
      <c r="D947" t="s">
        <v>66</v>
      </c>
      <c r="E947" t="s">
        <v>22</v>
      </c>
      <c r="F947" t="s">
        <v>23</v>
      </c>
      <c r="G947" t="s">
        <v>33</v>
      </c>
      <c r="H947">
        <v>4</v>
      </c>
      <c r="I947">
        <v>48</v>
      </c>
      <c r="J947">
        <v>100</v>
      </c>
      <c r="K947">
        <v>122</v>
      </c>
      <c r="L947">
        <v>5773.44</v>
      </c>
      <c r="M947">
        <v>-82.56</v>
      </c>
      <c r="N947" s="1">
        <v>38218</v>
      </c>
      <c r="O947" t="s">
        <v>25</v>
      </c>
      <c r="P947">
        <v>3</v>
      </c>
      <c r="Q947">
        <v>8</v>
      </c>
      <c r="R947">
        <v>2004</v>
      </c>
      <c r="S947" t="s">
        <v>202</v>
      </c>
    </row>
    <row r="948" spans="1:19" x14ac:dyDescent="0.25">
      <c r="A948">
        <v>10101</v>
      </c>
      <c r="B948" t="s">
        <v>246</v>
      </c>
      <c r="C948" t="s">
        <v>187</v>
      </c>
      <c r="D948" t="s">
        <v>188</v>
      </c>
      <c r="E948" t="s">
        <v>180</v>
      </c>
      <c r="F948" t="s">
        <v>30</v>
      </c>
      <c r="G948" t="s">
        <v>33</v>
      </c>
      <c r="H948">
        <v>4</v>
      </c>
      <c r="I948">
        <v>25</v>
      </c>
      <c r="J948">
        <v>100</v>
      </c>
      <c r="K948">
        <v>127</v>
      </c>
      <c r="L948">
        <v>3782</v>
      </c>
      <c r="M948">
        <v>607</v>
      </c>
      <c r="N948" s="1">
        <v>37630</v>
      </c>
      <c r="O948" t="s">
        <v>25</v>
      </c>
      <c r="P948">
        <v>1</v>
      </c>
      <c r="Q948">
        <v>1</v>
      </c>
      <c r="R948">
        <v>2003</v>
      </c>
      <c r="S948" t="s">
        <v>226</v>
      </c>
    </row>
    <row r="949" spans="1:19" x14ac:dyDescent="0.25">
      <c r="A949">
        <v>10110</v>
      </c>
      <c r="B949" t="s">
        <v>246</v>
      </c>
      <c r="C949" t="s">
        <v>197</v>
      </c>
      <c r="D949" t="s">
        <v>198</v>
      </c>
      <c r="E949" t="s">
        <v>77</v>
      </c>
      <c r="F949" t="s">
        <v>30</v>
      </c>
      <c r="G949" t="s">
        <v>33</v>
      </c>
      <c r="H949">
        <v>4</v>
      </c>
      <c r="I949">
        <v>33</v>
      </c>
      <c r="J949">
        <v>100</v>
      </c>
      <c r="K949">
        <v>127</v>
      </c>
      <c r="L949">
        <v>3859.68</v>
      </c>
      <c r="M949">
        <v>-331.32</v>
      </c>
      <c r="N949" s="1">
        <v>37698</v>
      </c>
      <c r="O949" t="s">
        <v>25</v>
      </c>
      <c r="P949">
        <v>1</v>
      </c>
      <c r="Q949">
        <v>3</v>
      </c>
      <c r="R949">
        <v>2003</v>
      </c>
      <c r="S949" t="s">
        <v>226</v>
      </c>
    </row>
    <row r="950" spans="1:19" x14ac:dyDescent="0.25">
      <c r="A950">
        <v>10214</v>
      </c>
      <c r="B950" t="s">
        <v>246</v>
      </c>
      <c r="C950" t="s">
        <v>87</v>
      </c>
      <c r="D950" t="s">
        <v>79</v>
      </c>
      <c r="E950" t="s">
        <v>80</v>
      </c>
      <c r="F950" t="s">
        <v>30</v>
      </c>
      <c r="G950" t="s">
        <v>33</v>
      </c>
      <c r="H950">
        <v>4</v>
      </c>
      <c r="I950">
        <v>27</v>
      </c>
      <c r="J950">
        <v>100</v>
      </c>
      <c r="K950">
        <v>127</v>
      </c>
      <c r="L950">
        <v>3604.23</v>
      </c>
      <c r="M950">
        <v>175.23</v>
      </c>
      <c r="N950" s="1">
        <v>38012</v>
      </c>
      <c r="O950" t="s">
        <v>25</v>
      </c>
      <c r="P950">
        <v>1</v>
      </c>
      <c r="Q950">
        <v>1</v>
      </c>
      <c r="R950">
        <v>2004</v>
      </c>
      <c r="S950" t="s">
        <v>226</v>
      </c>
    </row>
    <row r="951" spans="1:19" x14ac:dyDescent="0.25">
      <c r="A951">
        <v>10250</v>
      </c>
      <c r="B951" t="s">
        <v>248</v>
      </c>
      <c r="C951" t="s">
        <v>162</v>
      </c>
      <c r="D951" t="s">
        <v>163</v>
      </c>
      <c r="E951" t="s">
        <v>22</v>
      </c>
      <c r="F951" t="s">
        <v>23</v>
      </c>
      <c r="G951" t="s">
        <v>24</v>
      </c>
      <c r="H951">
        <v>4</v>
      </c>
      <c r="I951">
        <v>27</v>
      </c>
      <c r="J951">
        <v>98.84</v>
      </c>
      <c r="K951">
        <v>84</v>
      </c>
      <c r="L951">
        <v>2668.68</v>
      </c>
      <c r="M951">
        <v>400.68</v>
      </c>
      <c r="N951" s="1">
        <v>38118</v>
      </c>
      <c r="O951" t="s">
        <v>25</v>
      </c>
      <c r="P951">
        <v>2</v>
      </c>
      <c r="Q951">
        <v>5</v>
      </c>
      <c r="R951">
        <v>2004</v>
      </c>
      <c r="S951" t="s">
        <v>234</v>
      </c>
    </row>
    <row r="952" spans="1:19" x14ac:dyDescent="0.25">
      <c r="A952">
        <v>10297</v>
      </c>
      <c r="B952" t="s">
        <v>248</v>
      </c>
      <c r="C952" t="s">
        <v>193</v>
      </c>
      <c r="D952" t="s">
        <v>194</v>
      </c>
      <c r="E952" t="s">
        <v>195</v>
      </c>
      <c r="F952" t="s">
        <v>30</v>
      </c>
      <c r="G952" t="s">
        <v>24</v>
      </c>
      <c r="H952">
        <v>4</v>
      </c>
      <c r="I952">
        <v>25</v>
      </c>
      <c r="J952">
        <v>82.79</v>
      </c>
      <c r="K952">
        <v>84</v>
      </c>
      <c r="L952">
        <v>2069.75</v>
      </c>
      <c r="M952">
        <v>-30.25</v>
      </c>
      <c r="N952" s="1">
        <v>38246</v>
      </c>
      <c r="O952" t="s">
        <v>25</v>
      </c>
      <c r="P952">
        <v>3</v>
      </c>
      <c r="Q952">
        <v>9</v>
      </c>
      <c r="R952">
        <v>2004</v>
      </c>
      <c r="S952" t="s">
        <v>234</v>
      </c>
    </row>
    <row r="953" spans="1:19" x14ac:dyDescent="0.25">
      <c r="A953">
        <v>10416</v>
      </c>
      <c r="B953" t="s">
        <v>248</v>
      </c>
      <c r="C953" t="s">
        <v>184</v>
      </c>
      <c r="D953" t="s">
        <v>185</v>
      </c>
      <c r="E953" t="s">
        <v>110</v>
      </c>
      <c r="F953" t="s">
        <v>30</v>
      </c>
      <c r="G953" t="s">
        <v>24</v>
      </c>
      <c r="H953">
        <v>4</v>
      </c>
      <c r="I953">
        <v>15</v>
      </c>
      <c r="J953">
        <v>98.84</v>
      </c>
      <c r="K953">
        <v>84</v>
      </c>
      <c r="L953">
        <v>1482.6</v>
      </c>
      <c r="M953">
        <v>222.6</v>
      </c>
      <c r="N953" s="1">
        <v>38482</v>
      </c>
      <c r="O953" t="s">
        <v>25</v>
      </c>
      <c r="P953">
        <v>2</v>
      </c>
      <c r="Q953">
        <v>5</v>
      </c>
      <c r="R953">
        <v>2005</v>
      </c>
      <c r="S953" t="s">
        <v>234</v>
      </c>
    </row>
    <row r="954" spans="1:19" x14ac:dyDescent="0.25">
      <c r="A954">
        <v>10120</v>
      </c>
      <c r="B954" t="s">
        <v>249</v>
      </c>
      <c r="C954" t="s">
        <v>47</v>
      </c>
      <c r="D954" t="s">
        <v>48</v>
      </c>
      <c r="E954" t="s">
        <v>49</v>
      </c>
      <c r="F954" t="s">
        <v>50</v>
      </c>
      <c r="G954" t="s">
        <v>24</v>
      </c>
      <c r="H954">
        <v>4</v>
      </c>
      <c r="I954">
        <v>46</v>
      </c>
      <c r="J954">
        <v>58.15</v>
      </c>
      <c r="K954">
        <v>60</v>
      </c>
      <c r="L954">
        <v>2674.9</v>
      </c>
      <c r="M954">
        <v>-85.1</v>
      </c>
      <c r="N954" s="1">
        <v>37740</v>
      </c>
      <c r="O954" t="s">
        <v>25</v>
      </c>
      <c r="P954">
        <v>2</v>
      </c>
      <c r="Q954">
        <v>4</v>
      </c>
      <c r="R954">
        <v>2003</v>
      </c>
      <c r="S954" t="s">
        <v>26</v>
      </c>
    </row>
    <row r="955" spans="1:19" x14ac:dyDescent="0.25">
      <c r="A955">
        <v>10374</v>
      </c>
      <c r="B955" t="s">
        <v>249</v>
      </c>
      <c r="C955" t="s">
        <v>91</v>
      </c>
      <c r="D955" t="s">
        <v>92</v>
      </c>
      <c r="E955" t="s">
        <v>49</v>
      </c>
      <c r="F955" t="s">
        <v>50</v>
      </c>
      <c r="G955" t="s">
        <v>24</v>
      </c>
      <c r="H955">
        <v>4</v>
      </c>
      <c r="I955">
        <v>22</v>
      </c>
      <c r="J955">
        <v>53.3</v>
      </c>
      <c r="K955">
        <v>60</v>
      </c>
      <c r="L955">
        <v>1172.5999999999999</v>
      </c>
      <c r="M955">
        <v>-147.4</v>
      </c>
      <c r="N955" s="1">
        <v>38385</v>
      </c>
      <c r="O955" t="s">
        <v>25</v>
      </c>
      <c r="P955">
        <v>1</v>
      </c>
      <c r="Q955">
        <v>2</v>
      </c>
      <c r="R955">
        <v>2005</v>
      </c>
      <c r="S955" t="s">
        <v>26</v>
      </c>
    </row>
    <row r="956" spans="1:19" x14ac:dyDescent="0.25">
      <c r="A956">
        <v>10182</v>
      </c>
      <c r="B956" t="s">
        <v>250</v>
      </c>
      <c r="C956" t="s">
        <v>115</v>
      </c>
      <c r="D956" t="s">
        <v>116</v>
      </c>
      <c r="E956" t="s">
        <v>22</v>
      </c>
      <c r="F956" t="s">
        <v>23</v>
      </c>
      <c r="G956" t="s">
        <v>33</v>
      </c>
      <c r="H956">
        <v>4</v>
      </c>
      <c r="I956">
        <v>21</v>
      </c>
      <c r="J956">
        <v>100</v>
      </c>
      <c r="K956">
        <v>168</v>
      </c>
      <c r="L956">
        <v>3047.73</v>
      </c>
      <c r="M956">
        <v>-480.27</v>
      </c>
      <c r="N956" s="1">
        <v>37937</v>
      </c>
      <c r="O956" t="s">
        <v>25</v>
      </c>
      <c r="P956">
        <v>4</v>
      </c>
      <c r="Q956">
        <v>11</v>
      </c>
      <c r="R956">
        <v>2003</v>
      </c>
      <c r="S956" t="s">
        <v>226</v>
      </c>
    </row>
    <row r="957" spans="1:19" x14ac:dyDescent="0.25">
      <c r="A957">
        <v>10227</v>
      </c>
      <c r="B957" t="s">
        <v>250</v>
      </c>
      <c r="C957" t="s">
        <v>95</v>
      </c>
      <c r="D957" t="s">
        <v>96</v>
      </c>
      <c r="E957" t="s">
        <v>29</v>
      </c>
      <c r="F957" t="s">
        <v>30</v>
      </c>
      <c r="G957" t="s">
        <v>33</v>
      </c>
      <c r="H957">
        <v>4</v>
      </c>
      <c r="I957">
        <v>29</v>
      </c>
      <c r="J957">
        <v>100</v>
      </c>
      <c r="K957">
        <v>168</v>
      </c>
      <c r="L957">
        <v>5579.02</v>
      </c>
      <c r="M957">
        <v>707.02</v>
      </c>
      <c r="N957" s="1">
        <v>38048</v>
      </c>
      <c r="O957" t="s">
        <v>25</v>
      </c>
      <c r="P957">
        <v>1</v>
      </c>
      <c r="Q957">
        <v>3</v>
      </c>
      <c r="R957">
        <v>2004</v>
      </c>
      <c r="S957" t="s">
        <v>226</v>
      </c>
    </row>
    <row r="958" spans="1:19" x14ac:dyDescent="0.25">
      <c r="A958">
        <v>10215</v>
      </c>
      <c r="B958" t="s">
        <v>252</v>
      </c>
      <c r="C958" t="s">
        <v>100</v>
      </c>
      <c r="D958" t="s">
        <v>101</v>
      </c>
      <c r="E958" t="s">
        <v>22</v>
      </c>
      <c r="F958" t="s">
        <v>23</v>
      </c>
      <c r="G958" t="s">
        <v>33</v>
      </c>
      <c r="H958">
        <v>4</v>
      </c>
      <c r="I958">
        <v>49</v>
      </c>
      <c r="J958">
        <v>100</v>
      </c>
      <c r="K958">
        <v>101</v>
      </c>
      <c r="L958">
        <v>5510.05</v>
      </c>
      <c r="M958">
        <v>561.04999999999995</v>
      </c>
      <c r="N958" s="1">
        <v>38015</v>
      </c>
      <c r="O958" t="s">
        <v>25</v>
      </c>
      <c r="P958">
        <v>1</v>
      </c>
      <c r="Q958">
        <v>1</v>
      </c>
      <c r="R958">
        <v>2004</v>
      </c>
      <c r="S958" t="s">
        <v>226</v>
      </c>
    </row>
    <row r="959" spans="1:19" x14ac:dyDescent="0.25">
      <c r="A959">
        <v>10312</v>
      </c>
      <c r="B959" t="s">
        <v>252</v>
      </c>
      <c r="C959" t="s">
        <v>115</v>
      </c>
      <c r="D959" t="s">
        <v>116</v>
      </c>
      <c r="E959" t="s">
        <v>22</v>
      </c>
      <c r="F959" t="s">
        <v>23</v>
      </c>
      <c r="G959" t="s">
        <v>33</v>
      </c>
      <c r="H959">
        <v>4</v>
      </c>
      <c r="I959">
        <v>37</v>
      </c>
      <c r="J959">
        <v>100</v>
      </c>
      <c r="K959">
        <v>101</v>
      </c>
      <c r="L959">
        <v>3711.1</v>
      </c>
      <c r="M959">
        <v>-25.9</v>
      </c>
      <c r="N959" s="1">
        <v>38281</v>
      </c>
      <c r="O959" t="s">
        <v>25</v>
      </c>
      <c r="P959">
        <v>4</v>
      </c>
      <c r="Q959">
        <v>10</v>
      </c>
      <c r="R959">
        <v>2004</v>
      </c>
      <c r="S959" t="s">
        <v>226</v>
      </c>
    </row>
    <row r="960" spans="1:19" x14ac:dyDescent="0.25">
      <c r="A960">
        <v>10163</v>
      </c>
      <c r="B960" t="s">
        <v>253</v>
      </c>
      <c r="C960" t="s">
        <v>90</v>
      </c>
      <c r="D960" t="s">
        <v>21</v>
      </c>
      <c r="E960" t="s">
        <v>22</v>
      </c>
      <c r="F960" t="s">
        <v>23</v>
      </c>
      <c r="G960" t="s">
        <v>33</v>
      </c>
      <c r="H960">
        <v>4</v>
      </c>
      <c r="I960">
        <v>48</v>
      </c>
      <c r="J960">
        <v>69.959999999999994</v>
      </c>
      <c r="K960">
        <v>62</v>
      </c>
      <c r="L960">
        <v>3358.08</v>
      </c>
      <c r="M960">
        <v>382.08</v>
      </c>
      <c r="N960" s="1">
        <v>37914</v>
      </c>
      <c r="O960" t="s">
        <v>25</v>
      </c>
      <c r="P960">
        <v>4</v>
      </c>
      <c r="Q960">
        <v>10</v>
      </c>
      <c r="R960">
        <v>2003</v>
      </c>
      <c r="S960" t="s">
        <v>226</v>
      </c>
    </row>
    <row r="961" spans="1:19" x14ac:dyDescent="0.25">
      <c r="A961">
        <v>10381</v>
      </c>
      <c r="B961" t="s">
        <v>253</v>
      </c>
      <c r="C961" t="s">
        <v>36</v>
      </c>
      <c r="D961" t="s">
        <v>37</v>
      </c>
      <c r="E961" t="s">
        <v>22</v>
      </c>
      <c r="F961" t="s">
        <v>23</v>
      </c>
      <c r="G961" t="s">
        <v>24</v>
      </c>
      <c r="H961">
        <v>4</v>
      </c>
      <c r="I961">
        <v>40</v>
      </c>
      <c r="J961">
        <v>68.08</v>
      </c>
      <c r="K961">
        <v>62</v>
      </c>
      <c r="L961">
        <v>2723.2</v>
      </c>
      <c r="M961">
        <v>243.2</v>
      </c>
      <c r="N961" s="1">
        <v>38400</v>
      </c>
      <c r="O961" t="s">
        <v>25</v>
      </c>
      <c r="P961">
        <v>1</v>
      </c>
      <c r="Q961">
        <v>2</v>
      </c>
      <c r="R961">
        <v>2005</v>
      </c>
      <c r="S961" t="s">
        <v>226</v>
      </c>
    </row>
    <row r="962" spans="1:19" x14ac:dyDescent="0.25">
      <c r="A962">
        <v>10197</v>
      </c>
      <c r="B962" t="s">
        <v>254</v>
      </c>
      <c r="C962" t="s">
        <v>145</v>
      </c>
      <c r="D962" t="s">
        <v>146</v>
      </c>
      <c r="E962" t="s">
        <v>80</v>
      </c>
      <c r="F962" t="s">
        <v>30</v>
      </c>
      <c r="G962" t="s">
        <v>33</v>
      </c>
      <c r="H962">
        <v>4</v>
      </c>
      <c r="I962">
        <v>46</v>
      </c>
      <c r="J962">
        <v>87.74</v>
      </c>
      <c r="K962">
        <v>86</v>
      </c>
      <c r="L962">
        <v>4036.04</v>
      </c>
      <c r="M962">
        <v>80.040000000000006</v>
      </c>
      <c r="N962" s="1">
        <v>37951</v>
      </c>
      <c r="O962" t="s">
        <v>25</v>
      </c>
      <c r="P962">
        <v>4</v>
      </c>
      <c r="Q962">
        <v>11</v>
      </c>
      <c r="R962">
        <v>2003</v>
      </c>
      <c r="S962" t="s">
        <v>255</v>
      </c>
    </row>
    <row r="963" spans="1:19" x14ac:dyDescent="0.25">
      <c r="A963">
        <v>10283</v>
      </c>
      <c r="B963" t="s">
        <v>254</v>
      </c>
      <c r="C963" t="s">
        <v>154</v>
      </c>
      <c r="D963" t="s">
        <v>155</v>
      </c>
      <c r="E963" t="s">
        <v>99</v>
      </c>
      <c r="F963" t="s">
        <v>23</v>
      </c>
      <c r="G963" t="s">
        <v>24</v>
      </c>
      <c r="H963">
        <v>4</v>
      </c>
      <c r="I963">
        <v>21</v>
      </c>
      <c r="J963">
        <v>98.06</v>
      </c>
      <c r="K963">
        <v>86</v>
      </c>
      <c r="L963">
        <v>2059.2600000000002</v>
      </c>
      <c r="M963">
        <v>253.26</v>
      </c>
      <c r="N963" s="1">
        <v>38219</v>
      </c>
      <c r="O963" t="s">
        <v>25</v>
      </c>
      <c r="P963">
        <v>3</v>
      </c>
      <c r="Q963">
        <v>8</v>
      </c>
      <c r="R963">
        <v>2004</v>
      </c>
      <c r="S963" t="s">
        <v>255</v>
      </c>
    </row>
    <row r="964" spans="1:19" x14ac:dyDescent="0.25">
      <c r="A964">
        <v>10228</v>
      </c>
      <c r="B964" t="s">
        <v>257</v>
      </c>
      <c r="C964" t="s">
        <v>102</v>
      </c>
      <c r="D964" t="s">
        <v>59</v>
      </c>
      <c r="E964" t="s">
        <v>22</v>
      </c>
      <c r="F964" t="s">
        <v>23</v>
      </c>
      <c r="G964" t="s">
        <v>33</v>
      </c>
      <c r="H964">
        <v>4</v>
      </c>
      <c r="I964">
        <v>31</v>
      </c>
      <c r="J964">
        <v>100</v>
      </c>
      <c r="K964">
        <v>104</v>
      </c>
      <c r="L964">
        <v>3181.53</v>
      </c>
      <c r="M964">
        <v>-42.47</v>
      </c>
      <c r="N964" s="1">
        <v>38056</v>
      </c>
      <c r="O964" t="s">
        <v>25</v>
      </c>
      <c r="P964">
        <v>1</v>
      </c>
      <c r="Q964">
        <v>3</v>
      </c>
      <c r="R964">
        <v>2004</v>
      </c>
      <c r="S964" t="s">
        <v>226</v>
      </c>
    </row>
    <row r="965" spans="1:19" x14ac:dyDescent="0.25">
      <c r="A965">
        <v>10280</v>
      </c>
      <c r="B965" t="s">
        <v>257</v>
      </c>
      <c r="C965" t="s">
        <v>108</v>
      </c>
      <c r="D965" t="s">
        <v>109</v>
      </c>
      <c r="E965" t="s">
        <v>110</v>
      </c>
      <c r="F965" t="s">
        <v>30</v>
      </c>
      <c r="G965" t="s">
        <v>33</v>
      </c>
      <c r="H965">
        <v>4</v>
      </c>
      <c r="I965">
        <v>29</v>
      </c>
      <c r="J965">
        <v>100</v>
      </c>
      <c r="K965">
        <v>104</v>
      </c>
      <c r="L965">
        <v>3006.43</v>
      </c>
      <c r="M965">
        <v>-9.57</v>
      </c>
      <c r="N965" s="1">
        <v>38216</v>
      </c>
      <c r="O965" t="s">
        <v>25</v>
      </c>
      <c r="P965">
        <v>3</v>
      </c>
      <c r="Q965">
        <v>8</v>
      </c>
      <c r="R965">
        <v>2004</v>
      </c>
      <c r="S965" t="s">
        <v>226</v>
      </c>
    </row>
    <row r="966" spans="1:19" x14ac:dyDescent="0.25">
      <c r="A966">
        <v>10357</v>
      </c>
      <c r="B966" t="s">
        <v>257</v>
      </c>
      <c r="C966" t="s">
        <v>115</v>
      </c>
      <c r="D966" t="s">
        <v>116</v>
      </c>
      <c r="E966" t="s">
        <v>22</v>
      </c>
      <c r="F966" t="s">
        <v>23</v>
      </c>
      <c r="G966" t="s">
        <v>33</v>
      </c>
      <c r="H966">
        <v>4</v>
      </c>
      <c r="I966">
        <v>44</v>
      </c>
      <c r="J966">
        <v>100</v>
      </c>
      <c r="K966">
        <v>104</v>
      </c>
      <c r="L966">
        <v>5160.76</v>
      </c>
      <c r="M966">
        <v>584.76</v>
      </c>
      <c r="N966" s="1">
        <v>38331</v>
      </c>
      <c r="O966" t="s">
        <v>25</v>
      </c>
      <c r="P966">
        <v>4</v>
      </c>
      <c r="Q966">
        <v>12</v>
      </c>
      <c r="R966">
        <v>2004</v>
      </c>
      <c r="S966" t="s">
        <v>226</v>
      </c>
    </row>
    <row r="967" spans="1:19" x14ac:dyDescent="0.25">
      <c r="A967">
        <v>10293</v>
      </c>
      <c r="B967" t="s">
        <v>258</v>
      </c>
      <c r="C967" t="s">
        <v>108</v>
      </c>
      <c r="D967" t="s">
        <v>109</v>
      </c>
      <c r="E967" t="s">
        <v>110</v>
      </c>
      <c r="F967" t="s">
        <v>30</v>
      </c>
      <c r="G967" t="s">
        <v>24</v>
      </c>
      <c r="H967">
        <v>4</v>
      </c>
      <c r="I967">
        <v>24</v>
      </c>
      <c r="J967">
        <v>100</v>
      </c>
      <c r="K967">
        <v>136</v>
      </c>
      <c r="L967">
        <v>2819.28</v>
      </c>
      <c r="M967">
        <v>-444.72</v>
      </c>
      <c r="N967" s="1">
        <v>38239</v>
      </c>
      <c r="O967" t="s">
        <v>25</v>
      </c>
      <c r="P967">
        <v>3</v>
      </c>
      <c r="Q967">
        <v>9</v>
      </c>
      <c r="R967">
        <v>2004</v>
      </c>
      <c r="S967" t="s">
        <v>226</v>
      </c>
    </row>
    <row r="968" spans="1:19" x14ac:dyDescent="0.25">
      <c r="A968">
        <v>10114</v>
      </c>
      <c r="B968" t="s">
        <v>259</v>
      </c>
      <c r="C968" t="s">
        <v>166</v>
      </c>
      <c r="D968" t="s">
        <v>32</v>
      </c>
      <c r="E968" t="s">
        <v>29</v>
      </c>
      <c r="F968" t="s">
        <v>30</v>
      </c>
      <c r="G968" t="s">
        <v>70</v>
      </c>
      <c r="H968">
        <v>4</v>
      </c>
      <c r="I968">
        <v>48</v>
      </c>
      <c r="J968">
        <v>100</v>
      </c>
      <c r="K968">
        <v>169</v>
      </c>
      <c r="L968">
        <v>8209.44</v>
      </c>
      <c r="M968">
        <v>97.44</v>
      </c>
      <c r="N968" s="1">
        <v>37712</v>
      </c>
      <c r="O968" t="s">
        <v>25</v>
      </c>
      <c r="P968">
        <v>2</v>
      </c>
      <c r="Q968">
        <v>4</v>
      </c>
      <c r="R968">
        <v>2003</v>
      </c>
      <c r="S968" t="s">
        <v>83</v>
      </c>
    </row>
    <row r="969" spans="1:19" x14ac:dyDescent="0.25">
      <c r="A969">
        <v>10342</v>
      </c>
      <c r="B969" t="s">
        <v>259</v>
      </c>
      <c r="C969" t="s">
        <v>47</v>
      </c>
      <c r="D969" t="s">
        <v>48</v>
      </c>
      <c r="E969" t="s">
        <v>49</v>
      </c>
      <c r="F969" t="s">
        <v>50</v>
      </c>
      <c r="G969" t="s">
        <v>33</v>
      </c>
      <c r="H969">
        <v>4</v>
      </c>
      <c r="I969">
        <v>30</v>
      </c>
      <c r="J969">
        <v>100</v>
      </c>
      <c r="K969">
        <v>169</v>
      </c>
      <c r="L969">
        <v>5029.5</v>
      </c>
      <c r="M969">
        <v>-40.5</v>
      </c>
      <c r="N969" s="1">
        <v>38315</v>
      </c>
      <c r="O969" t="s">
        <v>25</v>
      </c>
      <c r="P969">
        <v>4</v>
      </c>
      <c r="Q969">
        <v>11</v>
      </c>
      <c r="R969">
        <v>2004</v>
      </c>
      <c r="S969" t="s">
        <v>83</v>
      </c>
    </row>
    <row r="970" spans="1:19" x14ac:dyDescent="0.25">
      <c r="A970">
        <v>10128</v>
      </c>
      <c r="B970" t="s">
        <v>260</v>
      </c>
      <c r="C970" t="s">
        <v>78</v>
      </c>
      <c r="D970" t="s">
        <v>79</v>
      </c>
      <c r="E970" t="s">
        <v>80</v>
      </c>
      <c r="F970" t="s">
        <v>30</v>
      </c>
      <c r="G970" t="s">
        <v>33</v>
      </c>
      <c r="H970">
        <v>4</v>
      </c>
      <c r="I970">
        <v>41</v>
      </c>
      <c r="J970">
        <v>100</v>
      </c>
      <c r="K970">
        <v>100</v>
      </c>
      <c r="L970">
        <v>4837.18</v>
      </c>
      <c r="M970">
        <v>737.18</v>
      </c>
      <c r="N970" s="1">
        <v>37778</v>
      </c>
      <c r="O970" t="s">
        <v>25</v>
      </c>
      <c r="P970">
        <v>2</v>
      </c>
      <c r="Q970">
        <v>6</v>
      </c>
      <c r="R970">
        <v>2003</v>
      </c>
      <c r="S970" t="s">
        <v>261</v>
      </c>
    </row>
    <row r="971" spans="1:19" x14ac:dyDescent="0.25">
      <c r="A971">
        <v>10396</v>
      </c>
      <c r="B971" t="s">
        <v>260</v>
      </c>
      <c r="C971" t="s">
        <v>115</v>
      </c>
      <c r="D971" t="s">
        <v>116</v>
      </c>
      <c r="E971" t="s">
        <v>22</v>
      </c>
      <c r="F971" t="s">
        <v>23</v>
      </c>
      <c r="G971" t="s">
        <v>24</v>
      </c>
      <c r="H971">
        <v>4</v>
      </c>
      <c r="I971">
        <v>24</v>
      </c>
      <c r="J971">
        <v>89.75</v>
      </c>
      <c r="K971">
        <v>100</v>
      </c>
      <c r="L971">
        <v>2154</v>
      </c>
      <c r="M971">
        <v>-246</v>
      </c>
      <c r="N971" s="1">
        <v>38434</v>
      </c>
      <c r="O971" t="s">
        <v>25</v>
      </c>
      <c r="P971">
        <v>1</v>
      </c>
      <c r="Q971">
        <v>3</v>
      </c>
      <c r="R971">
        <v>2005</v>
      </c>
      <c r="S971" t="s">
        <v>261</v>
      </c>
    </row>
    <row r="972" spans="1:19" x14ac:dyDescent="0.25">
      <c r="A972">
        <v>10378</v>
      </c>
      <c r="B972" t="s">
        <v>262</v>
      </c>
      <c r="C972" t="s">
        <v>78</v>
      </c>
      <c r="D972" t="s">
        <v>79</v>
      </c>
      <c r="E972" t="s">
        <v>80</v>
      </c>
      <c r="F972" t="s">
        <v>30</v>
      </c>
      <c r="G972" t="s">
        <v>24</v>
      </c>
      <c r="H972">
        <v>4</v>
      </c>
      <c r="I972">
        <v>22</v>
      </c>
      <c r="J972">
        <v>100</v>
      </c>
      <c r="K972">
        <v>80</v>
      </c>
      <c r="L972">
        <v>2464</v>
      </c>
      <c r="M972">
        <v>704</v>
      </c>
      <c r="N972" s="1">
        <v>38393</v>
      </c>
      <c r="O972" t="s">
        <v>25</v>
      </c>
      <c r="P972">
        <v>1</v>
      </c>
      <c r="Q972">
        <v>2</v>
      </c>
      <c r="R972">
        <v>2005</v>
      </c>
      <c r="S972" t="s">
        <v>83</v>
      </c>
    </row>
    <row r="973" spans="1:19" x14ac:dyDescent="0.25">
      <c r="A973">
        <v>10111</v>
      </c>
      <c r="B973" t="s">
        <v>263</v>
      </c>
      <c r="C973" t="s">
        <v>45</v>
      </c>
      <c r="D973" t="s">
        <v>37</v>
      </c>
      <c r="E973" t="s">
        <v>22</v>
      </c>
      <c r="F973" t="s">
        <v>23</v>
      </c>
      <c r="G973" t="s">
        <v>33</v>
      </c>
      <c r="H973">
        <v>4</v>
      </c>
      <c r="I973">
        <v>39</v>
      </c>
      <c r="J973">
        <v>100</v>
      </c>
      <c r="K973">
        <v>99</v>
      </c>
      <c r="L973">
        <v>4178.8500000000004</v>
      </c>
      <c r="M973">
        <v>317.85000000000002</v>
      </c>
      <c r="N973" s="1">
        <v>37705</v>
      </c>
      <c r="O973" t="s">
        <v>25</v>
      </c>
      <c r="P973">
        <v>1</v>
      </c>
      <c r="Q973">
        <v>3</v>
      </c>
      <c r="R973">
        <v>2003</v>
      </c>
      <c r="S973" t="s">
        <v>226</v>
      </c>
    </row>
    <row r="974" spans="1:19" x14ac:dyDescent="0.25">
      <c r="A974">
        <v>10173</v>
      </c>
      <c r="B974" t="s">
        <v>263</v>
      </c>
      <c r="C974" t="s">
        <v>227</v>
      </c>
      <c r="D974" t="s">
        <v>228</v>
      </c>
      <c r="E974" t="s">
        <v>110</v>
      </c>
      <c r="F974" t="s">
        <v>30</v>
      </c>
      <c r="G974" t="s">
        <v>24</v>
      </c>
      <c r="H974">
        <v>4</v>
      </c>
      <c r="I974">
        <v>29</v>
      </c>
      <c r="J974">
        <v>95.24</v>
      </c>
      <c r="K974">
        <v>99</v>
      </c>
      <c r="L974">
        <v>2761.96</v>
      </c>
      <c r="M974">
        <v>-109.04</v>
      </c>
      <c r="N974" s="1">
        <v>37930</v>
      </c>
      <c r="O974" t="s">
        <v>25</v>
      </c>
      <c r="P974">
        <v>4</v>
      </c>
      <c r="Q974">
        <v>11</v>
      </c>
      <c r="R974">
        <v>2003</v>
      </c>
      <c r="S974" t="s">
        <v>226</v>
      </c>
    </row>
    <row r="975" spans="1:19" x14ac:dyDescent="0.25">
      <c r="A975">
        <v>10369</v>
      </c>
      <c r="B975" t="s">
        <v>263</v>
      </c>
      <c r="C975" t="s">
        <v>119</v>
      </c>
      <c r="D975" t="s">
        <v>120</v>
      </c>
      <c r="E975" t="s">
        <v>22</v>
      </c>
      <c r="F975" t="s">
        <v>23</v>
      </c>
      <c r="G975" t="s">
        <v>33</v>
      </c>
      <c r="H975">
        <v>4</v>
      </c>
      <c r="I975">
        <v>45</v>
      </c>
      <c r="J975">
        <v>73.08</v>
      </c>
      <c r="K975">
        <v>99</v>
      </c>
      <c r="L975">
        <v>3288.6</v>
      </c>
      <c r="M975">
        <v>-1166.4000000000001</v>
      </c>
      <c r="N975" s="1">
        <v>38372</v>
      </c>
      <c r="O975" t="s">
        <v>25</v>
      </c>
      <c r="P975">
        <v>1</v>
      </c>
      <c r="Q975">
        <v>1</v>
      </c>
      <c r="R975">
        <v>2005</v>
      </c>
      <c r="S975" t="s">
        <v>226</v>
      </c>
    </row>
    <row r="976" spans="1:19" x14ac:dyDescent="0.25">
      <c r="A976">
        <v>10159</v>
      </c>
      <c r="B976" t="s">
        <v>264</v>
      </c>
      <c r="C976" t="s">
        <v>36</v>
      </c>
      <c r="D976" t="s">
        <v>37</v>
      </c>
      <c r="E976" t="s">
        <v>22</v>
      </c>
      <c r="F976" t="s">
        <v>23</v>
      </c>
      <c r="G976" t="s">
        <v>33</v>
      </c>
      <c r="H976">
        <v>4</v>
      </c>
      <c r="I976">
        <v>25</v>
      </c>
      <c r="J976">
        <v>100</v>
      </c>
      <c r="K976">
        <v>146</v>
      </c>
      <c r="L976">
        <v>3638</v>
      </c>
      <c r="M976">
        <v>-12</v>
      </c>
      <c r="N976" s="1">
        <v>37904</v>
      </c>
      <c r="O976" t="s">
        <v>25</v>
      </c>
      <c r="P976">
        <v>4</v>
      </c>
      <c r="Q976">
        <v>10</v>
      </c>
      <c r="R976">
        <v>2003</v>
      </c>
      <c r="S976" t="s">
        <v>83</v>
      </c>
    </row>
    <row r="977" spans="1:19" x14ac:dyDescent="0.25">
      <c r="A977">
        <v>10169</v>
      </c>
      <c r="B977" t="s">
        <v>264</v>
      </c>
      <c r="C977" t="s">
        <v>121</v>
      </c>
      <c r="D977" t="s">
        <v>122</v>
      </c>
      <c r="E977" t="s">
        <v>49</v>
      </c>
      <c r="F977" t="s">
        <v>50</v>
      </c>
      <c r="G977" t="s">
        <v>33</v>
      </c>
      <c r="H977">
        <v>4</v>
      </c>
      <c r="I977">
        <v>36</v>
      </c>
      <c r="J977">
        <v>100</v>
      </c>
      <c r="K977">
        <v>146</v>
      </c>
      <c r="L977">
        <v>4444.92</v>
      </c>
      <c r="M977">
        <v>-811.08</v>
      </c>
      <c r="N977" s="1">
        <v>37929</v>
      </c>
      <c r="O977" t="s">
        <v>25</v>
      </c>
      <c r="P977">
        <v>4</v>
      </c>
      <c r="Q977">
        <v>11</v>
      </c>
      <c r="R977">
        <v>2003</v>
      </c>
      <c r="S977" t="s">
        <v>83</v>
      </c>
    </row>
    <row r="978" spans="1:19" x14ac:dyDescent="0.25">
      <c r="A978">
        <v>10211</v>
      </c>
      <c r="B978" t="s">
        <v>264</v>
      </c>
      <c r="C978" t="s">
        <v>46</v>
      </c>
      <c r="D978" t="s">
        <v>32</v>
      </c>
      <c r="E978" t="s">
        <v>29</v>
      </c>
      <c r="F978" t="s">
        <v>30</v>
      </c>
      <c r="G978" t="s">
        <v>33</v>
      </c>
      <c r="H978">
        <v>4</v>
      </c>
      <c r="I978">
        <v>28</v>
      </c>
      <c r="J978">
        <v>100</v>
      </c>
      <c r="K978">
        <v>146</v>
      </c>
      <c r="L978">
        <v>3745.28</v>
      </c>
      <c r="M978">
        <v>-342.72</v>
      </c>
      <c r="N978" s="1">
        <v>38001</v>
      </c>
      <c r="O978" t="s">
        <v>25</v>
      </c>
      <c r="P978">
        <v>1</v>
      </c>
      <c r="Q978">
        <v>1</v>
      </c>
      <c r="R978">
        <v>2004</v>
      </c>
      <c r="S978" t="s">
        <v>83</v>
      </c>
    </row>
    <row r="979" spans="1:19" x14ac:dyDescent="0.25">
      <c r="A979">
        <v>10123</v>
      </c>
      <c r="B979" t="s">
        <v>265</v>
      </c>
      <c r="C979" t="s">
        <v>130</v>
      </c>
      <c r="D979" t="s">
        <v>57</v>
      </c>
      <c r="E979" t="s">
        <v>29</v>
      </c>
      <c r="F979" t="s">
        <v>30</v>
      </c>
      <c r="G979" t="s">
        <v>33</v>
      </c>
      <c r="H979">
        <v>4</v>
      </c>
      <c r="I979">
        <v>34</v>
      </c>
      <c r="J979">
        <v>100</v>
      </c>
      <c r="K979">
        <v>141</v>
      </c>
      <c r="L979">
        <v>5331.88</v>
      </c>
      <c r="M979">
        <v>537.88</v>
      </c>
      <c r="N979" s="1">
        <v>37761</v>
      </c>
      <c r="O979" t="s">
        <v>25</v>
      </c>
      <c r="P979">
        <v>2</v>
      </c>
      <c r="Q979">
        <v>5</v>
      </c>
      <c r="R979">
        <v>2003</v>
      </c>
      <c r="S979" t="s">
        <v>83</v>
      </c>
    </row>
    <row r="980" spans="1:19" x14ac:dyDescent="0.25">
      <c r="A980">
        <v>10137</v>
      </c>
      <c r="B980" t="s">
        <v>265</v>
      </c>
      <c r="C980" t="s">
        <v>27</v>
      </c>
      <c r="D980" t="s">
        <v>28</v>
      </c>
      <c r="E980" t="s">
        <v>29</v>
      </c>
      <c r="F980" t="s">
        <v>30</v>
      </c>
      <c r="G980" t="s">
        <v>33</v>
      </c>
      <c r="H980">
        <v>4</v>
      </c>
      <c r="I980">
        <v>31</v>
      </c>
      <c r="J980">
        <v>100</v>
      </c>
      <c r="K980">
        <v>141</v>
      </c>
      <c r="L980">
        <v>5124.3</v>
      </c>
      <c r="M980">
        <v>753.3</v>
      </c>
      <c r="N980" s="1">
        <v>37812</v>
      </c>
      <c r="O980" t="s">
        <v>25</v>
      </c>
      <c r="P980">
        <v>3</v>
      </c>
      <c r="Q980">
        <v>7</v>
      </c>
      <c r="R980">
        <v>2003</v>
      </c>
      <c r="S980" t="s">
        <v>83</v>
      </c>
    </row>
    <row r="981" spans="1:19" x14ac:dyDescent="0.25">
      <c r="A981">
        <v>10181</v>
      </c>
      <c r="B981" t="s">
        <v>265</v>
      </c>
      <c r="C981" t="s">
        <v>42</v>
      </c>
      <c r="D981" t="s">
        <v>43</v>
      </c>
      <c r="E981" t="s">
        <v>44</v>
      </c>
      <c r="F981" t="s">
        <v>30</v>
      </c>
      <c r="G981" t="s">
        <v>33</v>
      </c>
      <c r="H981">
        <v>4</v>
      </c>
      <c r="I981">
        <v>39</v>
      </c>
      <c r="J981">
        <v>100</v>
      </c>
      <c r="K981">
        <v>141</v>
      </c>
      <c r="L981">
        <v>5785.26</v>
      </c>
      <c r="M981">
        <v>286.26</v>
      </c>
      <c r="N981" s="1">
        <v>37937</v>
      </c>
      <c r="O981" t="s">
        <v>25</v>
      </c>
      <c r="P981">
        <v>4</v>
      </c>
      <c r="Q981">
        <v>11</v>
      </c>
      <c r="R981">
        <v>2003</v>
      </c>
      <c r="S981" t="s">
        <v>83</v>
      </c>
    </row>
    <row r="982" spans="1:19" x14ac:dyDescent="0.25">
      <c r="A982">
        <v>10266</v>
      </c>
      <c r="B982" t="s">
        <v>265</v>
      </c>
      <c r="C982" t="s">
        <v>184</v>
      </c>
      <c r="D982" t="s">
        <v>185</v>
      </c>
      <c r="E982" t="s">
        <v>110</v>
      </c>
      <c r="F982" t="s">
        <v>30</v>
      </c>
      <c r="G982" t="s">
        <v>33</v>
      </c>
      <c r="H982">
        <v>4</v>
      </c>
      <c r="I982">
        <v>33</v>
      </c>
      <c r="J982">
        <v>100</v>
      </c>
      <c r="K982">
        <v>141</v>
      </c>
      <c r="L982">
        <v>5035.1400000000003</v>
      </c>
      <c r="M982">
        <v>382.14</v>
      </c>
      <c r="N982" s="1">
        <v>38174</v>
      </c>
      <c r="O982" t="s">
        <v>25</v>
      </c>
      <c r="P982">
        <v>3</v>
      </c>
      <c r="Q982">
        <v>7</v>
      </c>
      <c r="R982">
        <v>2004</v>
      </c>
      <c r="S982" t="s">
        <v>83</v>
      </c>
    </row>
    <row r="983" spans="1:19" x14ac:dyDescent="0.25">
      <c r="A983">
        <v>10278</v>
      </c>
      <c r="B983" t="s">
        <v>265</v>
      </c>
      <c r="C983" t="s">
        <v>221</v>
      </c>
      <c r="D983" t="s">
        <v>222</v>
      </c>
      <c r="E983" t="s">
        <v>22</v>
      </c>
      <c r="F983" t="s">
        <v>23</v>
      </c>
      <c r="G983" t="s">
        <v>33</v>
      </c>
      <c r="H983">
        <v>4</v>
      </c>
      <c r="I983">
        <v>31</v>
      </c>
      <c r="J983">
        <v>100</v>
      </c>
      <c r="K983">
        <v>141</v>
      </c>
      <c r="L983">
        <v>4116.8</v>
      </c>
      <c r="M983">
        <v>-254.2</v>
      </c>
      <c r="N983" s="1">
        <v>38205</v>
      </c>
      <c r="O983" t="s">
        <v>25</v>
      </c>
      <c r="P983">
        <v>3</v>
      </c>
      <c r="Q983">
        <v>8</v>
      </c>
      <c r="R983">
        <v>2004</v>
      </c>
      <c r="S983" t="s">
        <v>83</v>
      </c>
    </row>
    <row r="984" spans="1:19" x14ac:dyDescent="0.25">
      <c r="A984">
        <v>10379</v>
      </c>
      <c r="B984" t="s">
        <v>265</v>
      </c>
      <c r="C984" t="s">
        <v>78</v>
      </c>
      <c r="D984" t="s">
        <v>79</v>
      </c>
      <c r="E984" t="s">
        <v>80</v>
      </c>
      <c r="F984" t="s">
        <v>30</v>
      </c>
      <c r="G984" t="s">
        <v>24</v>
      </c>
      <c r="H984">
        <v>4</v>
      </c>
      <c r="I984">
        <v>32</v>
      </c>
      <c r="J984">
        <v>70.83</v>
      </c>
      <c r="K984">
        <v>141</v>
      </c>
      <c r="L984">
        <v>2266.56</v>
      </c>
      <c r="M984">
        <v>-2245.44</v>
      </c>
      <c r="N984" s="1">
        <v>38393</v>
      </c>
      <c r="O984" t="s">
        <v>25</v>
      </c>
      <c r="P984">
        <v>1</v>
      </c>
      <c r="Q984">
        <v>2</v>
      </c>
      <c r="R984">
        <v>2005</v>
      </c>
      <c r="S984" t="s">
        <v>83</v>
      </c>
    </row>
    <row r="985" spans="1:19" x14ac:dyDescent="0.25">
      <c r="A985">
        <v>10319</v>
      </c>
      <c r="B985" t="s">
        <v>266</v>
      </c>
      <c r="C985" t="s">
        <v>204</v>
      </c>
      <c r="D985" t="s">
        <v>21</v>
      </c>
      <c r="E985" t="s">
        <v>22</v>
      </c>
      <c r="F985" t="s">
        <v>23</v>
      </c>
      <c r="G985" t="s">
        <v>24</v>
      </c>
      <c r="H985">
        <v>4</v>
      </c>
      <c r="I985">
        <v>44</v>
      </c>
      <c r="J985">
        <v>59.06</v>
      </c>
      <c r="K985">
        <v>62</v>
      </c>
      <c r="L985">
        <v>2598.64</v>
      </c>
      <c r="M985">
        <v>-129.36000000000001</v>
      </c>
      <c r="N985" s="1">
        <v>38294</v>
      </c>
      <c r="O985" t="s">
        <v>25</v>
      </c>
      <c r="P985">
        <v>4</v>
      </c>
      <c r="Q985">
        <v>11</v>
      </c>
      <c r="R985">
        <v>2004</v>
      </c>
      <c r="S985" t="s">
        <v>26</v>
      </c>
    </row>
    <row r="986" spans="1:19" x14ac:dyDescent="0.25">
      <c r="A986">
        <v>10100</v>
      </c>
      <c r="B986" t="s">
        <v>269</v>
      </c>
      <c r="C986" t="s">
        <v>117</v>
      </c>
      <c r="D986" t="s">
        <v>118</v>
      </c>
      <c r="E986" t="s">
        <v>22</v>
      </c>
      <c r="F986" t="s">
        <v>23</v>
      </c>
      <c r="G986" t="s">
        <v>24</v>
      </c>
      <c r="H986">
        <v>4</v>
      </c>
      <c r="I986">
        <v>22</v>
      </c>
      <c r="J986">
        <v>86.51</v>
      </c>
      <c r="K986">
        <v>92</v>
      </c>
      <c r="L986">
        <v>1903.22</v>
      </c>
      <c r="M986">
        <v>-120.78</v>
      </c>
      <c r="N986" s="1">
        <v>37627</v>
      </c>
      <c r="O986" t="s">
        <v>25</v>
      </c>
      <c r="P986">
        <v>1</v>
      </c>
      <c r="Q986">
        <v>1</v>
      </c>
      <c r="R986">
        <v>2003</v>
      </c>
      <c r="S986" t="s">
        <v>226</v>
      </c>
    </row>
    <row r="987" spans="1:19" x14ac:dyDescent="0.25">
      <c r="A987">
        <v>10344</v>
      </c>
      <c r="B987" t="s">
        <v>269</v>
      </c>
      <c r="C987" t="s">
        <v>176</v>
      </c>
      <c r="D987" t="s">
        <v>177</v>
      </c>
      <c r="E987" t="s">
        <v>29</v>
      </c>
      <c r="F987" t="s">
        <v>30</v>
      </c>
      <c r="G987" t="s">
        <v>24</v>
      </c>
      <c r="H987">
        <v>4</v>
      </c>
      <c r="I987">
        <v>21</v>
      </c>
      <c r="J987">
        <v>100</v>
      </c>
      <c r="K987">
        <v>92</v>
      </c>
      <c r="L987">
        <v>2203.11</v>
      </c>
      <c r="M987">
        <v>271.11</v>
      </c>
      <c r="N987" s="1">
        <v>38316</v>
      </c>
      <c r="O987" t="s">
        <v>25</v>
      </c>
      <c r="P987">
        <v>4</v>
      </c>
      <c r="Q987">
        <v>11</v>
      </c>
      <c r="R987">
        <v>2004</v>
      </c>
      <c r="S987" t="s">
        <v>226</v>
      </c>
    </row>
    <row r="988" spans="1:19" x14ac:dyDescent="0.25">
      <c r="A988">
        <v>10117</v>
      </c>
      <c r="B988" t="s">
        <v>270</v>
      </c>
      <c r="C988" t="s">
        <v>88</v>
      </c>
      <c r="D988" t="s">
        <v>89</v>
      </c>
      <c r="E988" t="s">
        <v>89</v>
      </c>
      <c r="F988" t="s">
        <v>50</v>
      </c>
      <c r="G988" t="s">
        <v>24</v>
      </c>
      <c r="H988">
        <v>4</v>
      </c>
      <c r="I988">
        <v>23</v>
      </c>
      <c r="J988">
        <v>97.42</v>
      </c>
      <c r="K988">
        <v>87</v>
      </c>
      <c r="L988">
        <v>2240.66</v>
      </c>
      <c r="M988">
        <v>239.66</v>
      </c>
      <c r="N988" s="1">
        <v>37727</v>
      </c>
      <c r="O988" t="s">
        <v>25</v>
      </c>
      <c r="P988">
        <v>2</v>
      </c>
      <c r="Q988">
        <v>4</v>
      </c>
      <c r="R988">
        <v>2003</v>
      </c>
      <c r="S988" t="s">
        <v>226</v>
      </c>
    </row>
    <row r="989" spans="1:19" x14ac:dyDescent="0.25">
      <c r="A989">
        <v>10334</v>
      </c>
      <c r="B989" t="s">
        <v>271</v>
      </c>
      <c r="C989" t="s">
        <v>84</v>
      </c>
      <c r="D989" t="s">
        <v>85</v>
      </c>
      <c r="E989" t="s">
        <v>86</v>
      </c>
      <c r="F989" t="s">
        <v>30</v>
      </c>
      <c r="G989" t="s">
        <v>33</v>
      </c>
      <c r="H989">
        <v>4</v>
      </c>
      <c r="I989">
        <v>49</v>
      </c>
      <c r="J989">
        <v>100</v>
      </c>
      <c r="K989">
        <v>121</v>
      </c>
      <c r="L989">
        <v>6763.47</v>
      </c>
      <c r="M989">
        <v>834.47</v>
      </c>
      <c r="N989" s="1">
        <v>38310</v>
      </c>
      <c r="O989" t="s">
        <v>164</v>
      </c>
      <c r="P989">
        <v>4</v>
      </c>
      <c r="Q989">
        <v>11</v>
      </c>
      <c r="R989">
        <v>2004</v>
      </c>
      <c r="S989" t="s">
        <v>202</v>
      </c>
    </row>
    <row r="990" spans="1:19" x14ac:dyDescent="0.25">
      <c r="A990">
        <v>10347</v>
      </c>
      <c r="B990" t="s">
        <v>271</v>
      </c>
      <c r="C990" t="s">
        <v>47</v>
      </c>
      <c r="D990" t="s">
        <v>48</v>
      </c>
      <c r="E990" t="s">
        <v>49</v>
      </c>
      <c r="F990" t="s">
        <v>50</v>
      </c>
      <c r="G990" t="s">
        <v>33</v>
      </c>
      <c r="H990">
        <v>4</v>
      </c>
      <c r="I990">
        <v>45</v>
      </c>
      <c r="J990">
        <v>100</v>
      </c>
      <c r="K990">
        <v>121</v>
      </c>
      <c r="L990">
        <v>5884.65</v>
      </c>
      <c r="M990">
        <v>439.65</v>
      </c>
      <c r="N990" s="1">
        <v>38320</v>
      </c>
      <c r="O990" t="s">
        <v>25</v>
      </c>
      <c r="P990">
        <v>4</v>
      </c>
      <c r="Q990">
        <v>11</v>
      </c>
      <c r="R990">
        <v>2004</v>
      </c>
      <c r="S990" t="s">
        <v>202</v>
      </c>
    </row>
    <row r="991" spans="1:19" x14ac:dyDescent="0.25">
      <c r="A991">
        <v>10206</v>
      </c>
      <c r="B991" t="s">
        <v>272</v>
      </c>
      <c r="C991" t="s">
        <v>97</v>
      </c>
      <c r="D991" t="s">
        <v>98</v>
      </c>
      <c r="E991" t="s">
        <v>99</v>
      </c>
      <c r="F991" t="s">
        <v>23</v>
      </c>
      <c r="G991" t="s">
        <v>24</v>
      </c>
      <c r="H991">
        <v>4</v>
      </c>
      <c r="I991">
        <v>21</v>
      </c>
      <c r="J991">
        <v>53.33</v>
      </c>
      <c r="K991">
        <v>50</v>
      </c>
      <c r="L991">
        <v>1119.93</v>
      </c>
      <c r="M991">
        <v>69.930000000000007</v>
      </c>
      <c r="N991" s="1">
        <v>37960</v>
      </c>
      <c r="O991" t="s">
        <v>25</v>
      </c>
      <c r="P991">
        <v>4</v>
      </c>
      <c r="Q991">
        <v>12</v>
      </c>
      <c r="R991">
        <v>2003</v>
      </c>
      <c r="S991" t="s">
        <v>226</v>
      </c>
    </row>
    <row r="992" spans="1:19" x14ac:dyDescent="0.25">
      <c r="A992">
        <v>10258</v>
      </c>
      <c r="B992" t="s">
        <v>272</v>
      </c>
      <c r="C992" t="s">
        <v>105</v>
      </c>
      <c r="D992" t="s">
        <v>106</v>
      </c>
      <c r="E992" t="s">
        <v>107</v>
      </c>
      <c r="F992" t="s">
        <v>50</v>
      </c>
      <c r="G992" t="s">
        <v>24</v>
      </c>
      <c r="H992">
        <v>4</v>
      </c>
      <c r="I992">
        <v>21</v>
      </c>
      <c r="J992">
        <v>59.87</v>
      </c>
      <c r="K992">
        <v>50</v>
      </c>
      <c r="L992">
        <v>1257.27</v>
      </c>
      <c r="M992">
        <v>207.27</v>
      </c>
      <c r="N992" s="1">
        <v>38153</v>
      </c>
      <c r="O992" t="s">
        <v>25</v>
      </c>
      <c r="P992">
        <v>2</v>
      </c>
      <c r="Q992">
        <v>6</v>
      </c>
      <c r="R992">
        <v>2004</v>
      </c>
      <c r="S992" t="s">
        <v>226</v>
      </c>
    </row>
    <row r="993" spans="1:19" x14ac:dyDescent="0.25">
      <c r="A993">
        <v>10304</v>
      </c>
      <c r="B993" t="s">
        <v>272</v>
      </c>
      <c r="C993" t="s">
        <v>113</v>
      </c>
      <c r="D993" t="s">
        <v>114</v>
      </c>
      <c r="E993" t="s">
        <v>29</v>
      </c>
      <c r="F993" t="s">
        <v>30</v>
      </c>
      <c r="G993" t="s">
        <v>24</v>
      </c>
      <c r="H993">
        <v>4</v>
      </c>
      <c r="I993">
        <v>34</v>
      </c>
      <c r="J993">
        <v>49.3</v>
      </c>
      <c r="K993">
        <v>50</v>
      </c>
      <c r="L993">
        <v>1676.2</v>
      </c>
      <c r="M993">
        <v>-23.8</v>
      </c>
      <c r="N993" s="1">
        <v>38271</v>
      </c>
      <c r="O993" t="s">
        <v>25</v>
      </c>
      <c r="P993">
        <v>4</v>
      </c>
      <c r="Q993">
        <v>10</v>
      </c>
      <c r="R993">
        <v>2004</v>
      </c>
      <c r="S993" t="s">
        <v>226</v>
      </c>
    </row>
    <row r="994" spans="1:19" x14ac:dyDescent="0.25">
      <c r="A994">
        <v>10424</v>
      </c>
      <c r="B994" t="s">
        <v>272</v>
      </c>
      <c r="C994" t="s">
        <v>78</v>
      </c>
      <c r="D994" t="s">
        <v>79</v>
      </c>
      <c r="E994" t="s">
        <v>80</v>
      </c>
      <c r="F994" t="s">
        <v>30</v>
      </c>
      <c r="G994" t="s">
        <v>24</v>
      </c>
      <c r="H994">
        <v>4</v>
      </c>
      <c r="I994">
        <v>26</v>
      </c>
      <c r="J994">
        <v>59.87</v>
      </c>
      <c r="K994">
        <v>50</v>
      </c>
      <c r="L994">
        <v>1556.62</v>
      </c>
      <c r="M994">
        <v>256.62</v>
      </c>
      <c r="N994" s="1">
        <v>38503</v>
      </c>
      <c r="O994" t="s">
        <v>125</v>
      </c>
      <c r="P994">
        <v>2</v>
      </c>
      <c r="Q994">
        <v>5</v>
      </c>
      <c r="R994">
        <v>2005</v>
      </c>
      <c r="S994" t="s">
        <v>226</v>
      </c>
    </row>
    <row r="995" spans="1:19" x14ac:dyDescent="0.25">
      <c r="A995">
        <v>10252</v>
      </c>
      <c r="B995" t="s">
        <v>273</v>
      </c>
      <c r="C995" t="s">
        <v>46</v>
      </c>
      <c r="D995" t="s">
        <v>32</v>
      </c>
      <c r="E995" t="s">
        <v>29</v>
      </c>
      <c r="F995" t="s">
        <v>30</v>
      </c>
      <c r="G995" t="s">
        <v>33</v>
      </c>
      <c r="H995">
        <v>4</v>
      </c>
      <c r="I995">
        <v>26</v>
      </c>
      <c r="J995">
        <v>100</v>
      </c>
      <c r="K995">
        <v>148</v>
      </c>
      <c r="L995">
        <v>3559.4</v>
      </c>
      <c r="M995">
        <v>-288.60000000000002</v>
      </c>
      <c r="N995" s="1">
        <v>38133</v>
      </c>
      <c r="O995" t="s">
        <v>25</v>
      </c>
      <c r="P995">
        <v>2</v>
      </c>
      <c r="Q995">
        <v>5</v>
      </c>
      <c r="R995">
        <v>2004</v>
      </c>
      <c r="S995" t="s">
        <v>83</v>
      </c>
    </row>
    <row r="996" spans="1:19" x14ac:dyDescent="0.25">
      <c r="A996">
        <v>10330</v>
      </c>
      <c r="B996" t="s">
        <v>273</v>
      </c>
      <c r="C996" t="s">
        <v>173</v>
      </c>
      <c r="D996" t="s">
        <v>174</v>
      </c>
      <c r="E996" t="s">
        <v>175</v>
      </c>
      <c r="F996" t="s">
        <v>50</v>
      </c>
      <c r="G996" t="s">
        <v>33</v>
      </c>
      <c r="H996">
        <v>4</v>
      </c>
      <c r="I996">
        <v>50</v>
      </c>
      <c r="J996">
        <v>100</v>
      </c>
      <c r="K996">
        <v>148</v>
      </c>
      <c r="L996">
        <v>6101</v>
      </c>
      <c r="M996">
        <v>-1299</v>
      </c>
      <c r="N996" s="1">
        <v>38307</v>
      </c>
      <c r="O996" t="s">
        <v>25</v>
      </c>
      <c r="P996">
        <v>4</v>
      </c>
      <c r="Q996">
        <v>11</v>
      </c>
      <c r="R996">
        <v>2004</v>
      </c>
      <c r="S996" t="s">
        <v>83</v>
      </c>
    </row>
    <row r="997" spans="1:19" x14ac:dyDescent="0.25">
      <c r="A997">
        <v>10241</v>
      </c>
      <c r="B997" t="s">
        <v>274</v>
      </c>
      <c r="C997" t="s">
        <v>217</v>
      </c>
      <c r="D997" t="s">
        <v>218</v>
      </c>
      <c r="E997" t="s">
        <v>29</v>
      </c>
      <c r="F997" t="s">
        <v>30</v>
      </c>
      <c r="G997" t="s">
        <v>24</v>
      </c>
      <c r="H997">
        <v>4</v>
      </c>
      <c r="I997">
        <v>30</v>
      </c>
      <c r="J997">
        <v>66.989999999999995</v>
      </c>
      <c r="K997">
        <v>71</v>
      </c>
      <c r="L997">
        <v>2009.7</v>
      </c>
      <c r="M997">
        <v>-120.3</v>
      </c>
      <c r="N997" s="1">
        <v>38090</v>
      </c>
      <c r="O997" t="s">
        <v>25</v>
      </c>
      <c r="P997">
        <v>2</v>
      </c>
      <c r="Q997">
        <v>4</v>
      </c>
      <c r="R997">
        <v>2004</v>
      </c>
      <c r="S997" t="s">
        <v>83</v>
      </c>
    </row>
    <row r="998" spans="1:19" x14ac:dyDescent="0.25">
      <c r="A998">
        <v>10407</v>
      </c>
      <c r="B998" t="s">
        <v>274</v>
      </c>
      <c r="C998" t="s">
        <v>162</v>
      </c>
      <c r="D998" t="s">
        <v>163</v>
      </c>
      <c r="E998" t="s">
        <v>22</v>
      </c>
      <c r="F998" t="s">
        <v>23</v>
      </c>
      <c r="G998" t="s">
        <v>33</v>
      </c>
      <c r="H998">
        <v>4</v>
      </c>
      <c r="I998">
        <v>66</v>
      </c>
      <c r="J998">
        <v>66.989999999999995</v>
      </c>
      <c r="K998">
        <v>71</v>
      </c>
      <c r="L998">
        <v>4421.34</v>
      </c>
      <c r="M998">
        <v>-264.66000000000003</v>
      </c>
      <c r="N998" s="1">
        <v>38464</v>
      </c>
      <c r="O998" t="s">
        <v>164</v>
      </c>
      <c r="P998">
        <v>2</v>
      </c>
      <c r="Q998">
        <v>4</v>
      </c>
      <c r="R998">
        <v>2005</v>
      </c>
      <c r="S998" t="s">
        <v>83</v>
      </c>
    </row>
    <row r="999" spans="1:19" x14ac:dyDescent="0.25">
      <c r="A999">
        <v>10192</v>
      </c>
      <c r="B999" t="s">
        <v>275</v>
      </c>
      <c r="C999" t="s">
        <v>117</v>
      </c>
      <c r="D999" t="s">
        <v>118</v>
      </c>
      <c r="E999" t="s">
        <v>22</v>
      </c>
      <c r="F999" t="s">
        <v>23</v>
      </c>
      <c r="G999" t="s">
        <v>24</v>
      </c>
      <c r="H999">
        <v>4</v>
      </c>
      <c r="I999">
        <v>37</v>
      </c>
      <c r="J999">
        <v>69.819999999999993</v>
      </c>
      <c r="K999">
        <v>73</v>
      </c>
      <c r="L999">
        <v>2583.34</v>
      </c>
      <c r="M999">
        <v>-117.66</v>
      </c>
      <c r="N999" s="1">
        <v>37945</v>
      </c>
      <c r="O999" t="s">
        <v>25</v>
      </c>
      <c r="P999">
        <v>4</v>
      </c>
      <c r="Q999">
        <v>11</v>
      </c>
      <c r="R999">
        <v>2003</v>
      </c>
      <c r="S999" t="s">
        <v>83</v>
      </c>
    </row>
    <row r="1000" spans="1:19" x14ac:dyDescent="0.25">
      <c r="A1000">
        <v>10332</v>
      </c>
      <c r="B1000" t="s">
        <v>275</v>
      </c>
      <c r="C1000" t="s">
        <v>197</v>
      </c>
      <c r="D1000" t="s">
        <v>198</v>
      </c>
      <c r="E1000" t="s">
        <v>77</v>
      </c>
      <c r="F1000" t="s">
        <v>30</v>
      </c>
      <c r="G1000" t="s">
        <v>24</v>
      </c>
      <c r="H1000">
        <v>4</v>
      </c>
      <c r="I1000">
        <v>23</v>
      </c>
      <c r="J1000">
        <v>56.84</v>
      </c>
      <c r="K1000">
        <v>73</v>
      </c>
      <c r="L1000">
        <v>1307.32</v>
      </c>
      <c r="M1000">
        <v>-371.68</v>
      </c>
      <c r="N1000" s="1">
        <v>38308</v>
      </c>
      <c r="O1000" t="s">
        <v>25</v>
      </c>
      <c r="P1000">
        <v>4</v>
      </c>
      <c r="Q1000">
        <v>11</v>
      </c>
      <c r="R1000">
        <v>2004</v>
      </c>
      <c r="S1000" t="s">
        <v>83</v>
      </c>
    </row>
    <row r="1001" spans="1:19" x14ac:dyDescent="0.25">
      <c r="A1001">
        <v>10152</v>
      </c>
      <c r="B1001" t="s">
        <v>276</v>
      </c>
      <c r="C1001" t="s">
        <v>91</v>
      </c>
      <c r="D1001" t="s">
        <v>92</v>
      </c>
      <c r="E1001" t="s">
        <v>49</v>
      </c>
      <c r="F1001" t="s">
        <v>50</v>
      </c>
      <c r="G1001" t="s">
        <v>24</v>
      </c>
      <c r="H1001">
        <v>4</v>
      </c>
      <c r="I1001">
        <v>25</v>
      </c>
      <c r="J1001">
        <v>65.31</v>
      </c>
      <c r="K1001">
        <v>57</v>
      </c>
      <c r="L1001">
        <v>1632.75</v>
      </c>
      <c r="M1001">
        <v>207.75</v>
      </c>
      <c r="N1001" s="1">
        <v>37889</v>
      </c>
      <c r="O1001" t="s">
        <v>25</v>
      </c>
      <c r="P1001">
        <v>3</v>
      </c>
      <c r="Q1001">
        <v>9</v>
      </c>
      <c r="R1001">
        <v>2003</v>
      </c>
      <c r="S1001" t="s">
        <v>83</v>
      </c>
    </row>
    <row r="1002" spans="1:19" x14ac:dyDescent="0.25">
      <c r="A1002">
        <v>10207</v>
      </c>
      <c r="B1002" t="s">
        <v>276</v>
      </c>
      <c r="C1002" t="s">
        <v>170</v>
      </c>
      <c r="D1002" t="s">
        <v>157</v>
      </c>
      <c r="E1002" t="s">
        <v>22</v>
      </c>
      <c r="F1002" t="s">
        <v>23</v>
      </c>
      <c r="G1002" t="s">
        <v>24</v>
      </c>
      <c r="H1002">
        <v>4</v>
      </c>
      <c r="I1002">
        <v>49</v>
      </c>
      <c r="J1002">
        <v>46.82</v>
      </c>
      <c r="K1002">
        <v>57</v>
      </c>
      <c r="L1002">
        <v>2294.1799999999998</v>
      </c>
      <c r="M1002">
        <v>-498.82</v>
      </c>
      <c r="N1002" s="1">
        <v>37964</v>
      </c>
      <c r="O1002" t="s">
        <v>25</v>
      </c>
      <c r="P1002">
        <v>4</v>
      </c>
      <c r="Q1002">
        <v>12</v>
      </c>
      <c r="R1002">
        <v>2003</v>
      </c>
      <c r="S1002" t="s">
        <v>83</v>
      </c>
    </row>
    <row r="1003" spans="1:19" x14ac:dyDescent="0.25">
      <c r="A1003">
        <v>10336</v>
      </c>
      <c r="B1003" t="s">
        <v>276</v>
      </c>
      <c r="C1003" t="s">
        <v>166</v>
      </c>
      <c r="D1003" t="s">
        <v>32</v>
      </c>
      <c r="E1003" t="s">
        <v>29</v>
      </c>
      <c r="F1003" t="s">
        <v>30</v>
      </c>
      <c r="G1003" t="s">
        <v>33</v>
      </c>
      <c r="H1003">
        <v>4</v>
      </c>
      <c r="I1003">
        <v>45</v>
      </c>
      <c r="J1003">
        <v>100</v>
      </c>
      <c r="K1003">
        <v>57</v>
      </c>
      <c r="L1003">
        <v>5972.4</v>
      </c>
      <c r="M1003">
        <v>3407.4</v>
      </c>
      <c r="N1003" s="1">
        <v>38311</v>
      </c>
      <c r="O1003" t="s">
        <v>25</v>
      </c>
      <c r="P1003">
        <v>4</v>
      </c>
      <c r="Q1003">
        <v>11</v>
      </c>
      <c r="R1003">
        <v>2004</v>
      </c>
      <c r="S1003" t="s">
        <v>83</v>
      </c>
    </row>
    <row r="1004" spans="1:19" x14ac:dyDescent="0.25">
      <c r="A1004">
        <v>10349</v>
      </c>
      <c r="B1004" t="s">
        <v>276</v>
      </c>
      <c r="C1004" t="s">
        <v>192</v>
      </c>
      <c r="D1004" t="s">
        <v>21</v>
      </c>
      <c r="E1004" t="s">
        <v>22</v>
      </c>
      <c r="F1004" t="s">
        <v>23</v>
      </c>
      <c r="G1004" t="s">
        <v>24</v>
      </c>
      <c r="H1004">
        <v>4</v>
      </c>
      <c r="I1004">
        <v>48</v>
      </c>
      <c r="J1004">
        <v>47.4</v>
      </c>
      <c r="K1004">
        <v>57</v>
      </c>
      <c r="L1004">
        <v>2275.1999999999998</v>
      </c>
      <c r="M1004">
        <v>-460.8</v>
      </c>
      <c r="N1004" s="1">
        <v>38322</v>
      </c>
      <c r="O1004" t="s">
        <v>25</v>
      </c>
      <c r="P1004">
        <v>4</v>
      </c>
      <c r="Q1004">
        <v>12</v>
      </c>
      <c r="R1004">
        <v>2004</v>
      </c>
      <c r="S1004" t="s">
        <v>83</v>
      </c>
    </row>
    <row r="1005" spans="1:19" x14ac:dyDescent="0.25">
      <c r="A1005">
        <v>10106</v>
      </c>
      <c r="B1005" t="s">
        <v>279</v>
      </c>
      <c r="C1005" t="s">
        <v>227</v>
      </c>
      <c r="D1005" t="s">
        <v>228</v>
      </c>
      <c r="E1005" t="s">
        <v>110</v>
      </c>
      <c r="F1005" t="s">
        <v>30</v>
      </c>
      <c r="G1005" t="s">
        <v>24</v>
      </c>
      <c r="H1005">
        <v>4</v>
      </c>
      <c r="I1005">
        <v>28</v>
      </c>
      <c r="J1005">
        <v>88.63</v>
      </c>
      <c r="K1005">
        <v>109</v>
      </c>
      <c r="L1005">
        <v>2481.64</v>
      </c>
      <c r="M1005">
        <v>-570.36</v>
      </c>
      <c r="N1005" s="1">
        <v>37669</v>
      </c>
      <c r="O1005" t="s">
        <v>25</v>
      </c>
      <c r="P1005">
        <v>1</v>
      </c>
      <c r="Q1005">
        <v>2</v>
      </c>
      <c r="R1005">
        <v>2003</v>
      </c>
      <c r="S1005" t="s">
        <v>234</v>
      </c>
    </row>
    <row r="1006" spans="1:19" x14ac:dyDescent="0.25">
      <c r="A1006">
        <v>10380</v>
      </c>
      <c r="B1006" t="s">
        <v>280</v>
      </c>
      <c r="C1006" t="s">
        <v>78</v>
      </c>
      <c r="D1006" t="s">
        <v>79</v>
      </c>
      <c r="E1006" t="s">
        <v>80</v>
      </c>
      <c r="F1006" t="s">
        <v>30</v>
      </c>
      <c r="G1006" t="s">
        <v>24</v>
      </c>
      <c r="H1006">
        <v>4</v>
      </c>
      <c r="I1006">
        <v>32</v>
      </c>
      <c r="J1006">
        <v>70.56</v>
      </c>
      <c r="K1006">
        <v>33</v>
      </c>
      <c r="L1006">
        <v>2257.92</v>
      </c>
      <c r="M1006">
        <v>1201.92</v>
      </c>
      <c r="N1006" s="1">
        <v>38399</v>
      </c>
      <c r="O1006" t="s">
        <v>25</v>
      </c>
      <c r="P1006">
        <v>1</v>
      </c>
      <c r="Q1006">
        <v>2</v>
      </c>
      <c r="R1006">
        <v>2005</v>
      </c>
      <c r="S1006" t="s">
        <v>226</v>
      </c>
    </row>
    <row r="1007" spans="1:19" x14ac:dyDescent="0.25">
      <c r="A1007">
        <v>10210</v>
      </c>
      <c r="B1007" t="s">
        <v>281</v>
      </c>
      <c r="C1007" t="s">
        <v>127</v>
      </c>
      <c r="D1007" t="s">
        <v>128</v>
      </c>
      <c r="E1007" t="s">
        <v>107</v>
      </c>
      <c r="F1007" t="s">
        <v>50</v>
      </c>
      <c r="G1007" t="s">
        <v>24</v>
      </c>
      <c r="H1007">
        <v>4</v>
      </c>
      <c r="I1007">
        <v>30</v>
      </c>
      <c r="J1007">
        <v>61.7</v>
      </c>
      <c r="K1007">
        <v>76</v>
      </c>
      <c r="L1007">
        <v>1851</v>
      </c>
      <c r="M1007">
        <v>-429</v>
      </c>
      <c r="N1007" s="1">
        <v>37998</v>
      </c>
      <c r="O1007" t="s">
        <v>25</v>
      </c>
      <c r="P1007">
        <v>1</v>
      </c>
      <c r="Q1007">
        <v>1</v>
      </c>
      <c r="R1007">
        <v>2004</v>
      </c>
      <c r="S1007" t="s">
        <v>26</v>
      </c>
    </row>
    <row r="1008" spans="1:19" x14ac:dyDescent="0.25">
      <c r="A1008">
        <v>10308</v>
      </c>
      <c r="B1008" t="s">
        <v>281</v>
      </c>
      <c r="C1008" t="s">
        <v>131</v>
      </c>
      <c r="D1008" t="s">
        <v>132</v>
      </c>
      <c r="E1008" t="s">
        <v>22</v>
      </c>
      <c r="F1008" t="s">
        <v>23</v>
      </c>
      <c r="G1008" t="s">
        <v>24</v>
      </c>
      <c r="H1008">
        <v>4</v>
      </c>
      <c r="I1008">
        <v>47</v>
      </c>
      <c r="J1008">
        <v>63.22</v>
      </c>
      <c r="K1008">
        <v>76</v>
      </c>
      <c r="L1008">
        <v>2971.34</v>
      </c>
      <c r="M1008">
        <v>-600.66</v>
      </c>
      <c r="N1008" s="1">
        <v>38275</v>
      </c>
      <c r="O1008" t="s">
        <v>25</v>
      </c>
      <c r="P1008">
        <v>4</v>
      </c>
      <c r="Q1008">
        <v>10</v>
      </c>
      <c r="R1008">
        <v>2004</v>
      </c>
      <c r="S1008" t="s">
        <v>26</v>
      </c>
    </row>
    <row r="1009" spans="1:19" x14ac:dyDescent="0.25">
      <c r="A1009">
        <v>10329</v>
      </c>
      <c r="B1009" t="s">
        <v>281</v>
      </c>
      <c r="C1009" t="s">
        <v>20</v>
      </c>
      <c r="D1009" t="s">
        <v>21</v>
      </c>
      <c r="E1009" t="s">
        <v>22</v>
      </c>
      <c r="F1009" t="s">
        <v>23</v>
      </c>
      <c r="G1009" t="s">
        <v>33</v>
      </c>
      <c r="H1009">
        <v>4</v>
      </c>
      <c r="I1009">
        <v>37</v>
      </c>
      <c r="J1009">
        <v>94.43</v>
      </c>
      <c r="K1009">
        <v>76</v>
      </c>
      <c r="L1009">
        <v>3493.91</v>
      </c>
      <c r="M1009">
        <v>681.91</v>
      </c>
      <c r="N1009" s="1">
        <v>38306</v>
      </c>
      <c r="O1009" t="s">
        <v>25</v>
      </c>
      <c r="P1009">
        <v>4</v>
      </c>
      <c r="Q1009">
        <v>11</v>
      </c>
      <c r="R1009">
        <v>2004</v>
      </c>
      <c r="S1009" t="s">
        <v>26</v>
      </c>
    </row>
    <row r="1010" spans="1:19" x14ac:dyDescent="0.25">
      <c r="A1010">
        <v>10232</v>
      </c>
      <c r="B1010" t="s">
        <v>282</v>
      </c>
      <c r="C1010" t="s">
        <v>158</v>
      </c>
      <c r="D1010" t="s">
        <v>159</v>
      </c>
      <c r="E1010" t="s">
        <v>77</v>
      </c>
      <c r="F1010" t="s">
        <v>30</v>
      </c>
      <c r="G1010" t="s">
        <v>33</v>
      </c>
      <c r="H1010">
        <v>4</v>
      </c>
      <c r="I1010">
        <v>46</v>
      </c>
      <c r="J1010">
        <v>100</v>
      </c>
      <c r="K1010">
        <v>122</v>
      </c>
      <c r="L1010">
        <v>5652.94</v>
      </c>
      <c r="M1010">
        <v>40.94</v>
      </c>
      <c r="N1010" s="1">
        <v>38066</v>
      </c>
      <c r="O1010" t="s">
        <v>25</v>
      </c>
      <c r="P1010">
        <v>1</v>
      </c>
      <c r="Q1010">
        <v>3</v>
      </c>
      <c r="R1010">
        <v>2004</v>
      </c>
      <c r="S1010" t="s">
        <v>255</v>
      </c>
    </row>
    <row r="1011" spans="1:19" x14ac:dyDescent="0.25">
      <c r="A1011">
        <v>10326</v>
      </c>
      <c r="B1011" t="s">
        <v>282</v>
      </c>
      <c r="C1011" t="s">
        <v>84</v>
      </c>
      <c r="D1011" t="s">
        <v>85</v>
      </c>
      <c r="E1011" t="s">
        <v>86</v>
      </c>
      <c r="F1011" t="s">
        <v>30</v>
      </c>
      <c r="G1011" t="s">
        <v>33</v>
      </c>
      <c r="H1011">
        <v>4</v>
      </c>
      <c r="I1011">
        <v>41</v>
      </c>
      <c r="J1011">
        <v>100</v>
      </c>
      <c r="K1011">
        <v>122</v>
      </c>
      <c r="L1011">
        <v>4333.29</v>
      </c>
      <c r="M1011">
        <v>-668.71</v>
      </c>
      <c r="N1011" s="1">
        <v>38300</v>
      </c>
      <c r="O1011" t="s">
        <v>25</v>
      </c>
      <c r="P1011">
        <v>4</v>
      </c>
      <c r="Q1011">
        <v>11</v>
      </c>
      <c r="R1011">
        <v>2004</v>
      </c>
      <c r="S1011" t="s">
        <v>255</v>
      </c>
    </row>
    <row r="1012" spans="1:19" x14ac:dyDescent="0.25">
      <c r="A1012">
        <v>10337</v>
      </c>
      <c r="B1012" t="s">
        <v>282</v>
      </c>
      <c r="C1012" t="s">
        <v>90</v>
      </c>
      <c r="D1012" t="s">
        <v>21</v>
      </c>
      <c r="E1012" t="s">
        <v>22</v>
      </c>
      <c r="F1012" t="s">
        <v>23</v>
      </c>
      <c r="G1012" t="s">
        <v>24</v>
      </c>
      <c r="H1012">
        <v>4</v>
      </c>
      <c r="I1012">
        <v>29</v>
      </c>
      <c r="J1012">
        <v>71.97</v>
      </c>
      <c r="K1012">
        <v>122</v>
      </c>
      <c r="L1012">
        <v>2087.13</v>
      </c>
      <c r="M1012">
        <v>-1450.87</v>
      </c>
      <c r="N1012" s="1">
        <v>38312</v>
      </c>
      <c r="O1012" t="s">
        <v>25</v>
      </c>
      <c r="P1012">
        <v>4</v>
      </c>
      <c r="Q1012">
        <v>11</v>
      </c>
      <c r="R1012">
        <v>2004</v>
      </c>
      <c r="S1012" t="s">
        <v>255</v>
      </c>
    </row>
    <row r="1013" spans="1:19" x14ac:dyDescent="0.25">
      <c r="A1013">
        <v>10162</v>
      </c>
      <c r="B1013" t="s">
        <v>283</v>
      </c>
      <c r="C1013" t="s">
        <v>36</v>
      </c>
      <c r="D1013" t="s">
        <v>37</v>
      </c>
      <c r="E1013" t="s">
        <v>22</v>
      </c>
      <c r="F1013" t="s">
        <v>23</v>
      </c>
      <c r="G1013" t="s">
        <v>24</v>
      </c>
      <c r="H1013">
        <v>4</v>
      </c>
      <c r="I1013">
        <v>43</v>
      </c>
      <c r="J1013">
        <v>36.29</v>
      </c>
      <c r="K1013">
        <v>44</v>
      </c>
      <c r="L1013">
        <v>1560.47</v>
      </c>
      <c r="M1013">
        <v>-331.53</v>
      </c>
      <c r="N1013" s="1">
        <v>37912</v>
      </c>
      <c r="O1013" t="s">
        <v>25</v>
      </c>
      <c r="P1013">
        <v>4</v>
      </c>
      <c r="Q1013">
        <v>10</v>
      </c>
      <c r="R1013">
        <v>2003</v>
      </c>
      <c r="S1013" t="s">
        <v>226</v>
      </c>
    </row>
    <row r="1014" spans="1:19" x14ac:dyDescent="0.25">
      <c r="A1014">
        <v>10205</v>
      </c>
      <c r="B1014" t="s">
        <v>283</v>
      </c>
      <c r="C1014" t="s">
        <v>78</v>
      </c>
      <c r="D1014" t="s">
        <v>79</v>
      </c>
      <c r="E1014" t="s">
        <v>80</v>
      </c>
      <c r="F1014" t="s">
        <v>30</v>
      </c>
      <c r="G1014" t="s">
        <v>24</v>
      </c>
      <c r="H1014">
        <v>4</v>
      </c>
      <c r="I1014">
        <v>24</v>
      </c>
      <c r="J1014">
        <v>38.08</v>
      </c>
      <c r="K1014">
        <v>44</v>
      </c>
      <c r="L1014">
        <v>913.92</v>
      </c>
      <c r="M1014">
        <v>-142.08000000000001</v>
      </c>
      <c r="N1014" s="1">
        <v>37958</v>
      </c>
      <c r="O1014" t="s">
        <v>25</v>
      </c>
      <c r="P1014">
        <v>4</v>
      </c>
      <c r="Q1014">
        <v>12</v>
      </c>
      <c r="R1014">
        <v>2003</v>
      </c>
      <c r="S1014" t="s">
        <v>226</v>
      </c>
    </row>
    <row r="1015" spans="1:19" x14ac:dyDescent="0.25">
      <c r="A1015">
        <v>10289</v>
      </c>
      <c r="B1015" t="s">
        <v>283</v>
      </c>
      <c r="C1015" t="s">
        <v>42</v>
      </c>
      <c r="D1015" t="s">
        <v>43</v>
      </c>
      <c r="E1015" t="s">
        <v>44</v>
      </c>
      <c r="F1015" t="s">
        <v>30</v>
      </c>
      <c r="G1015" t="s">
        <v>24</v>
      </c>
      <c r="H1015">
        <v>4</v>
      </c>
      <c r="I1015">
        <v>45</v>
      </c>
      <c r="J1015">
        <v>48.38</v>
      </c>
      <c r="K1015">
        <v>44</v>
      </c>
      <c r="L1015">
        <v>2177.1</v>
      </c>
      <c r="M1015">
        <v>197.1</v>
      </c>
      <c r="N1015" s="1">
        <v>38233</v>
      </c>
      <c r="O1015" t="s">
        <v>25</v>
      </c>
      <c r="P1015">
        <v>3</v>
      </c>
      <c r="Q1015">
        <v>9</v>
      </c>
      <c r="R1015">
        <v>2004</v>
      </c>
      <c r="S1015" t="s">
        <v>226</v>
      </c>
    </row>
    <row r="1016" spans="1:19" x14ac:dyDescent="0.25">
      <c r="A1016">
        <v>10322</v>
      </c>
      <c r="B1016" t="s">
        <v>283</v>
      </c>
      <c r="C1016" t="s">
        <v>117</v>
      </c>
      <c r="D1016" t="s">
        <v>118</v>
      </c>
      <c r="E1016" t="s">
        <v>22</v>
      </c>
      <c r="F1016" t="s">
        <v>23</v>
      </c>
      <c r="G1016" t="s">
        <v>33</v>
      </c>
      <c r="H1016">
        <v>4</v>
      </c>
      <c r="I1016">
        <v>30</v>
      </c>
      <c r="J1016">
        <v>100</v>
      </c>
      <c r="K1016">
        <v>44</v>
      </c>
      <c r="L1016">
        <v>3500.1</v>
      </c>
      <c r="M1016">
        <v>2180.1</v>
      </c>
      <c r="N1016" s="1">
        <v>38295</v>
      </c>
      <c r="O1016" t="s">
        <v>25</v>
      </c>
      <c r="P1016">
        <v>4</v>
      </c>
      <c r="Q1016">
        <v>11</v>
      </c>
      <c r="R1016">
        <v>2004</v>
      </c>
      <c r="S1016" t="s">
        <v>226</v>
      </c>
    </row>
    <row r="1017" spans="1:19" x14ac:dyDescent="0.25">
      <c r="A1017">
        <v>10313</v>
      </c>
      <c r="B1017" t="s">
        <v>284</v>
      </c>
      <c r="C1017" t="s">
        <v>97</v>
      </c>
      <c r="D1017" t="s">
        <v>98</v>
      </c>
      <c r="E1017" t="s">
        <v>99</v>
      </c>
      <c r="F1017" t="s">
        <v>23</v>
      </c>
      <c r="G1017" t="s">
        <v>33</v>
      </c>
      <c r="H1017">
        <v>4</v>
      </c>
      <c r="I1017">
        <v>42</v>
      </c>
      <c r="J1017">
        <v>100</v>
      </c>
      <c r="K1017">
        <v>127</v>
      </c>
      <c r="L1017">
        <v>5581.8</v>
      </c>
      <c r="M1017">
        <v>247.8</v>
      </c>
      <c r="N1017" s="1">
        <v>38282</v>
      </c>
      <c r="O1017" t="s">
        <v>25</v>
      </c>
      <c r="P1017">
        <v>4</v>
      </c>
      <c r="Q1017">
        <v>10</v>
      </c>
      <c r="R1017">
        <v>2004</v>
      </c>
      <c r="S1017" t="s">
        <v>202</v>
      </c>
    </row>
    <row r="1018" spans="1:19" x14ac:dyDescent="0.25">
      <c r="A1018">
        <v>10224</v>
      </c>
      <c r="B1018" t="s">
        <v>285</v>
      </c>
      <c r="C1018" t="s">
        <v>40</v>
      </c>
      <c r="D1018" t="s">
        <v>41</v>
      </c>
      <c r="E1018" t="s">
        <v>29</v>
      </c>
      <c r="F1018" t="s">
        <v>30</v>
      </c>
      <c r="G1018" t="s">
        <v>24</v>
      </c>
      <c r="H1018">
        <v>4</v>
      </c>
      <c r="I1018">
        <v>37</v>
      </c>
      <c r="J1018">
        <v>80.34</v>
      </c>
      <c r="K1018">
        <v>69</v>
      </c>
      <c r="L1018">
        <v>2972.58</v>
      </c>
      <c r="M1018">
        <v>419.58</v>
      </c>
      <c r="N1018" s="1">
        <v>38038</v>
      </c>
      <c r="O1018" t="s">
        <v>25</v>
      </c>
      <c r="P1018">
        <v>1</v>
      </c>
      <c r="Q1018">
        <v>2</v>
      </c>
      <c r="R1018">
        <v>2004</v>
      </c>
      <c r="S1018" t="s">
        <v>26</v>
      </c>
    </row>
    <row r="1019" spans="1:19" x14ac:dyDescent="0.25">
      <c r="A1019">
        <v>10237</v>
      </c>
      <c r="B1019" t="s">
        <v>285</v>
      </c>
      <c r="C1019" t="s">
        <v>51</v>
      </c>
      <c r="D1019" t="s">
        <v>21</v>
      </c>
      <c r="E1019" t="s">
        <v>22</v>
      </c>
      <c r="F1019" t="s">
        <v>23</v>
      </c>
      <c r="G1019" t="s">
        <v>24</v>
      </c>
      <c r="H1019">
        <v>4</v>
      </c>
      <c r="I1019">
        <v>26</v>
      </c>
      <c r="J1019">
        <v>79.650000000000006</v>
      </c>
      <c r="K1019">
        <v>69</v>
      </c>
      <c r="L1019">
        <v>2070.9</v>
      </c>
      <c r="M1019">
        <v>276.89999999999998</v>
      </c>
      <c r="N1019" s="1">
        <v>38082</v>
      </c>
      <c r="O1019" t="s">
        <v>25</v>
      </c>
      <c r="P1019">
        <v>2</v>
      </c>
      <c r="Q1019">
        <v>4</v>
      </c>
      <c r="R1019">
        <v>2004</v>
      </c>
      <c r="S1019" t="s">
        <v>26</v>
      </c>
    </row>
    <row r="1020" spans="1:19" x14ac:dyDescent="0.25">
      <c r="A1020">
        <v>10390</v>
      </c>
      <c r="B1020" t="s">
        <v>285</v>
      </c>
      <c r="C1020" t="s">
        <v>115</v>
      </c>
      <c r="D1020" t="s">
        <v>116</v>
      </c>
      <c r="E1020" t="s">
        <v>22</v>
      </c>
      <c r="F1020" t="s">
        <v>23</v>
      </c>
      <c r="G1020" t="s">
        <v>24</v>
      </c>
      <c r="H1020">
        <v>4</v>
      </c>
      <c r="I1020">
        <v>35</v>
      </c>
      <c r="J1020">
        <v>65.13</v>
      </c>
      <c r="K1020">
        <v>69</v>
      </c>
      <c r="L1020">
        <v>2279.5500000000002</v>
      </c>
      <c r="M1020">
        <v>-135.44999999999999</v>
      </c>
      <c r="N1020" s="1">
        <v>38415</v>
      </c>
      <c r="O1020" t="s">
        <v>25</v>
      </c>
      <c r="P1020">
        <v>1</v>
      </c>
      <c r="Q1020">
        <v>3</v>
      </c>
      <c r="R1020">
        <v>2005</v>
      </c>
      <c r="S1020" t="s">
        <v>26</v>
      </c>
    </row>
    <row r="1021" spans="1:19" x14ac:dyDescent="0.25">
      <c r="A1021">
        <v>10403</v>
      </c>
      <c r="B1021" t="s">
        <v>285</v>
      </c>
      <c r="C1021" t="s">
        <v>75</v>
      </c>
      <c r="D1021" t="s">
        <v>76</v>
      </c>
      <c r="E1021" t="s">
        <v>77</v>
      </c>
      <c r="F1021" t="s">
        <v>30</v>
      </c>
      <c r="G1021" t="s">
        <v>24</v>
      </c>
      <c r="H1021">
        <v>4</v>
      </c>
      <c r="I1021">
        <v>27</v>
      </c>
      <c r="J1021">
        <v>79.650000000000006</v>
      </c>
      <c r="K1021">
        <v>69</v>
      </c>
      <c r="L1021">
        <v>2150.5500000000002</v>
      </c>
      <c r="M1021">
        <v>287.55</v>
      </c>
      <c r="N1021" s="1">
        <v>38450</v>
      </c>
      <c r="O1021" t="s">
        <v>25</v>
      </c>
      <c r="P1021">
        <v>2</v>
      </c>
      <c r="Q1021">
        <v>4</v>
      </c>
      <c r="R1021">
        <v>2005</v>
      </c>
      <c r="S1021" t="s">
        <v>26</v>
      </c>
    </row>
    <row r="1022" spans="1:19" x14ac:dyDescent="0.25">
      <c r="A1022">
        <v>10148</v>
      </c>
      <c r="B1022" t="s">
        <v>286</v>
      </c>
      <c r="C1022" t="s">
        <v>121</v>
      </c>
      <c r="D1022" t="s">
        <v>122</v>
      </c>
      <c r="E1022" t="s">
        <v>49</v>
      </c>
      <c r="F1022" t="s">
        <v>50</v>
      </c>
      <c r="G1022" t="s">
        <v>24</v>
      </c>
      <c r="H1022">
        <v>4</v>
      </c>
      <c r="I1022">
        <v>21</v>
      </c>
      <c r="J1022">
        <v>73.599999999999994</v>
      </c>
      <c r="K1022">
        <v>90</v>
      </c>
      <c r="L1022">
        <v>1545.6</v>
      </c>
      <c r="M1022">
        <v>-344.4</v>
      </c>
      <c r="N1022" s="1">
        <v>37875</v>
      </c>
      <c r="O1022" t="s">
        <v>25</v>
      </c>
      <c r="P1022">
        <v>3</v>
      </c>
      <c r="Q1022">
        <v>9</v>
      </c>
      <c r="R1022">
        <v>2003</v>
      </c>
      <c r="S1022" t="s">
        <v>83</v>
      </c>
    </row>
    <row r="1023" spans="1:19" x14ac:dyDescent="0.25">
      <c r="A1023">
        <v>10311</v>
      </c>
      <c r="B1023" t="s">
        <v>286</v>
      </c>
      <c r="C1023" t="s">
        <v>78</v>
      </c>
      <c r="D1023" t="s">
        <v>79</v>
      </c>
      <c r="E1023" t="s">
        <v>80</v>
      </c>
      <c r="F1023" t="s">
        <v>30</v>
      </c>
      <c r="G1023" t="s">
        <v>24</v>
      </c>
      <c r="H1023">
        <v>4</v>
      </c>
      <c r="I1023">
        <v>28</v>
      </c>
      <c r="J1023">
        <v>93.6</v>
      </c>
      <c r="K1023">
        <v>90</v>
      </c>
      <c r="L1023">
        <v>2620.8000000000002</v>
      </c>
      <c r="M1023">
        <v>100.8</v>
      </c>
      <c r="N1023" s="1">
        <v>38276</v>
      </c>
      <c r="O1023" t="s">
        <v>25</v>
      </c>
      <c r="P1023">
        <v>4</v>
      </c>
      <c r="Q1023">
        <v>10</v>
      </c>
      <c r="R1023">
        <v>2004</v>
      </c>
      <c r="S1023" t="s">
        <v>83</v>
      </c>
    </row>
    <row r="1024" spans="1:19" x14ac:dyDescent="0.25">
      <c r="A1024">
        <v>10151</v>
      </c>
      <c r="B1024" t="s">
        <v>287</v>
      </c>
      <c r="C1024" t="s">
        <v>160</v>
      </c>
      <c r="D1024" t="s">
        <v>161</v>
      </c>
      <c r="E1024" t="s">
        <v>62</v>
      </c>
      <c r="F1024" t="s">
        <v>30</v>
      </c>
      <c r="G1024" t="s">
        <v>24</v>
      </c>
      <c r="H1024">
        <v>4</v>
      </c>
      <c r="I1024">
        <v>30</v>
      </c>
      <c r="J1024">
        <v>40.31</v>
      </c>
      <c r="K1024">
        <v>35</v>
      </c>
      <c r="L1024">
        <v>1209.3</v>
      </c>
      <c r="M1024">
        <v>159.30000000000001</v>
      </c>
      <c r="N1024" s="1">
        <v>37885</v>
      </c>
      <c r="O1024" t="s">
        <v>25</v>
      </c>
      <c r="P1024">
        <v>3</v>
      </c>
      <c r="Q1024">
        <v>9</v>
      </c>
      <c r="R1024">
        <v>2003</v>
      </c>
      <c r="S1024" t="s">
        <v>83</v>
      </c>
    </row>
    <row r="1025" spans="1:19" x14ac:dyDescent="0.25">
      <c r="A1025">
        <v>10358</v>
      </c>
      <c r="B1025" t="s">
        <v>287</v>
      </c>
      <c r="C1025" t="s">
        <v>78</v>
      </c>
      <c r="D1025" t="s">
        <v>79</v>
      </c>
      <c r="E1025" t="s">
        <v>80</v>
      </c>
      <c r="F1025" t="s">
        <v>30</v>
      </c>
      <c r="G1025" t="s">
        <v>24</v>
      </c>
      <c r="H1025">
        <v>4</v>
      </c>
      <c r="I1025">
        <v>36</v>
      </c>
      <c r="J1025">
        <v>82.94</v>
      </c>
      <c r="K1025">
        <v>35</v>
      </c>
      <c r="L1025">
        <v>2985.84</v>
      </c>
      <c r="M1025">
        <v>1725.84</v>
      </c>
      <c r="N1025" s="1">
        <v>38331</v>
      </c>
      <c r="O1025" t="s">
        <v>25</v>
      </c>
      <c r="P1025">
        <v>4</v>
      </c>
      <c r="Q1025">
        <v>12</v>
      </c>
      <c r="R1025">
        <v>2004</v>
      </c>
      <c r="S1025" t="s">
        <v>83</v>
      </c>
    </row>
    <row r="1026" spans="1:19" x14ac:dyDescent="0.25">
      <c r="A1026">
        <v>10119</v>
      </c>
      <c r="B1026" t="s">
        <v>288</v>
      </c>
      <c r="C1026" t="s">
        <v>67</v>
      </c>
      <c r="D1026" t="s">
        <v>68</v>
      </c>
      <c r="E1026" t="s">
        <v>69</v>
      </c>
      <c r="F1026" t="s">
        <v>30</v>
      </c>
      <c r="G1026" t="s">
        <v>24</v>
      </c>
      <c r="H1026">
        <v>4</v>
      </c>
      <c r="I1026">
        <v>41</v>
      </c>
      <c r="J1026">
        <v>59.6</v>
      </c>
      <c r="K1026">
        <v>68</v>
      </c>
      <c r="L1026">
        <v>2443.6</v>
      </c>
      <c r="M1026">
        <v>-344.4</v>
      </c>
      <c r="N1026" s="1">
        <v>37739</v>
      </c>
      <c r="O1026" t="s">
        <v>25</v>
      </c>
      <c r="P1026">
        <v>2</v>
      </c>
      <c r="Q1026">
        <v>4</v>
      </c>
      <c r="R1026">
        <v>2003</v>
      </c>
      <c r="S1026" t="s">
        <v>234</v>
      </c>
    </row>
    <row r="1027" spans="1:19" x14ac:dyDescent="0.25">
      <c r="A1027">
        <v>10302</v>
      </c>
      <c r="B1027" t="s">
        <v>289</v>
      </c>
      <c r="C1027" t="s">
        <v>75</v>
      </c>
      <c r="D1027" t="s">
        <v>76</v>
      </c>
      <c r="E1027" t="s">
        <v>77</v>
      </c>
      <c r="F1027" t="s">
        <v>30</v>
      </c>
      <c r="G1027" t="s">
        <v>33</v>
      </c>
      <c r="H1027">
        <v>4</v>
      </c>
      <c r="I1027">
        <v>45</v>
      </c>
      <c r="J1027">
        <v>100</v>
      </c>
      <c r="K1027">
        <v>117</v>
      </c>
      <c r="L1027">
        <v>5548.95</v>
      </c>
      <c r="M1027">
        <v>283.95</v>
      </c>
      <c r="N1027" s="1">
        <v>37900</v>
      </c>
      <c r="O1027" t="s">
        <v>25</v>
      </c>
      <c r="P1027">
        <v>4</v>
      </c>
      <c r="Q1027">
        <v>10</v>
      </c>
      <c r="R1027">
        <v>2003</v>
      </c>
      <c r="S1027" t="s">
        <v>83</v>
      </c>
    </row>
    <row r="1028" spans="1:19" x14ac:dyDescent="0.25">
      <c r="A1028">
        <v>10122</v>
      </c>
      <c r="B1028" t="s">
        <v>290</v>
      </c>
      <c r="C1028" t="s">
        <v>176</v>
      </c>
      <c r="D1028" t="s">
        <v>177</v>
      </c>
      <c r="E1028" t="s">
        <v>29</v>
      </c>
      <c r="F1028" t="s">
        <v>30</v>
      </c>
      <c r="G1028" t="s">
        <v>24</v>
      </c>
      <c r="H1028">
        <v>4</v>
      </c>
      <c r="I1028">
        <v>39</v>
      </c>
      <c r="J1028">
        <v>30.96</v>
      </c>
      <c r="K1028">
        <v>37</v>
      </c>
      <c r="L1028">
        <v>1207.44</v>
      </c>
      <c r="M1028">
        <v>-235.56</v>
      </c>
      <c r="N1028" s="1">
        <v>37749</v>
      </c>
      <c r="O1028" t="s">
        <v>25</v>
      </c>
      <c r="P1028">
        <v>2</v>
      </c>
      <c r="Q1028">
        <v>5</v>
      </c>
      <c r="R1028">
        <v>2003</v>
      </c>
      <c r="S1028" t="s">
        <v>83</v>
      </c>
    </row>
    <row r="1029" spans="1:19" x14ac:dyDescent="0.25">
      <c r="A1029">
        <v>10171</v>
      </c>
      <c r="B1029" t="s">
        <v>290</v>
      </c>
      <c r="C1029" t="s">
        <v>123</v>
      </c>
      <c r="D1029" t="s">
        <v>124</v>
      </c>
      <c r="E1029" t="s">
        <v>99</v>
      </c>
      <c r="F1029" t="s">
        <v>23</v>
      </c>
      <c r="G1029" t="s">
        <v>24</v>
      </c>
      <c r="H1029">
        <v>4</v>
      </c>
      <c r="I1029">
        <v>36</v>
      </c>
      <c r="J1029">
        <v>35.49</v>
      </c>
      <c r="K1029">
        <v>37</v>
      </c>
      <c r="L1029">
        <v>1277.6400000000001</v>
      </c>
      <c r="M1029">
        <v>-54.36</v>
      </c>
      <c r="N1029" s="1">
        <v>37930</v>
      </c>
      <c r="O1029" t="s">
        <v>25</v>
      </c>
      <c r="P1029">
        <v>4</v>
      </c>
      <c r="Q1029">
        <v>11</v>
      </c>
      <c r="R1029">
        <v>2003</v>
      </c>
      <c r="S1029" t="s">
        <v>83</v>
      </c>
    </row>
    <row r="1030" spans="1:19" x14ac:dyDescent="0.25">
      <c r="A1030">
        <v>10310</v>
      </c>
      <c r="B1030" t="s">
        <v>290</v>
      </c>
      <c r="C1030" t="s">
        <v>178</v>
      </c>
      <c r="D1030" t="s">
        <v>179</v>
      </c>
      <c r="E1030" t="s">
        <v>180</v>
      </c>
      <c r="F1030" t="s">
        <v>30</v>
      </c>
      <c r="G1030" t="s">
        <v>24</v>
      </c>
      <c r="H1030">
        <v>4</v>
      </c>
      <c r="I1030">
        <v>33</v>
      </c>
      <c r="J1030">
        <v>41.91</v>
      </c>
      <c r="K1030">
        <v>37</v>
      </c>
      <c r="L1030">
        <v>1383.03</v>
      </c>
      <c r="M1030">
        <v>162.03</v>
      </c>
      <c r="N1030" s="1">
        <v>38276</v>
      </c>
      <c r="O1030" t="s">
        <v>25</v>
      </c>
      <c r="P1030">
        <v>4</v>
      </c>
      <c r="Q1030">
        <v>10</v>
      </c>
      <c r="R1030">
        <v>2004</v>
      </c>
      <c r="S1030" t="s">
        <v>83</v>
      </c>
    </row>
    <row r="1031" spans="1:19" x14ac:dyDescent="0.25">
      <c r="A1031">
        <v>10355</v>
      </c>
      <c r="B1031" t="s">
        <v>290</v>
      </c>
      <c r="C1031" t="s">
        <v>78</v>
      </c>
      <c r="D1031" t="s">
        <v>79</v>
      </c>
      <c r="E1031" t="s">
        <v>80</v>
      </c>
      <c r="F1031" t="s">
        <v>30</v>
      </c>
      <c r="G1031" t="s">
        <v>24</v>
      </c>
      <c r="H1031">
        <v>4</v>
      </c>
      <c r="I1031">
        <v>36</v>
      </c>
      <c r="J1031">
        <v>38.520000000000003</v>
      </c>
      <c r="K1031">
        <v>37</v>
      </c>
      <c r="L1031">
        <v>1386.72</v>
      </c>
      <c r="M1031">
        <v>54.72</v>
      </c>
      <c r="N1031" s="1">
        <v>38328</v>
      </c>
      <c r="O1031" t="s">
        <v>25</v>
      </c>
      <c r="P1031">
        <v>4</v>
      </c>
      <c r="Q1031">
        <v>12</v>
      </c>
      <c r="R1031">
        <v>2004</v>
      </c>
      <c r="S1031" t="s">
        <v>83</v>
      </c>
    </row>
    <row r="1032" spans="1:19" x14ac:dyDescent="0.25">
      <c r="A1032">
        <v>10105</v>
      </c>
      <c r="B1032" t="s">
        <v>291</v>
      </c>
      <c r="C1032" t="s">
        <v>135</v>
      </c>
      <c r="D1032" t="s">
        <v>136</v>
      </c>
      <c r="E1032" t="s">
        <v>137</v>
      </c>
      <c r="F1032" t="s">
        <v>30</v>
      </c>
      <c r="G1032" t="s">
        <v>33</v>
      </c>
      <c r="H1032">
        <v>4</v>
      </c>
      <c r="I1032">
        <v>44</v>
      </c>
      <c r="J1032">
        <v>72.58</v>
      </c>
      <c r="K1032">
        <v>88</v>
      </c>
      <c r="L1032">
        <v>3193.52</v>
      </c>
      <c r="M1032">
        <v>-678.48</v>
      </c>
      <c r="N1032" s="1">
        <v>37663</v>
      </c>
      <c r="O1032" t="s">
        <v>25</v>
      </c>
      <c r="P1032">
        <v>1</v>
      </c>
      <c r="Q1032">
        <v>2</v>
      </c>
      <c r="R1032">
        <v>2003</v>
      </c>
      <c r="S1032" t="s">
        <v>226</v>
      </c>
    </row>
    <row r="1033" spans="1:19" x14ac:dyDescent="0.25">
      <c r="A1033">
        <v>10129</v>
      </c>
      <c r="B1033" t="s">
        <v>291</v>
      </c>
      <c r="C1033" t="s">
        <v>138</v>
      </c>
      <c r="D1033" t="s">
        <v>139</v>
      </c>
      <c r="E1033" t="s">
        <v>77</v>
      </c>
      <c r="F1033" t="s">
        <v>30</v>
      </c>
      <c r="G1033" t="s">
        <v>33</v>
      </c>
      <c r="H1033">
        <v>4</v>
      </c>
      <c r="I1033">
        <v>41</v>
      </c>
      <c r="J1033">
        <v>94.71</v>
      </c>
      <c r="K1033">
        <v>88</v>
      </c>
      <c r="L1033">
        <v>3883.11</v>
      </c>
      <c r="M1033">
        <v>275.11</v>
      </c>
      <c r="N1033" s="1">
        <v>37784</v>
      </c>
      <c r="O1033" t="s">
        <v>25</v>
      </c>
      <c r="P1033">
        <v>2</v>
      </c>
      <c r="Q1033">
        <v>6</v>
      </c>
      <c r="R1033">
        <v>2003</v>
      </c>
      <c r="S1033" t="s">
        <v>226</v>
      </c>
    </row>
    <row r="1034" spans="1:19" x14ac:dyDescent="0.25">
      <c r="A1034">
        <v>10161</v>
      </c>
      <c r="B1034" t="s">
        <v>292</v>
      </c>
      <c r="C1034" t="s">
        <v>199</v>
      </c>
      <c r="D1034" t="s">
        <v>200</v>
      </c>
      <c r="E1034" t="s">
        <v>137</v>
      </c>
      <c r="F1034" t="s">
        <v>30</v>
      </c>
      <c r="G1034" t="s">
        <v>24</v>
      </c>
      <c r="H1034">
        <v>4</v>
      </c>
      <c r="I1034">
        <v>20</v>
      </c>
      <c r="J1034">
        <v>77.05</v>
      </c>
      <c r="K1034">
        <v>85</v>
      </c>
      <c r="L1034">
        <v>1541</v>
      </c>
      <c r="M1034">
        <v>-159</v>
      </c>
      <c r="N1034" s="1">
        <v>37911</v>
      </c>
      <c r="O1034" t="s">
        <v>25</v>
      </c>
      <c r="P1034">
        <v>4</v>
      </c>
      <c r="Q1034">
        <v>10</v>
      </c>
      <c r="R1034">
        <v>2003</v>
      </c>
      <c r="S1034" t="s">
        <v>83</v>
      </c>
    </row>
    <row r="1035" spans="1:19" x14ac:dyDescent="0.25">
      <c r="A1035">
        <v>10267</v>
      </c>
      <c r="B1035" t="s">
        <v>292</v>
      </c>
      <c r="C1035" t="s">
        <v>192</v>
      </c>
      <c r="D1035" t="s">
        <v>21</v>
      </c>
      <c r="E1035" t="s">
        <v>22</v>
      </c>
      <c r="F1035" t="s">
        <v>23</v>
      </c>
      <c r="G1035" t="s">
        <v>33</v>
      </c>
      <c r="H1035">
        <v>4</v>
      </c>
      <c r="I1035">
        <v>44</v>
      </c>
      <c r="J1035">
        <v>96.74</v>
      </c>
      <c r="K1035">
        <v>85</v>
      </c>
      <c r="L1035">
        <v>4256.5600000000004</v>
      </c>
      <c r="M1035">
        <v>516.55999999999995</v>
      </c>
      <c r="N1035" s="1">
        <v>38175</v>
      </c>
      <c r="O1035" t="s">
        <v>25</v>
      </c>
      <c r="P1035">
        <v>3</v>
      </c>
      <c r="Q1035">
        <v>7</v>
      </c>
      <c r="R1035">
        <v>2004</v>
      </c>
      <c r="S1035" t="s">
        <v>83</v>
      </c>
    </row>
    <row r="1036" spans="1:19" x14ac:dyDescent="0.25">
      <c r="A1036">
        <v>10279</v>
      </c>
      <c r="B1036" t="s">
        <v>292</v>
      </c>
      <c r="C1036" t="s">
        <v>78</v>
      </c>
      <c r="D1036" t="s">
        <v>79</v>
      </c>
      <c r="E1036" t="s">
        <v>80</v>
      </c>
      <c r="F1036" t="s">
        <v>30</v>
      </c>
      <c r="G1036" t="s">
        <v>24</v>
      </c>
      <c r="H1036">
        <v>4</v>
      </c>
      <c r="I1036">
        <v>33</v>
      </c>
      <c r="J1036">
        <v>71.06</v>
      </c>
      <c r="K1036">
        <v>85</v>
      </c>
      <c r="L1036">
        <v>2344.98</v>
      </c>
      <c r="M1036">
        <v>-460.02</v>
      </c>
      <c r="N1036" s="1">
        <v>38208</v>
      </c>
      <c r="O1036" t="s">
        <v>25</v>
      </c>
      <c r="P1036">
        <v>3</v>
      </c>
      <c r="Q1036">
        <v>8</v>
      </c>
      <c r="R1036">
        <v>2004</v>
      </c>
      <c r="S1036" t="s">
        <v>83</v>
      </c>
    </row>
    <row r="1037" spans="1:19" x14ac:dyDescent="0.25">
      <c r="A1037">
        <v>10300</v>
      </c>
      <c r="B1037" t="s">
        <v>293</v>
      </c>
      <c r="C1037" t="s">
        <v>187</v>
      </c>
      <c r="D1037" t="s">
        <v>188</v>
      </c>
      <c r="E1037" t="s">
        <v>180</v>
      </c>
      <c r="F1037" t="s">
        <v>30</v>
      </c>
      <c r="G1037" t="s">
        <v>24</v>
      </c>
      <c r="H1037">
        <v>4</v>
      </c>
      <c r="I1037">
        <v>31</v>
      </c>
      <c r="J1037">
        <v>58.78</v>
      </c>
      <c r="K1037">
        <v>61</v>
      </c>
      <c r="L1037">
        <v>1822.18</v>
      </c>
      <c r="M1037">
        <v>-68.819999999999993</v>
      </c>
      <c r="N1037" s="1">
        <v>37898</v>
      </c>
      <c r="O1037" t="s">
        <v>25</v>
      </c>
      <c r="P1037">
        <v>4</v>
      </c>
      <c r="Q1037">
        <v>10</v>
      </c>
      <c r="R1037">
        <v>2003</v>
      </c>
      <c r="S1037" t="s">
        <v>83</v>
      </c>
    </row>
    <row r="1038" spans="1:19" x14ac:dyDescent="0.25">
      <c r="A1038">
        <v>10351</v>
      </c>
      <c r="B1038" t="s">
        <v>294</v>
      </c>
      <c r="C1038" t="s">
        <v>138</v>
      </c>
      <c r="D1038" t="s">
        <v>139</v>
      </c>
      <c r="E1038" t="s">
        <v>77</v>
      </c>
      <c r="F1038" t="s">
        <v>30</v>
      </c>
      <c r="G1038" t="s">
        <v>24</v>
      </c>
      <c r="H1038">
        <v>4</v>
      </c>
      <c r="I1038">
        <v>38</v>
      </c>
      <c r="J1038">
        <v>68.38</v>
      </c>
      <c r="K1038">
        <v>65</v>
      </c>
      <c r="L1038">
        <v>2598.44</v>
      </c>
      <c r="M1038">
        <v>128.44</v>
      </c>
      <c r="N1038" s="1">
        <v>38324</v>
      </c>
      <c r="O1038" t="s">
        <v>25</v>
      </c>
      <c r="P1038">
        <v>4</v>
      </c>
      <c r="Q1038">
        <v>12</v>
      </c>
      <c r="R1038">
        <v>2004</v>
      </c>
      <c r="S1038" t="s">
        <v>226</v>
      </c>
    </row>
    <row r="1039" spans="1:19" x14ac:dyDescent="0.25">
      <c r="A1039">
        <v>10172</v>
      </c>
      <c r="B1039" t="s">
        <v>295</v>
      </c>
      <c r="C1039" t="s">
        <v>54</v>
      </c>
      <c r="D1039" t="s">
        <v>55</v>
      </c>
      <c r="E1039" t="s">
        <v>22</v>
      </c>
      <c r="F1039" t="s">
        <v>23</v>
      </c>
      <c r="G1039" t="s">
        <v>24</v>
      </c>
      <c r="H1039">
        <v>4</v>
      </c>
      <c r="I1039">
        <v>22</v>
      </c>
      <c r="J1039">
        <v>98.51</v>
      </c>
      <c r="K1039">
        <v>107</v>
      </c>
      <c r="L1039">
        <v>2167.2199999999998</v>
      </c>
      <c r="M1039">
        <v>-186.78</v>
      </c>
      <c r="N1039" s="1">
        <v>37930</v>
      </c>
      <c r="O1039" t="s">
        <v>25</v>
      </c>
      <c r="P1039">
        <v>4</v>
      </c>
      <c r="Q1039">
        <v>11</v>
      </c>
      <c r="R1039">
        <v>2003</v>
      </c>
      <c r="S1039" t="s">
        <v>83</v>
      </c>
    </row>
    <row r="1040" spans="1:19" x14ac:dyDescent="0.25">
      <c r="A1040">
        <v>10212</v>
      </c>
      <c r="B1040" t="s">
        <v>295</v>
      </c>
      <c r="C1040" t="s">
        <v>78</v>
      </c>
      <c r="D1040" t="s">
        <v>79</v>
      </c>
      <c r="E1040" t="s">
        <v>80</v>
      </c>
      <c r="F1040" t="s">
        <v>30</v>
      </c>
      <c r="G1040" t="s">
        <v>33</v>
      </c>
      <c r="H1040">
        <v>4</v>
      </c>
      <c r="I1040">
        <v>46</v>
      </c>
      <c r="J1040">
        <v>87.81</v>
      </c>
      <c r="K1040">
        <v>107</v>
      </c>
      <c r="L1040">
        <v>4039.26</v>
      </c>
      <c r="M1040">
        <v>-882.74</v>
      </c>
      <c r="N1040" s="1">
        <v>38002</v>
      </c>
      <c r="O1040" t="s">
        <v>25</v>
      </c>
      <c r="P1040">
        <v>1</v>
      </c>
      <c r="Q1040">
        <v>1</v>
      </c>
      <c r="R1040">
        <v>2004</v>
      </c>
      <c r="S1040" t="s">
        <v>83</v>
      </c>
    </row>
    <row r="1041" spans="1:19" x14ac:dyDescent="0.25">
      <c r="A1041">
        <v>10321</v>
      </c>
      <c r="B1041" t="s">
        <v>295</v>
      </c>
      <c r="C1041" t="s">
        <v>73</v>
      </c>
      <c r="D1041" t="s">
        <v>74</v>
      </c>
      <c r="E1041" t="s">
        <v>22</v>
      </c>
      <c r="F1041" t="s">
        <v>23</v>
      </c>
      <c r="G1041" t="s">
        <v>24</v>
      </c>
      <c r="H1041">
        <v>4</v>
      </c>
      <c r="I1041">
        <v>21</v>
      </c>
      <c r="J1041">
        <v>89.95</v>
      </c>
      <c r="K1041">
        <v>107</v>
      </c>
      <c r="L1041">
        <v>1888.95</v>
      </c>
      <c r="M1041">
        <v>-358.05</v>
      </c>
      <c r="N1041" s="1">
        <v>38295</v>
      </c>
      <c r="O1041" t="s">
        <v>25</v>
      </c>
      <c r="P1041">
        <v>4</v>
      </c>
      <c r="Q1041">
        <v>11</v>
      </c>
      <c r="R1041">
        <v>2004</v>
      </c>
      <c r="S1041" t="s">
        <v>83</v>
      </c>
    </row>
    <row r="1042" spans="1:19" x14ac:dyDescent="0.25">
      <c r="A1042">
        <v>10368</v>
      </c>
      <c r="B1042" t="s">
        <v>295</v>
      </c>
      <c r="C1042" t="s">
        <v>115</v>
      </c>
      <c r="D1042" t="s">
        <v>116</v>
      </c>
      <c r="E1042" t="s">
        <v>22</v>
      </c>
      <c r="F1042" t="s">
        <v>23</v>
      </c>
      <c r="G1042" t="s">
        <v>24</v>
      </c>
      <c r="H1042">
        <v>4</v>
      </c>
      <c r="I1042">
        <v>20</v>
      </c>
      <c r="J1042">
        <v>99.58</v>
      </c>
      <c r="K1042">
        <v>107</v>
      </c>
      <c r="L1042">
        <v>1991.6</v>
      </c>
      <c r="M1042">
        <v>-148.4</v>
      </c>
      <c r="N1042" s="1">
        <v>38371</v>
      </c>
      <c r="O1042" t="s">
        <v>25</v>
      </c>
      <c r="P1042">
        <v>1</v>
      </c>
      <c r="Q1042">
        <v>1</v>
      </c>
      <c r="R1042">
        <v>2005</v>
      </c>
      <c r="S1042" t="s">
        <v>83</v>
      </c>
    </row>
    <row r="1043" spans="1:19" x14ac:dyDescent="0.25">
      <c r="A1043">
        <v>10225</v>
      </c>
      <c r="B1043" t="s">
        <v>297</v>
      </c>
      <c r="C1043" t="s">
        <v>181</v>
      </c>
      <c r="D1043" t="s">
        <v>182</v>
      </c>
      <c r="E1043" t="s">
        <v>183</v>
      </c>
      <c r="F1043" t="s">
        <v>30</v>
      </c>
      <c r="G1043" t="s">
        <v>33</v>
      </c>
      <c r="H1043">
        <v>4</v>
      </c>
      <c r="I1043">
        <v>40</v>
      </c>
      <c r="J1043">
        <v>100</v>
      </c>
      <c r="K1043">
        <v>140</v>
      </c>
      <c r="L1043">
        <v>4550</v>
      </c>
      <c r="M1043">
        <v>-1050</v>
      </c>
      <c r="N1043" s="1">
        <v>38039</v>
      </c>
      <c r="O1043" t="s">
        <v>25</v>
      </c>
      <c r="P1043">
        <v>1</v>
      </c>
      <c r="Q1043">
        <v>2</v>
      </c>
      <c r="R1043">
        <v>2004</v>
      </c>
      <c r="S1043" t="s">
        <v>83</v>
      </c>
    </row>
    <row r="1044" spans="1:19" x14ac:dyDescent="0.25">
      <c r="A1044">
        <v>10155</v>
      </c>
      <c r="B1044" t="s">
        <v>298</v>
      </c>
      <c r="C1044" t="s">
        <v>60</v>
      </c>
      <c r="D1044" t="s">
        <v>61</v>
      </c>
      <c r="E1044" t="s">
        <v>62</v>
      </c>
      <c r="F1044" t="s">
        <v>30</v>
      </c>
      <c r="G1044" t="s">
        <v>33</v>
      </c>
      <c r="H1044">
        <v>4</v>
      </c>
      <c r="I1044">
        <v>44</v>
      </c>
      <c r="J1044">
        <v>77.11</v>
      </c>
      <c r="K1044">
        <v>68</v>
      </c>
      <c r="L1044">
        <v>3392.84</v>
      </c>
      <c r="M1044">
        <v>400.84</v>
      </c>
      <c r="N1044" s="1">
        <v>37900</v>
      </c>
      <c r="O1044" t="s">
        <v>25</v>
      </c>
      <c r="P1044">
        <v>4</v>
      </c>
      <c r="Q1044">
        <v>10</v>
      </c>
      <c r="R1044">
        <v>2003</v>
      </c>
      <c r="S1044" t="s">
        <v>234</v>
      </c>
    </row>
    <row r="1045" spans="1:19" x14ac:dyDescent="0.25">
      <c r="A1045">
        <v>10124</v>
      </c>
      <c r="B1045" t="s">
        <v>299</v>
      </c>
      <c r="C1045" t="s">
        <v>221</v>
      </c>
      <c r="D1045" t="s">
        <v>222</v>
      </c>
      <c r="E1045" t="s">
        <v>22</v>
      </c>
      <c r="F1045" t="s">
        <v>23</v>
      </c>
      <c r="G1045" t="s">
        <v>24</v>
      </c>
      <c r="H1045">
        <v>4</v>
      </c>
      <c r="I1045">
        <v>46</v>
      </c>
      <c r="J1045">
        <v>33.229999999999997</v>
      </c>
      <c r="K1045">
        <v>41</v>
      </c>
      <c r="L1045">
        <v>1528.58</v>
      </c>
      <c r="M1045">
        <v>-357.42</v>
      </c>
      <c r="N1045" s="1">
        <v>37762</v>
      </c>
      <c r="O1045" t="s">
        <v>25</v>
      </c>
      <c r="P1045">
        <v>2</v>
      </c>
      <c r="Q1045">
        <v>5</v>
      </c>
      <c r="R1045">
        <v>2003</v>
      </c>
      <c r="S1045" t="s">
        <v>226</v>
      </c>
    </row>
    <row r="1046" spans="1:19" x14ac:dyDescent="0.25">
      <c r="A1046">
        <v>10346</v>
      </c>
      <c r="B1046" t="s">
        <v>299</v>
      </c>
      <c r="C1046" t="s">
        <v>221</v>
      </c>
      <c r="D1046" t="s">
        <v>222</v>
      </c>
      <c r="E1046" t="s">
        <v>22</v>
      </c>
      <c r="F1046" t="s">
        <v>23</v>
      </c>
      <c r="G1046" t="s">
        <v>24</v>
      </c>
      <c r="H1046">
        <v>4</v>
      </c>
      <c r="I1046">
        <v>22</v>
      </c>
      <c r="J1046">
        <v>97.44</v>
      </c>
      <c r="K1046">
        <v>41</v>
      </c>
      <c r="L1046">
        <v>2143.6799999999998</v>
      </c>
      <c r="M1046">
        <v>1241.68</v>
      </c>
      <c r="N1046" s="1">
        <v>38320</v>
      </c>
      <c r="O1046" t="s">
        <v>25</v>
      </c>
      <c r="P1046">
        <v>4</v>
      </c>
      <c r="Q1046">
        <v>11</v>
      </c>
      <c r="R1046">
        <v>2004</v>
      </c>
      <c r="S1046" t="s">
        <v>226</v>
      </c>
    </row>
    <row r="1047" spans="1:19" x14ac:dyDescent="0.25">
      <c r="A1047">
        <v>10292</v>
      </c>
      <c r="B1047" t="s">
        <v>300</v>
      </c>
      <c r="C1047" t="s">
        <v>20</v>
      </c>
      <c r="D1047" t="s">
        <v>21</v>
      </c>
      <c r="E1047" t="s">
        <v>22</v>
      </c>
      <c r="F1047" t="s">
        <v>23</v>
      </c>
      <c r="G1047" t="s">
        <v>33</v>
      </c>
      <c r="H1047">
        <v>4</v>
      </c>
      <c r="I1047">
        <v>27</v>
      </c>
      <c r="J1047">
        <v>100</v>
      </c>
      <c r="K1047">
        <v>118</v>
      </c>
      <c r="L1047">
        <v>3832.38</v>
      </c>
      <c r="M1047">
        <v>646.38</v>
      </c>
      <c r="N1047" s="1">
        <v>38238</v>
      </c>
      <c r="O1047" t="s">
        <v>25</v>
      </c>
      <c r="P1047">
        <v>3</v>
      </c>
      <c r="Q1047">
        <v>9</v>
      </c>
      <c r="R1047">
        <v>2004</v>
      </c>
      <c r="S1047" t="s">
        <v>83</v>
      </c>
    </row>
    <row r="1048" spans="1:19" x14ac:dyDescent="0.25">
      <c r="A1048">
        <v>10383</v>
      </c>
      <c r="B1048" t="s">
        <v>300</v>
      </c>
      <c r="C1048" t="s">
        <v>78</v>
      </c>
      <c r="D1048" t="s">
        <v>79</v>
      </c>
      <c r="E1048" t="s">
        <v>80</v>
      </c>
      <c r="F1048" t="s">
        <v>30</v>
      </c>
      <c r="G1048" t="s">
        <v>24</v>
      </c>
      <c r="H1048">
        <v>4</v>
      </c>
      <c r="I1048">
        <v>21</v>
      </c>
      <c r="J1048">
        <v>93.91</v>
      </c>
      <c r="K1048">
        <v>118</v>
      </c>
      <c r="L1048">
        <v>1972.11</v>
      </c>
      <c r="M1048">
        <v>-505.89</v>
      </c>
      <c r="N1048" s="1">
        <v>38405</v>
      </c>
      <c r="O1048" t="s">
        <v>25</v>
      </c>
      <c r="P1048">
        <v>1</v>
      </c>
      <c r="Q1048">
        <v>2</v>
      </c>
      <c r="R1048">
        <v>2005</v>
      </c>
      <c r="S1048" t="s">
        <v>83</v>
      </c>
    </row>
    <row r="1049" spans="1:19" x14ac:dyDescent="0.25">
      <c r="A1049">
        <v>10139</v>
      </c>
      <c r="B1049" t="s">
        <v>301</v>
      </c>
      <c r="C1049" t="s">
        <v>71</v>
      </c>
      <c r="D1049" t="s">
        <v>72</v>
      </c>
      <c r="E1049" t="s">
        <v>49</v>
      </c>
      <c r="F1049" t="s">
        <v>50</v>
      </c>
      <c r="G1049" t="s">
        <v>33</v>
      </c>
      <c r="H1049">
        <v>4</v>
      </c>
      <c r="I1049">
        <v>29</v>
      </c>
      <c r="J1049">
        <v>100</v>
      </c>
      <c r="K1049">
        <v>97</v>
      </c>
      <c r="L1049">
        <v>3276.13</v>
      </c>
      <c r="M1049">
        <v>463.13</v>
      </c>
      <c r="N1049" s="1">
        <v>37818</v>
      </c>
      <c r="O1049" t="s">
        <v>25</v>
      </c>
      <c r="P1049">
        <v>3</v>
      </c>
      <c r="Q1049">
        <v>7</v>
      </c>
      <c r="R1049">
        <v>2003</v>
      </c>
      <c r="S1049" t="s">
        <v>226</v>
      </c>
    </row>
    <row r="1050" spans="1:19" x14ac:dyDescent="0.25">
      <c r="A1050">
        <v>10193</v>
      </c>
      <c r="B1050" t="s">
        <v>301</v>
      </c>
      <c r="C1050" t="s">
        <v>229</v>
      </c>
      <c r="D1050" t="s">
        <v>230</v>
      </c>
      <c r="E1050" t="s">
        <v>49</v>
      </c>
      <c r="F1050" t="s">
        <v>50</v>
      </c>
      <c r="G1050" t="s">
        <v>24</v>
      </c>
      <c r="H1050">
        <v>4</v>
      </c>
      <c r="I1050">
        <v>20</v>
      </c>
      <c r="J1050">
        <v>100</v>
      </c>
      <c r="K1050">
        <v>97</v>
      </c>
      <c r="L1050">
        <v>2279</v>
      </c>
      <c r="M1050">
        <v>339</v>
      </c>
      <c r="N1050" s="1">
        <v>37946</v>
      </c>
      <c r="O1050" t="s">
        <v>25</v>
      </c>
      <c r="P1050">
        <v>4</v>
      </c>
      <c r="Q1050">
        <v>11</v>
      </c>
      <c r="R1050">
        <v>2003</v>
      </c>
      <c r="S1050" t="s">
        <v>226</v>
      </c>
    </row>
    <row r="1051" spans="1:19" x14ac:dyDescent="0.25">
      <c r="A1051">
        <v>10244</v>
      </c>
      <c r="B1051" t="s">
        <v>301</v>
      </c>
      <c r="C1051" t="s">
        <v>78</v>
      </c>
      <c r="D1051" t="s">
        <v>79</v>
      </c>
      <c r="E1051" t="s">
        <v>80</v>
      </c>
      <c r="F1051" t="s">
        <v>30</v>
      </c>
      <c r="G1051" t="s">
        <v>33</v>
      </c>
      <c r="H1051">
        <v>4</v>
      </c>
      <c r="I1051">
        <v>40</v>
      </c>
      <c r="J1051">
        <v>86.68</v>
      </c>
      <c r="K1051">
        <v>97</v>
      </c>
      <c r="L1051">
        <v>3467.2</v>
      </c>
      <c r="M1051">
        <v>-412.8</v>
      </c>
      <c r="N1051" s="1">
        <v>38106</v>
      </c>
      <c r="O1051" t="s">
        <v>25</v>
      </c>
      <c r="P1051">
        <v>2</v>
      </c>
      <c r="Q1051">
        <v>4</v>
      </c>
      <c r="R1051">
        <v>2004</v>
      </c>
      <c r="S1051" t="s">
        <v>226</v>
      </c>
    </row>
    <row r="1052" spans="1:19" x14ac:dyDescent="0.25">
      <c r="A1052">
        <v>10257</v>
      </c>
      <c r="B1052" t="s">
        <v>301</v>
      </c>
      <c r="C1052" t="s">
        <v>162</v>
      </c>
      <c r="D1052" t="s">
        <v>163</v>
      </c>
      <c r="E1052" t="s">
        <v>22</v>
      </c>
      <c r="F1052" t="s">
        <v>23</v>
      </c>
      <c r="G1052" t="s">
        <v>33</v>
      </c>
      <c r="H1052">
        <v>4</v>
      </c>
      <c r="I1052">
        <v>46</v>
      </c>
      <c r="J1052">
        <v>78.89</v>
      </c>
      <c r="K1052">
        <v>97</v>
      </c>
      <c r="L1052">
        <v>3628.94</v>
      </c>
      <c r="M1052">
        <v>-833.06</v>
      </c>
      <c r="N1052" s="1">
        <v>38152</v>
      </c>
      <c r="O1052" t="s">
        <v>25</v>
      </c>
      <c r="P1052">
        <v>2</v>
      </c>
      <c r="Q1052">
        <v>6</v>
      </c>
      <c r="R1052">
        <v>2004</v>
      </c>
      <c r="S1052" t="s">
        <v>226</v>
      </c>
    </row>
    <row r="1053" spans="1:19" x14ac:dyDescent="0.25">
      <c r="A1053">
        <v>10382</v>
      </c>
      <c r="B1053" t="s">
        <v>301</v>
      </c>
      <c r="C1053" t="s">
        <v>115</v>
      </c>
      <c r="D1053" t="s">
        <v>116</v>
      </c>
      <c r="E1053" t="s">
        <v>22</v>
      </c>
      <c r="F1053" t="s">
        <v>23</v>
      </c>
      <c r="G1053" t="s">
        <v>33</v>
      </c>
      <c r="H1053">
        <v>4</v>
      </c>
      <c r="I1053">
        <v>33</v>
      </c>
      <c r="J1053">
        <v>100</v>
      </c>
      <c r="K1053">
        <v>97</v>
      </c>
      <c r="L1053">
        <v>4592.6099999999997</v>
      </c>
      <c r="M1053">
        <v>1391.61</v>
      </c>
      <c r="N1053" s="1">
        <v>38400</v>
      </c>
      <c r="O1053" t="s">
        <v>25</v>
      </c>
      <c r="P1053">
        <v>1</v>
      </c>
      <c r="Q1053">
        <v>2</v>
      </c>
      <c r="R1053">
        <v>2005</v>
      </c>
      <c r="S1053" t="s">
        <v>226</v>
      </c>
    </row>
    <row r="1054" spans="1:19" x14ac:dyDescent="0.25">
      <c r="A1054">
        <v>10423</v>
      </c>
      <c r="B1054" t="s">
        <v>301</v>
      </c>
      <c r="C1054" t="s">
        <v>151</v>
      </c>
      <c r="D1054" t="s">
        <v>152</v>
      </c>
      <c r="E1054" t="s">
        <v>153</v>
      </c>
      <c r="F1054" t="s">
        <v>30</v>
      </c>
      <c r="G1054" t="s">
        <v>24</v>
      </c>
      <c r="H1054">
        <v>4</v>
      </c>
      <c r="I1054">
        <v>28</v>
      </c>
      <c r="J1054">
        <v>78.89</v>
      </c>
      <c r="K1054">
        <v>97</v>
      </c>
      <c r="L1054">
        <v>2208.92</v>
      </c>
      <c r="M1054">
        <v>-507.08</v>
      </c>
      <c r="N1054" s="1">
        <v>38502</v>
      </c>
      <c r="O1054" t="s">
        <v>125</v>
      </c>
      <c r="P1054">
        <v>2</v>
      </c>
      <c r="Q1054">
        <v>5</v>
      </c>
      <c r="R1054">
        <v>2005</v>
      </c>
      <c r="S1054" t="s">
        <v>226</v>
      </c>
    </row>
    <row r="1055" spans="1:19" x14ac:dyDescent="0.25">
      <c r="A1055">
        <v>10133</v>
      </c>
      <c r="B1055" t="s">
        <v>302</v>
      </c>
      <c r="C1055" t="s">
        <v>78</v>
      </c>
      <c r="D1055" t="s">
        <v>79</v>
      </c>
      <c r="E1055" t="s">
        <v>80</v>
      </c>
      <c r="F1055" t="s">
        <v>30</v>
      </c>
      <c r="G1055" t="s">
        <v>33</v>
      </c>
      <c r="H1055">
        <v>4</v>
      </c>
      <c r="I1055">
        <v>46</v>
      </c>
      <c r="J1055">
        <v>77.52</v>
      </c>
      <c r="K1055">
        <v>72</v>
      </c>
      <c r="L1055">
        <v>3565.92</v>
      </c>
      <c r="M1055">
        <v>253.92</v>
      </c>
      <c r="N1055" s="1">
        <v>37799</v>
      </c>
      <c r="O1055" t="s">
        <v>25</v>
      </c>
      <c r="P1055">
        <v>2</v>
      </c>
      <c r="Q1055">
        <v>6</v>
      </c>
      <c r="R1055">
        <v>2003</v>
      </c>
      <c r="S1055" t="s">
        <v>234</v>
      </c>
    </row>
    <row r="1056" spans="1:19" x14ac:dyDescent="0.25">
      <c r="A1056">
        <v>10235</v>
      </c>
      <c r="B1056" t="s">
        <v>302</v>
      </c>
      <c r="C1056" t="s">
        <v>154</v>
      </c>
      <c r="D1056" t="s">
        <v>155</v>
      </c>
      <c r="E1056" t="s">
        <v>99</v>
      </c>
      <c r="F1056" t="s">
        <v>23</v>
      </c>
      <c r="G1056" t="s">
        <v>33</v>
      </c>
      <c r="H1056">
        <v>4</v>
      </c>
      <c r="I1056">
        <v>40</v>
      </c>
      <c r="J1056">
        <v>81.14</v>
      </c>
      <c r="K1056">
        <v>72</v>
      </c>
      <c r="L1056">
        <v>3245.6</v>
      </c>
      <c r="M1056">
        <v>365.6</v>
      </c>
      <c r="N1056" s="1">
        <v>38079</v>
      </c>
      <c r="O1056" t="s">
        <v>25</v>
      </c>
      <c r="P1056">
        <v>2</v>
      </c>
      <c r="Q1056">
        <v>4</v>
      </c>
      <c r="R1056">
        <v>2004</v>
      </c>
      <c r="S1056" t="s">
        <v>234</v>
      </c>
    </row>
    <row r="1057" spans="1:19" x14ac:dyDescent="0.25">
      <c r="A1057">
        <v>10328</v>
      </c>
      <c r="B1057" t="s">
        <v>302</v>
      </c>
      <c r="C1057" t="s">
        <v>227</v>
      </c>
      <c r="D1057" t="s">
        <v>228</v>
      </c>
      <c r="E1057" t="s">
        <v>110</v>
      </c>
      <c r="F1057" t="s">
        <v>30</v>
      </c>
      <c r="G1057" t="s">
        <v>24</v>
      </c>
      <c r="H1057">
        <v>4</v>
      </c>
      <c r="I1057">
        <v>43</v>
      </c>
      <c r="J1057">
        <v>60.86</v>
      </c>
      <c r="K1057">
        <v>72</v>
      </c>
      <c r="L1057">
        <v>2616.98</v>
      </c>
      <c r="M1057">
        <v>-479.02</v>
      </c>
      <c r="N1057" s="1">
        <v>38303</v>
      </c>
      <c r="O1057" t="s">
        <v>25</v>
      </c>
      <c r="P1057">
        <v>4</v>
      </c>
      <c r="Q1057">
        <v>11</v>
      </c>
      <c r="R1057">
        <v>2004</v>
      </c>
      <c r="S1057" t="s">
        <v>234</v>
      </c>
    </row>
    <row r="1058" spans="1:19" x14ac:dyDescent="0.25">
      <c r="A1058">
        <v>10401</v>
      </c>
      <c r="B1058" t="s">
        <v>302</v>
      </c>
      <c r="C1058" t="s">
        <v>52</v>
      </c>
      <c r="D1058" t="s">
        <v>53</v>
      </c>
      <c r="E1058" t="s">
        <v>22</v>
      </c>
      <c r="F1058" t="s">
        <v>23</v>
      </c>
      <c r="G1058" t="s">
        <v>33</v>
      </c>
      <c r="H1058">
        <v>4</v>
      </c>
      <c r="I1058">
        <v>52</v>
      </c>
      <c r="J1058">
        <v>81.14</v>
      </c>
      <c r="K1058">
        <v>72</v>
      </c>
      <c r="L1058">
        <v>4219.28</v>
      </c>
      <c r="M1058">
        <v>475.28</v>
      </c>
      <c r="N1058" s="1">
        <v>38445</v>
      </c>
      <c r="O1058" t="s">
        <v>164</v>
      </c>
      <c r="P1058">
        <v>2</v>
      </c>
      <c r="Q1058">
        <v>4</v>
      </c>
      <c r="R1058">
        <v>2005</v>
      </c>
      <c r="S1058" t="s">
        <v>234</v>
      </c>
    </row>
    <row r="1059" spans="1:19" x14ac:dyDescent="0.25">
      <c r="A1059">
        <v>10180</v>
      </c>
      <c r="B1059" t="s">
        <v>306</v>
      </c>
      <c r="C1059" t="s">
        <v>40</v>
      </c>
      <c r="D1059" t="s">
        <v>41</v>
      </c>
      <c r="E1059" t="s">
        <v>29</v>
      </c>
      <c r="F1059" t="s">
        <v>30</v>
      </c>
      <c r="G1059" t="s">
        <v>24</v>
      </c>
      <c r="H1059">
        <v>4</v>
      </c>
      <c r="I1059">
        <v>34</v>
      </c>
      <c r="J1059">
        <v>45.46</v>
      </c>
      <c r="K1059">
        <v>40</v>
      </c>
      <c r="L1059">
        <v>1545.64</v>
      </c>
      <c r="M1059">
        <v>185.64</v>
      </c>
      <c r="N1059" s="1">
        <v>37936</v>
      </c>
      <c r="O1059" t="s">
        <v>25</v>
      </c>
      <c r="P1059">
        <v>4</v>
      </c>
      <c r="Q1059">
        <v>11</v>
      </c>
      <c r="R1059">
        <v>2003</v>
      </c>
      <c r="S1059" t="s">
        <v>26</v>
      </c>
    </row>
    <row r="1060" spans="1:19" x14ac:dyDescent="0.25">
      <c r="A1060">
        <v>10264</v>
      </c>
      <c r="B1060" t="s">
        <v>306</v>
      </c>
      <c r="C1060" t="s">
        <v>156</v>
      </c>
      <c r="D1060" t="s">
        <v>157</v>
      </c>
      <c r="E1060" t="s">
        <v>22</v>
      </c>
      <c r="F1060" t="s">
        <v>23</v>
      </c>
      <c r="G1060" t="s">
        <v>24</v>
      </c>
      <c r="H1060">
        <v>4</v>
      </c>
      <c r="I1060">
        <v>20</v>
      </c>
      <c r="J1060">
        <v>32.590000000000003</v>
      </c>
      <c r="K1060">
        <v>40</v>
      </c>
      <c r="L1060">
        <v>651.79999999999995</v>
      </c>
      <c r="M1060">
        <v>-148.19999999999999</v>
      </c>
      <c r="N1060" s="1">
        <v>38168</v>
      </c>
      <c r="O1060" t="s">
        <v>25</v>
      </c>
      <c r="P1060">
        <v>2</v>
      </c>
      <c r="Q1060">
        <v>6</v>
      </c>
      <c r="R1060">
        <v>2004</v>
      </c>
      <c r="S1060" t="s">
        <v>26</v>
      </c>
    </row>
    <row r="1061" spans="1:19" x14ac:dyDescent="0.25">
      <c r="A1061">
        <v>10299</v>
      </c>
      <c r="B1061" t="s">
        <v>306</v>
      </c>
      <c r="C1061" t="s">
        <v>60</v>
      </c>
      <c r="D1061" t="s">
        <v>61</v>
      </c>
      <c r="E1061" t="s">
        <v>62</v>
      </c>
      <c r="F1061" t="s">
        <v>30</v>
      </c>
      <c r="G1061" t="s">
        <v>24</v>
      </c>
      <c r="H1061">
        <v>4</v>
      </c>
      <c r="I1061">
        <v>24</v>
      </c>
      <c r="J1061">
        <v>42.24</v>
      </c>
      <c r="K1061">
        <v>40</v>
      </c>
      <c r="L1061">
        <v>1013.76</v>
      </c>
      <c r="M1061">
        <v>53.76</v>
      </c>
      <c r="N1061" s="1">
        <v>38260</v>
      </c>
      <c r="O1061" t="s">
        <v>25</v>
      </c>
      <c r="P1061">
        <v>3</v>
      </c>
      <c r="Q1061">
        <v>9</v>
      </c>
      <c r="R1061">
        <v>2004</v>
      </c>
      <c r="S1061" t="s">
        <v>26</v>
      </c>
    </row>
    <row r="1062" spans="1:19" x14ac:dyDescent="0.25">
      <c r="A1062">
        <v>10219</v>
      </c>
      <c r="B1062" t="s">
        <v>307</v>
      </c>
      <c r="C1062" t="s">
        <v>214</v>
      </c>
      <c r="D1062" t="s">
        <v>215</v>
      </c>
      <c r="E1062" t="s">
        <v>22</v>
      </c>
      <c r="F1062" t="s">
        <v>23</v>
      </c>
      <c r="G1062" t="s">
        <v>24</v>
      </c>
      <c r="H1062">
        <v>4</v>
      </c>
      <c r="I1062">
        <v>35</v>
      </c>
      <c r="J1062">
        <v>55.19</v>
      </c>
      <c r="K1062">
        <v>54</v>
      </c>
      <c r="L1062">
        <v>1931.65</v>
      </c>
      <c r="M1062">
        <v>41.65</v>
      </c>
      <c r="N1062" s="1">
        <v>38027</v>
      </c>
      <c r="O1062" t="s">
        <v>25</v>
      </c>
      <c r="P1062">
        <v>1</v>
      </c>
      <c r="Q1062">
        <v>2</v>
      </c>
      <c r="R1062">
        <v>2004</v>
      </c>
      <c r="S1062" t="s">
        <v>202</v>
      </c>
    </row>
    <row r="1063" spans="1:19" x14ac:dyDescent="0.25">
      <c r="A1063">
        <v>10104</v>
      </c>
      <c r="B1063" t="s">
        <v>308</v>
      </c>
      <c r="C1063" t="s">
        <v>78</v>
      </c>
      <c r="D1063" t="s">
        <v>79</v>
      </c>
      <c r="E1063" t="s">
        <v>80</v>
      </c>
      <c r="F1063" t="s">
        <v>30</v>
      </c>
      <c r="G1063" t="s">
        <v>33</v>
      </c>
      <c r="H1063">
        <v>4</v>
      </c>
      <c r="I1063">
        <v>49</v>
      </c>
      <c r="J1063">
        <v>65.87</v>
      </c>
      <c r="K1063">
        <v>62</v>
      </c>
      <c r="L1063">
        <v>3227.63</v>
      </c>
      <c r="M1063">
        <v>189.63</v>
      </c>
      <c r="N1063" s="1">
        <v>37652</v>
      </c>
      <c r="O1063" t="s">
        <v>25</v>
      </c>
      <c r="P1063">
        <v>1</v>
      </c>
      <c r="Q1063">
        <v>1</v>
      </c>
      <c r="R1063">
        <v>2003</v>
      </c>
      <c r="S1063" t="s">
        <v>261</v>
      </c>
    </row>
    <row r="1064" spans="1:19" x14ac:dyDescent="0.25">
      <c r="A1064">
        <v>10230</v>
      </c>
      <c r="B1064" t="s">
        <v>308</v>
      </c>
      <c r="C1064" t="s">
        <v>187</v>
      </c>
      <c r="D1064" t="s">
        <v>188</v>
      </c>
      <c r="E1064" t="s">
        <v>180</v>
      </c>
      <c r="F1064" t="s">
        <v>30</v>
      </c>
      <c r="G1064" t="s">
        <v>24</v>
      </c>
      <c r="H1064">
        <v>4</v>
      </c>
      <c r="I1064">
        <v>46</v>
      </c>
      <c r="J1064">
        <v>60.9</v>
      </c>
      <c r="K1064">
        <v>62</v>
      </c>
      <c r="L1064">
        <v>2801.4</v>
      </c>
      <c r="M1064">
        <v>-50.6</v>
      </c>
      <c r="N1064" s="1">
        <v>38061</v>
      </c>
      <c r="O1064" t="s">
        <v>25</v>
      </c>
      <c r="P1064">
        <v>1</v>
      </c>
      <c r="Q1064">
        <v>3</v>
      </c>
      <c r="R1064">
        <v>2004</v>
      </c>
      <c r="S1064" t="s">
        <v>261</v>
      </c>
    </row>
    <row r="1065" spans="1:19" x14ac:dyDescent="0.25">
      <c r="A1065">
        <v>10394</v>
      </c>
      <c r="B1065" t="s">
        <v>308</v>
      </c>
      <c r="C1065" t="s">
        <v>78</v>
      </c>
      <c r="D1065" t="s">
        <v>79</v>
      </c>
      <c r="E1065" t="s">
        <v>80</v>
      </c>
      <c r="F1065" t="s">
        <v>30</v>
      </c>
      <c r="G1065" t="s">
        <v>24</v>
      </c>
      <c r="H1065">
        <v>4</v>
      </c>
      <c r="I1065">
        <v>30</v>
      </c>
      <c r="J1065">
        <v>60.28</v>
      </c>
      <c r="K1065">
        <v>62</v>
      </c>
      <c r="L1065">
        <v>1808.4</v>
      </c>
      <c r="M1065">
        <v>-51.6</v>
      </c>
      <c r="N1065" s="1">
        <v>38426</v>
      </c>
      <c r="O1065" t="s">
        <v>25</v>
      </c>
      <c r="P1065">
        <v>1</v>
      </c>
      <c r="Q1065">
        <v>3</v>
      </c>
      <c r="R1065">
        <v>2005</v>
      </c>
      <c r="S1065" t="s">
        <v>261</v>
      </c>
    </row>
    <row r="1066" spans="1:19" x14ac:dyDescent="0.25">
      <c r="A1066">
        <v>10150</v>
      </c>
      <c r="B1066" t="s">
        <v>309</v>
      </c>
      <c r="C1066" t="s">
        <v>88</v>
      </c>
      <c r="D1066" t="s">
        <v>89</v>
      </c>
      <c r="E1066" t="s">
        <v>89</v>
      </c>
      <c r="F1066" t="s">
        <v>50</v>
      </c>
      <c r="G1066" t="s">
        <v>24</v>
      </c>
      <c r="H1066">
        <v>4</v>
      </c>
      <c r="I1066">
        <v>49</v>
      </c>
      <c r="J1066">
        <v>58.18</v>
      </c>
      <c r="K1066">
        <v>64</v>
      </c>
      <c r="L1066">
        <v>2850.82</v>
      </c>
      <c r="M1066">
        <v>-285.18</v>
      </c>
      <c r="N1066" s="1">
        <v>37883</v>
      </c>
      <c r="O1066" t="s">
        <v>25</v>
      </c>
      <c r="P1066">
        <v>3</v>
      </c>
      <c r="Q1066">
        <v>9</v>
      </c>
      <c r="R1066">
        <v>2003</v>
      </c>
      <c r="S1066" t="s">
        <v>202</v>
      </c>
    </row>
    <row r="1067" spans="1:19" x14ac:dyDescent="0.25">
      <c r="A1067">
        <v>10183</v>
      </c>
      <c r="B1067" t="s">
        <v>309</v>
      </c>
      <c r="C1067" t="s">
        <v>93</v>
      </c>
      <c r="D1067" t="s">
        <v>94</v>
      </c>
      <c r="E1067" t="s">
        <v>22</v>
      </c>
      <c r="F1067" t="s">
        <v>23</v>
      </c>
      <c r="G1067" t="s">
        <v>33</v>
      </c>
      <c r="H1067">
        <v>4</v>
      </c>
      <c r="I1067">
        <v>49</v>
      </c>
      <c r="J1067">
        <v>64.64</v>
      </c>
      <c r="K1067">
        <v>64</v>
      </c>
      <c r="L1067">
        <v>3167.36</v>
      </c>
      <c r="M1067">
        <v>31.36</v>
      </c>
      <c r="N1067" s="1">
        <v>37938</v>
      </c>
      <c r="O1067" t="s">
        <v>25</v>
      </c>
      <c r="P1067">
        <v>4</v>
      </c>
      <c r="Q1067">
        <v>11</v>
      </c>
      <c r="R1067">
        <v>2003</v>
      </c>
      <c r="S1067" t="s">
        <v>202</v>
      </c>
    </row>
    <row r="1068" spans="1:19" x14ac:dyDescent="0.25">
      <c r="A1068">
        <v>10324</v>
      </c>
      <c r="B1068" t="s">
        <v>309</v>
      </c>
      <c r="C1068" t="s">
        <v>51</v>
      </c>
      <c r="D1068" t="s">
        <v>21</v>
      </c>
      <c r="E1068" t="s">
        <v>22</v>
      </c>
      <c r="F1068" t="s">
        <v>23</v>
      </c>
      <c r="G1068" t="s">
        <v>70</v>
      </c>
      <c r="H1068">
        <v>4</v>
      </c>
      <c r="I1068">
        <v>48</v>
      </c>
      <c r="J1068">
        <v>100</v>
      </c>
      <c r="K1068">
        <v>64</v>
      </c>
      <c r="L1068">
        <v>8209.44</v>
      </c>
      <c r="M1068">
        <v>5137.4399999999996</v>
      </c>
      <c r="N1068" s="1">
        <v>38296</v>
      </c>
      <c r="O1068" t="s">
        <v>25</v>
      </c>
      <c r="P1068">
        <v>4</v>
      </c>
      <c r="Q1068">
        <v>11</v>
      </c>
      <c r="R1068">
        <v>2004</v>
      </c>
      <c r="S1068" t="s">
        <v>202</v>
      </c>
    </row>
    <row r="1069" spans="1:19" x14ac:dyDescent="0.25">
      <c r="A1069">
        <v>10333</v>
      </c>
      <c r="B1069" t="s">
        <v>309</v>
      </c>
      <c r="C1069" t="s">
        <v>45</v>
      </c>
      <c r="D1069" t="s">
        <v>37</v>
      </c>
      <c r="E1069" t="s">
        <v>22</v>
      </c>
      <c r="F1069" t="s">
        <v>23</v>
      </c>
      <c r="G1069" t="s">
        <v>24</v>
      </c>
      <c r="H1069">
        <v>4</v>
      </c>
      <c r="I1069">
        <v>33</v>
      </c>
      <c r="J1069">
        <v>73.69</v>
      </c>
      <c r="K1069">
        <v>64</v>
      </c>
      <c r="L1069">
        <v>2431.77</v>
      </c>
      <c r="M1069">
        <v>319.77</v>
      </c>
      <c r="N1069" s="1">
        <v>38309</v>
      </c>
      <c r="O1069" t="s">
        <v>25</v>
      </c>
      <c r="P1069">
        <v>4</v>
      </c>
      <c r="Q1069">
        <v>11</v>
      </c>
      <c r="R1069">
        <v>2004</v>
      </c>
      <c r="S1069" t="s">
        <v>202</v>
      </c>
    </row>
    <row r="1070" spans="1:19" x14ac:dyDescent="0.25">
      <c r="A1070">
        <v>10284</v>
      </c>
      <c r="B1070" t="s">
        <v>310</v>
      </c>
      <c r="C1070" t="s">
        <v>223</v>
      </c>
      <c r="D1070" t="s">
        <v>224</v>
      </c>
      <c r="E1070" t="s">
        <v>44</v>
      </c>
      <c r="F1070" t="s">
        <v>30</v>
      </c>
      <c r="G1070" t="s">
        <v>33</v>
      </c>
      <c r="H1070">
        <v>4</v>
      </c>
      <c r="I1070">
        <v>50</v>
      </c>
      <c r="J1070">
        <v>81.86</v>
      </c>
      <c r="K1070">
        <v>68</v>
      </c>
      <c r="L1070">
        <v>4093</v>
      </c>
      <c r="M1070">
        <v>693</v>
      </c>
      <c r="N1070" s="1">
        <v>38220</v>
      </c>
      <c r="O1070" t="s">
        <v>25</v>
      </c>
      <c r="P1070">
        <v>3</v>
      </c>
      <c r="Q1070">
        <v>8</v>
      </c>
      <c r="R1070">
        <v>2004</v>
      </c>
      <c r="S1070" t="s">
        <v>226</v>
      </c>
    </row>
    <row r="1071" spans="1:19" x14ac:dyDescent="0.25">
      <c r="A1071">
        <v>10375</v>
      </c>
      <c r="B1071" t="s">
        <v>310</v>
      </c>
      <c r="C1071" t="s">
        <v>56</v>
      </c>
      <c r="D1071" t="s">
        <v>57</v>
      </c>
      <c r="E1071" t="s">
        <v>29</v>
      </c>
      <c r="F1071" t="s">
        <v>30</v>
      </c>
      <c r="G1071" t="s">
        <v>33</v>
      </c>
      <c r="H1071">
        <v>4</v>
      </c>
      <c r="I1071">
        <v>44</v>
      </c>
      <c r="J1071">
        <v>82.26</v>
      </c>
      <c r="K1071">
        <v>68</v>
      </c>
      <c r="L1071">
        <v>3619.44</v>
      </c>
      <c r="M1071">
        <v>627.44000000000005</v>
      </c>
      <c r="N1071" s="1">
        <v>38386</v>
      </c>
      <c r="O1071" t="s">
        <v>25</v>
      </c>
      <c r="P1071">
        <v>1</v>
      </c>
      <c r="Q1071">
        <v>2</v>
      </c>
      <c r="R1071">
        <v>2005</v>
      </c>
      <c r="S1071" t="s">
        <v>226</v>
      </c>
    </row>
    <row r="1072" spans="1:19" x14ac:dyDescent="0.25">
      <c r="A1072">
        <v>10398</v>
      </c>
      <c r="B1072" t="s">
        <v>310</v>
      </c>
      <c r="C1072" t="s">
        <v>27</v>
      </c>
      <c r="D1072" t="s">
        <v>28</v>
      </c>
      <c r="E1072" t="s">
        <v>29</v>
      </c>
      <c r="F1072" t="s">
        <v>30</v>
      </c>
      <c r="G1072" t="s">
        <v>24</v>
      </c>
      <c r="H1072">
        <v>4</v>
      </c>
      <c r="I1072">
        <v>22</v>
      </c>
      <c r="J1072">
        <v>67.41</v>
      </c>
      <c r="K1072">
        <v>68</v>
      </c>
      <c r="L1072">
        <v>1483.02</v>
      </c>
      <c r="M1072">
        <v>-12.98</v>
      </c>
      <c r="N1072" s="1">
        <v>38441</v>
      </c>
      <c r="O1072" t="s">
        <v>25</v>
      </c>
      <c r="P1072">
        <v>1</v>
      </c>
      <c r="Q1072">
        <v>3</v>
      </c>
      <c r="R1072">
        <v>2005</v>
      </c>
      <c r="S1072" t="s">
        <v>226</v>
      </c>
    </row>
    <row r="1073" spans="1:19" x14ac:dyDescent="0.25">
      <c r="A1073">
        <v>10145</v>
      </c>
      <c r="B1073" t="s">
        <v>311</v>
      </c>
      <c r="C1073" t="s">
        <v>34</v>
      </c>
      <c r="D1073" t="s">
        <v>35</v>
      </c>
      <c r="E1073" t="s">
        <v>22</v>
      </c>
      <c r="F1073" t="s">
        <v>23</v>
      </c>
      <c r="G1073" t="s">
        <v>33</v>
      </c>
      <c r="H1073">
        <v>4</v>
      </c>
      <c r="I1073">
        <v>27</v>
      </c>
      <c r="J1073">
        <v>100</v>
      </c>
      <c r="K1073">
        <v>102</v>
      </c>
      <c r="L1073">
        <v>3251.34</v>
      </c>
      <c r="M1073">
        <v>497.34</v>
      </c>
      <c r="N1073" s="1">
        <v>37858</v>
      </c>
      <c r="O1073" t="s">
        <v>25</v>
      </c>
      <c r="P1073">
        <v>3</v>
      </c>
      <c r="Q1073">
        <v>8</v>
      </c>
      <c r="R1073">
        <v>2003</v>
      </c>
      <c r="S1073" t="s">
        <v>26</v>
      </c>
    </row>
    <row r="1074" spans="1:19" x14ac:dyDescent="0.25">
      <c r="A1074">
        <v>10190</v>
      </c>
      <c r="B1074" t="s">
        <v>311</v>
      </c>
      <c r="C1074" t="s">
        <v>78</v>
      </c>
      <c r="D1074" t="s">
        <v>79</v>
      </c>
      <c r="E1074" t="s">
        <v>80</v>
      </c>
      <c r="F1074" t="s">
        <v>30</v>
      </c>
      <c r="G1074" t="s">
        <v>33</v>
      </c>
      <c r="H1074">
        <v>4</v>
      </c>
      <c r="I1074">
        <v>42</v>
      </c>
      <c r="J1074">
        <v>85.72</v>
      </c>
      <c r="K1074">
        <v>102</v>
      </c>
      <c r="L1074">
        <v>3600.24</v>
      </c>
      <c r="M1074">
        <v>-683.76</v>
      </c>
      <c r="N1074" s="1">
        <v>37944</v>
      </c>
      <c r="O1074" t="s">
        <v>25</v>
      </c>
      <c r="P1074">
        <v>4</v>
      </c>
      <c r="Q1074">
        <v>11</v>
      </c>
      <c r="R1074">
        <v>2003</v>
      </c>
      <c r="S1074" t="s">
        <v>26</v>
      </c>
    </row>
    <row r="1075" spans="1:19" x14ac:dyDescent="0.25">
      <c r="A1075">
        <v>10285</v>
      </c>
      <c r="B1075" t="s">
        <v>311</v>
      </c>
      <c r="C1075" t="s">
        <v>58</v>
      </c>
      <c r="D1075" t="s">
        <v>59</v>
      </c>
      <c r="E1075" t="s">
        <v>22</v>
      </c>
      <c r="F1075" t="s">
        <v>23</v>
      </c>
      <c r="G1075" t="s">
        <v>24</v>
      </c>
      <c r="H1075">
        <v>4</v>
      </c>
      <c r="I1075">
        <v>26</v>
      </c>
      <c r="J1075">
        <v>100</v>
      </c>
      <c r="K1075">
        <v>102</v>
      </c>
      <c r="L1075">
        <v>2600.2600000000002</v>
      </c>
      <c r="M1075">
        <v>-51.74</v>
      </c>
      <c r="N1075" s="1">
        <v>38226</v>
      </c>
      <c r="O1075" t="s">
        <v>25</v>
      </c>
      <c r="P1075">
        <v>3</v>
      </c>
      <c r="Q1075">
        <v>8</v>
      </c>
      <c r="R1075">
        <v>2004</v>
      </c>
      <c r="S1075" t="s">
        <v>26</v>
      </c>
    </row>
    <row r="1076" spans="1:19" x14ac:dyDescent="0.25">
      <c r="A1076">
        <v>10331</v>
      </c>
      <c r="B1076" t="s">
        <v>311</v>
      </c>
      <c r="C1076" t="s">
        <v>129</v>
      </c>
      <c r="D1076" t="s">
        <v>94</v>
      </c>
      <c r="E1076" t="s">
        <v>22</v>
      </c>
      <c r="F1076" t="s">
        <v>23</v>
      </c>
      <c r="G1076" t="s">
        <v>33</v>
      </c>
      <c r="H1076">
        <v>4</v>
      </c>
      <c r="I1076">
        <v>32</v>
      </c>
      <c r="J1076">
        <v>100</v>
      </c>
      <c r="K1076">
        <v>102</v>
      </c>
      <c r="L1076">
        <v>5026.5600000000004</v>
      </c>
      <c r="M1076">
        <v>1762.56</v>
      </c>
      <c r="N1076" s="1">
        <v>38308</v>
      </c>
      <c r="O1076" t="s">
        <v>25</v>
      </c>
      <c r="P1076">
        <v>4</v>
      </c>
      <c r="Q1076">
        <v>11</v>
      </c>
      <c r="R1076">
        <v>2004</v>
      </c>
      <c r="S1076" t="s">
        <v>26</v>
      </c>
    </row>
    <row r="1077" spans="1:19" x14ac:dyDescent="0.25">
      <c r="A1077">
        <v>10341</v>
      </c>
      <c r="B1077" t="s">
        <v>311</v>
      </c>
      <c r="C1077" t="s">
        <v>67</v>
      </c>
      <c r="D1077" t="s">
        <v>68</v>
      </c>
      <c r="E1077" t="s">
        <v>69</v>
      </c>
      <c r="F1077" t="s">
        <v>30</v>
      </c>
      <c r="G1077" t="s">
        <v>24</v>
      </c>
      <c r="H1077">
        <v>4</v>
      </c>
      <c r="I1077">
        <v>31</v>
      </c>
      <c r="J1077">
        <v>71.02</v>
      </c>
      <c r="K1077">
        <v>102</v>
      </c>
      <c r="L1077">
        <v>2201.62</v>
      </c>
      <c r="M1077">
        <v>-960.38</v>
      </c>
      <c r="N1077" s="1">
        <v>38315</v>
      </c>
      <c r="O1077" t="s">
        <v>25</v>
      </c>
      <c r="P1077">
        <v>4</v>
      </c>
      <c r="Q1077">
        <v>11</v>
      </c>
      <c r="R1077">
        <v>2004</v>
      </c>
      <c r="S1077" t="s">
        <v>26</v>
      </c>
    </row>
    <row r="1078" spans="1:19" x14ac:dyDescent="0.25">
      <c r="A1078">
        <v>10340</v>
      </c>
      <c r="B1078" t="s">
        <v>312</v>
      </c>
      <c r="C1078" t="s">
        <v>145</v>
      </c>
      <c r="D1078" t="s">
        <v>146</v>
      </c>
      <c r="E1078" t="s">
        <v>80</v>
      </c>
      <c r="F1078" t="s">
        <v>30</v>
      </c>
      <c r="G1078" t="s">
        <v>24</v>
      </c>
      <c r="H1078">
        <v>4</v>
      </c>
      <c r="I1078">
        <v>40</v>
      </c>
      <c r="J1078">
        <v>50.62</v>
      </c>
      <c r="K1078">
        <v>43</v>
      </c>
      <c r="L1078">
        <v>2024.8</v>
      </c>
      <c r="M1078">
        <v>304.8</v>
      </c>
      <c r="N1078" s="1">
        <v>38315</v>
      </c>
      <c r="O1078" t="s">
        <v>25</v>
      </c>
      <c r="P1078">
        <v>4</v>
      </c>
      <c r="Q1078">
        <v>11</v>
      </c>
      <c r="R1078">
        <v>2004</v>
      </c>
      <c r="S1078" t="s">
        <v>226</v>
      </c>
    </row>
    <row r="1079" spans="1:19" x14ac:dyDescent="0.25">
      <c r="A1079">
        <v>10184</v>
      </c>
      <c r="B1079" t="s">
        <v>313</v>
      </c>
      <c r="C1079" t="s">
        <v>212</v>
      </c>
      <c r="D1079" t="s">
        <v>213</v>
      </c>
      <c r="E1079" t="s">
        <v>80</v>
      </c>
      <c r="F1079" t="s">
        <v>30</v>
      </c>
      <c r="G1079" t="s">
        <v>33</v>
      </c>
      <c r="H1079">
        <v>4</v>
      </c>
      <c r="I1079">
        <v>45</v>
      </c>
      <c r="J1079">
        <v>100</v>
      </c>
      <c r="K1079">
        <v>115</v>
      </c>
      <c r="L1079">
        <v>4948.2</v>
      </c>
      <c r="M1079">
        <v>-226.8</v>
      </c>
      <c r="N1079" s="1">
        <v>37939</v>
      </c>
      <c r="O1079" t="s">
        <v>25</v>
      </c>
      <c r="P1079">
        <v>4</v>
      </c>
      <c r="Q1079">
        <v>11</v>
      </c>
      <c r="R1079">
        <v>2003</v>
      </c>
      <c r="S1079" t="s">
        <v>202</v>
      </c>
    </row>
    <row r="1080" spans="1:19" x14ac:dyDescent="0.25">
      <c r="A1080">
        <v>10195</v>
      </c>
      <c r="B1080" t="s">
        <v>313</v>
      </c>
      <c r="C1080" t="s">
        <v>131</v>
      </c>
      <c r="D1080" t="s">
        <v>132</v>
      </c>
      <c r="E1080" t="s">
        <v>22</v>
      </c>
      <c r="F1080" t="s">
        <v>23</v>
      </c>
      <c r="G1080" t="s">
        <v>33</v>
      </c>
      <c r="H1080">
        <v>4</v>
      </c>
      <c r="I1080">
        <v>49</v>
      </c>
      <c r="J1080">
        <v>100</v>
      </c>
      <c r="K1080">
        <v>115</v>
      </c>
      <c r="L1080">
        <v>5161.17</v>
      </c>
      <c r="M1080">
        <v>-473.83</v>
      </c>
      <c r="N1080" s="1">
        <v>37950</v>
      </c>
      <c r="O1080" t="s">
        <v>25</v>
      </c>
      <c r="P1080">
        <v>4</v>
      </c>
      <c r="Q1080">
        <v>11</v>
      </c>
      <c r="R1080">
        <v>2003</v>
      </c>
      <c r="S1080" t="s">
        <v>202</v>
      </c>
    </row>
    <row r="1081" spans="1:19" x14ac:dyDescent="0.25">
      <c r="A1081">
        <v>10325</v>
      </c>
      <c r="B1081" t="s">
        <v>313</v>
      </c>
      <c r="C1081" t="s">
        <v>63</v>
      </c>
      <c r="D1081" t="s">
        <v>64</v>
      </c>
      <c r="E1081" t="s">
        <v>44</v>
      </c>
      <c r="F1081" t="s">
        <v>30</v>
      </c>
      <c r="G1081" t="s">
        <v>33</v>
      </c>
      <c r="H1081">
        <v>4</v>
      </c>
      <c r="I1081">
        <v>38</v>
      </c>
      <c r="J1081">
        <v>100</v>
      </c>
      <c r="K1081">
        <v>115</v>
      </c>
      <c r="L1081">
        <v>5190.42</v>
      </c>
      <c r="M1081">
        <v>820.42</v>
      </c>
      <c r="N1081" s="1">
        <v>38296</v>
      </c>
      <c r="O1081" t="s">
        <v>25</v>
      </c>
      <c r="P1081">
        <v>4</v>
      </c>
      <c r="Q1081">
        <v>11</v>
      </c>
      <c r="R1081">
        <v>2004</v>
      </c>
      <c r="S1081" t="s">
        <v>202</v>
      </c>
    </row>
    <row r="1082" spans="1:19" x14ac:dyDescent="0.25">
      <c r="A1082">
        <v>10395</v>
      </c>
      <c r="B1082" t="s">
        <v>313</v>
      </c>
      <c r="C1082" t="s">
        <v>31</v>
      </c>
      <c r="D1082" t="s">
        <v>32</v>
      </c>
      <c r="E1082" t="s">
        <v>29</v>
      </c>
      <c r="F1082" t="s">
        <v>30</v>
      </c>
      <c r="G1082" t="s">
        <v>33</v>
      </c>
      <c r="H1082">
        <v>4</v>
      </c>
      <c r="I1082">
        <v>46</v>
      </c>
      <c r="J1082">
        <v>100</v>
      </c>
      <c r="K1082">
        <v>115</v>
      </c>
      <c r="L1082">
        <v>5692.96</v>
      </c>
      <c r="M1082">
        <v>402.96</v>
      </c>
      <c r="N1082" s="1">
        <v>38428</v>
      </c>
      <c r="O1082" t="s">
        <v>25</v>
      </c>
      <c r="P1082">
        <v>1</v>
      </c>
      <c r="Q1082">
        <v>3</v>
      </c>
      <c r="R1082">
        <v>2005</v>
      </c>
      <c r="S1082" t="s">
        <v>202</v>
      </c>
    </row>
    <row r="1083" spans="1:19" x14ac:dyDescent="0.25">
      <c r="A1083">
        <v>10127</v>
      </c>
      <c r="B1083" t="s">
        <v>314</v>
      </c>
      <c r="C1083" t="s">
        <v>192</v>
      </c>
      <c r="D1083" t="s">
        <v>21</v>
      </c>
      <c r="E1083" t="s">
        <v>22</v>
      </c>
      <c r="F1083" t="s">
        <v>23</v>
      </c>
      <c r="G1083" t="s">
        <v>33</v>
      </c>
      <c r="H1083">
        <v>4</v>
      </c>
      <c r="I1083">
        <v>46</v>
      </c>
      <c r="J1083">
        <v>69.12</v>
      </c>
      <c r="K1083">
        <v>58</v>
      </c>
      <c r="L1083">
        <v>3179.52</v>
      </c>
      <c r="M1083">
        <v>511.52</v>
      </c>
      <c r="N1083" s="1">
        <v>37775</v>
      </c>
      <c r="O1083" t="s">
        <v>25</v>
      </c>
      <c r="P1083">
        <v>2</v>
      </c>
      <c r="Q1083">
        <v>6</v>
      </c>
      <c r="R1083">
        <v>2003</v>
      </c>
      <c r="S1083" t="s">
        <v>261</v>
      </c>
    </row>
    <row r="1084" spans="1:19" x14ac:dyDescent="0.25">
      <c r="A1084">
        <v>10176</v>
      </c>
      <c r="B1084" t="s">
        <v>314</v>
      </c>
      <c r="C1084" t="s">
        <v>184</v>
      </c>
      <c r="D1084" t="s">
        <v>185</v>
      </c>
      <c r="E1084" t="s">
        <v>110</v>
      </c>
      <c r="F1084" t="s">
        <v>30</v>
      </c>
      <c r="G1084" t="s">
        <v>24</v>
      </c>
      <c r="H1084">
        <v>4</v>
      </c>
      <c r="I1084">
        <v>38</v>
      </c>
      <c r="J1084">
        <v>64.44</v>
      </c>
      <c r="K1084">
        <v>58</v>
      </c>
      <c r="L1084">
        <v>2448.7199999999998</v>
      </c>
      <c r="M1084">
        <v>244.72</v>
      </c>
      <c r="N1084" s="1">
        <v>37931</v>
      </c>
      <c r="O1084" t="s">
        <v>25</v>
      </c>
      <c r="P1084">
        <v>4</v>
      </c>
      <c r="Q1084">
        <v>11</v>
      </c>
      <c r="R1084">
        <v>2003</v>
      </c>
      <c r="S1084" t="s">
        <v>261</v>
      </c>
    </row>
    <row r="1085" spans="1:19" x14ac:dyDescent="0.25">
      <c r="A1085">
        <v>10220</v>
      </c>
      <c r="B1085" t="s">
        <v>314</v>
      </c>
      <c r="C1085" t="s">
        <v>193</v>
      </c>
      <c r="D1085" t="s">
        <v>194</v>
      </c>
      <c r="E1085" t="s">
        <v>195</v>
      </c>
      <c r="F1085" t="s">
        <v>30</v>
      </c>
      <c r="G1085" t="s">
        <v>24</v>
      </c>
      <c r="H1085">
        <v>4</v>
      </c>
      <c r="I1085">
        <v>30</v>
      </c>
      <c r="J1085">
        <v>68.540000000000006</v>
      </c>
      <c r="K1085">
        <v>58</v>
      </c>
      <c r="L1085">
        <v>2056.1999999999998</v>
      </c>
      <c r="M1085">
        <v>316.2</v>
      </c>
      <c r="N1085" s="1">
        <v>38029</v>
      </c>
      <c r="O1085" t="s">
        <v>25</v>
      </c>
      <c r="P1085">
        <v>1</v>
      </c>
      <c r="Q1085">
        <v>2</v>
      </c>
      <c r="R1085">
        <v>2004</v>
      </c>
      <c r="S1085" t="s">
        <v>261</v>
      </c>
    </row>
    <row r="1086" spans="1:19" x14ac:dyDescent="0.25">
      <c r="A1086">
        <v>10247</v>
      </c>
      <c r="B1086" t="s">
        <v>314</v>
      </c>
      <c r="C1086" t="s">
        <v>189</v>
      </c>
      <c r="D1086" t="s">
        <v>190</v>
      </c>
      <c r="E1086" t="s">
        <v>62</v>
      </c>
      <c r="F1086" t="s">
        <v>30</v>
      </c>
      <c r="G1086" t="s">
        <v>33</v>
      </c>
      <c r="H1086">
        <v>4</v>
      </c>
      <c r="I1086">
        <v>49</v>
      </c>
      <c r="J1086">
        <v>63.85</v>
      </c>
      <c r="K1086">
        <v>58</v>
      </c>
      <c r="L1086">
        <v>3128.65</v>
      </c>
      <c r="M1086">
        <v>286.64999999999998</v>
      </c>
      <c r="N1086" s="1">
        <v>38112</v>
      </c>
      <c r="O1086" t="s">
        <v>25</v>
      </c>
      <c r="P1086">
        <v>2</v>
      </c>
      <c r="Q1086">
        <v>5</v>
      </c>
      <c r="R1086">
        <v>2004</v>
      </c>
      <c r="S1086" t="s">
        <v>261</v>
      </c>
    </row>
    <row r="1087" spans="1:19" x14ac:dyDescent="0.25">
      <c r="A1087">
        <v>10272</v>
      </c>
      <c r="B1087" t="s">
        <v>314</v>
      </c>
      <c r="C1087" t="s">
        <v>65</v>
      </c>
      <c r="D1087" t="s">
        <v>66</v>
      </c>
      <c r="E1087" t="s">
        <v>22</v>
      </c>
      <c r="F1087" t="s">
        <v>23</v>
      </c>
      <c r="G1087" t="s">
        <v>24</v>
      </c>
      <c r="H1087">
        <v>4</v>
      </c>
      <c r="I1087">
        <v>43</v>
      </c>
      <c r="J1087">
        <v>56.82</v>
      </c>
      <c r="K1087">
        <v>58</v>
      </c>
      <c r="L1087">
        <v>2443.2600000000002</v>
      </c>
      <c r="M1087">
        <v>-50.74</v>
      </c>
      <c r="N1087" s="1">
        <v>38188</v>
      </c>
      <c r="O1087" t="s">
        <v>25</v>
      </c>
      <c r="P1087">
        <v>3</v>
      </c>
      <c r="Q1087">
        <v>7</v>
      </c>
      <c r="R1087">
        <v>2004</v>
      </c>
      <c r="S1087" t="s">
        <v>261</v>
      </c>
    </row>
    <row r="1088" spans="1:19" x14ac:dyDescent="0.25">
      <c r="A1088">
        <v>10359</v>
      </c>
      <c r="B1088" t="s">
        <v>314</v>
      </c>
      <c r="C1088" t="s">
        <v>27</v>
      </c>
      <c r="D1088" t="s">
        <v>28</v>
      </c>
      <c r="E1088" t="s">
        <v>29</v>
      </c>
      <c r="F1088" t="s">
        <v>30</v>
      </c>
      <c r="G1088" t="s">
        <v>24</v>
      </c>
      <c r="H1088">
        <v>4</v>
      </c>
      <c r="I1088">
        <v>25</v>
      </c>
      <c r="J1088">
        <v>64.930000000000007</v>
      </c>
      <c r="K1088">
        <v>58</v>
      </c>
      <c r="L1088">
        <v>1623.25</v>
      </c>
      <c r="M1088">
        <v>173.25</v>
      </c>
      <c r="N1088" s="1">
        <v>38336</v>
      </c>
      <c r="O1088" t="s">
        <v>25</v>
      </c>
      <c r="P1088">
        <v>4</v>
      </c>
      <c r="Q1088">
        <v>12</v>
      </c>
      <c r="R1088">
        <v>2004</v>
      </c>
      <c r="S1088" t="s">
        <v>261</v>
      </c>
    </row>
    <row r="1089" spans="1:19" x14ac:dyDescent="0.25">
      <c r="A1089">
        <v>10413</v>
      </c>
      <c r="B1089" t="s">
        <v>314</v>
      </c>
      <c r="C1089" t="s">
        <v>54</v>
      </c>
      <c r="D1089" t="s">
        <v>55</v>
      </c>
      <c r="E1089" t="s">
        <v>22</v>
      </c>
      <c r="F1089" t="s">
        <v>23</v>
      </c>
      <c r="G1089" t="s">
        <v>33</v>
      </c>
      <c r="H1089">
        <v>4</v>
      </c>
      <c r="I1089">
        <v>51</v>
      </c>
      <c r="J1089">
        <v>63.85</v>
      </c>
      <c r="K1089">
        <v>58</v>
      </c>
      <c r="L1089">
        <v>3256.35</v>
      </c>
      <c r="M1089">
        <v>298.35000000000002</v>
      </c>
      <c r="N1089" s="1">
        <v>38477</v>
      </c>
      <c r="O1089" t="s">
        <v>25</v>
      </c>
      <c r="P1089">
        <v>2</v>
      </c>
      <c r="Q1089">
        <v>5</v>
      </c>
      <c r="R1089">
        <v>2005</v>
      </c>
      <c r="S1089" t="s">
        <v>261</v>
      </c>
    </row>
    <row r="1090" spans="1:19" x14ac:dyDescent="0.25">
      <c r="A1090">
        <v>10356</v>
      </c>
      <c r="B1090" t="s">
        <v>315</v>
      </c>
      <c r="C1090" t="s">
        <v>31</v>
      </c>
      <c r="D1090" t="s">
        <v>32</v>
      </c>
      <c r="E1090" t="s">
        <v>29</v>
      </c>
      <c r="F1090" t="s">
        <v>30</v>
      </c>
      <c r="G1090" t="s">
        <v>33</v>
      </c>
      <c r="H1090">
        <v>4</v>
      </c>
      <c r="I1090">
        <v>26</v>
      </c>
      <c r="J1090">
        <v>100</v>
      </c>
      <c r="K1090">
        <v>81</v>
      </c>
      <c r="L1090">
        <v>3937.7</v>
      </c>
      <c r="M1090">
        <v>1831.7</v>
      </c>
      <c r="N1090" s="1">
        <v>38330</v>
      </c>
      <c r="O1090" t="s">
        <v>25</v>
      </c>
      <c r="P1090">
        <v>4</v>
      </c>
      <c r="Q1090">
        <v>12</v>
      </c>
      <c r="R1090">
        <v>2004</v>
      </c>
      <c r="S1090" t="s">
        <v>26</v>
      </c>
    </row>
    <row r="1091" spans="1:19" x14ac:dyDescent="0.25">
      <c r="A1091">
        <v>10261</v>
      </c>
      <c r="B1091" t="s">
        <v>316</v>
      </c>
      <c r="C1091" t="s">
        <v>123</v>
      </c>
      <c r="D1091" t="s">
        <v>124</v>
      </c>
      <c r="E1091" t="s">
        <v>99</v>
      </c>
      <c r="F1091" t="s">
        <v>23</v>
      </c>
      <c r="G1091" t="s">
        <v>24</v>
      </c>
      <c r="H1091">
        <v>4</v>
      </c>
      <c r="I1091">
        <v>34</v>
      </c>
      <c r="J1091">
        <v>62</v>
      </c>
      <c r="K1091">
        <v>66</v>
      </c>
      <c r="L1091">
        <v>2108</v>
      </c>
      <c r="M1091">
        <v>-136</v>
      </c>
      <c r="N1091" s="1">
        <v>38155</v>
      </c>
      <c r="O1091" t="s">
        <v>25</v>
      </c>
      <c r="P1091">
        <v>2</v>
      </c>
      <c r="Q1091">
        <v>6</v>
      </c>
      <c r="R1091">
        <v>2004</v>
      </c>
      <c r="S1091" t="s">
        <v>255</v>
      </c>
    </row>
    <row r="1092" spans="1:19" x14ac:dyDescent="0.25">
      <c r="A1092">
        <v>10295</v>
      </c>
      <c r="B1092" t="s">
        <v>316</v>
      </c>
      <c r="C1092" t="s">
        <v>156</v>
      </c>
      <c r="D1092" t="s">
        <v>157</v>
      </c>
      <c r="E1092" t="s">
        <v>22</v>
      </c>
      <c r="F1092" t="s">
        <v>23</v>
      </c>
      <c r="G1092" t="s">
        <v>24</v>
      </c>
      <c r="H1092">
        <v>4</v>
      </c>
      <c r="I1092">
        <v>26</v>
      </c>
      <c r="J1092">
        <v>75.34</v>
      </c>
      <c r="K1092">
        <v>66</v>
      </c>
      <c r="L1092">
        <v>1958.84</v>
      </c>
      <c r="M1092">
        <v>242.84</v>
      </c>
      <c r="N1092" s="1">
        <v>38240</v>
      </c>
      <c r="O1092" t="s">
        <v>25</v>
      </c>
      <c r="P1092">
        <v>3</v>
      </c>
      <c r="Q1092">
        <v>9</v>
      </c>
      <c r="R1092">
        <v>2004</v>
      </c>
      <c r="S1092" t="s">
        <v>255</v>
      </c>
    </row>
    <row r="1093" spans="1:19" x14ac:dyDescent="0.25">
      <c r="A1093">
        <v>10262</v>
      </c>
      <c r="B1093" t="s">
        <v>317</v>
      </c>
      <c r="C1093" t="s">
        <v>78</v>
      </c>
      <c r="D1093" t="s">
        <v>79</v>
      </c>
      <c r="E1093" t="s">
        <v>80</v>
      </c>
      <c r="F1093" t="s">
        <v>30</v>
      </c>
      <c r="G1093" t="s">
        <v>33</v>
      </c>
      <c r="H1093">
        <v>4</v>
      </c>
      <c r="I1093">
        <v>40</v>
      </c>
      <c r="J1093">
        <v>84.03</v>
      </c>
      <c r="K1093">
        <v>91</v>
      </c>
      <c r="L1093">
        <v>3361.2</v>
      </c>
      <c r="M1093">
        <v>-278.8</v>
      </c>
      <c r="N1093" s="1">
        <v>38162</v>
      </c>
      <c r="O1093" t="s">
        <v>141</v>
      </c>
      <c r="P1093">
        <v>2</v>
      </c>
      <c r="Q1093">
        <v>6</v>
      </c>
      <c r="R1093">
        <v>2004</v>
      </c>
      <c r="S1093" t="s">
        <v>234</v>
      </c>
    </row>
    <row r="1094" spans="1:19" x14ac:dyDescent="0.25">
      <c r="A1094">
        <v>10316</v>
      </c>
      <c r="B1094" t="s">
        <v>317</v>
      </c>
      <c r="C1094" t="s">
        <v>158</v>
      </c>
      <c r="D1094" t="s">
        <v>159</v>
      </c>
      <c r="E1094" t="s">
        <v>77</v>
      </c>
      <c r="F1094" t="s">
        <v>30</v>
      </c>
      <c r="G1094" t="s">
        <v>24</v>
      </c>
      <c r="H1094">
        <v>4</v>
      </c>
      <c r="I1094">
        <v>34</v>
      </c>
      <c r="J1094">
        <v>82.21</v>
      </c>
      <c r="K1094">
        <v>91</v>
      </c>
      <c r="L1094">
        <v>2795.14</v>
      </c>
      <c r="M1094">
        <v>-298.86</v>
      </c>
      <c r="N1094" s="1">
        <v>38292</v>
      </c>
      <c r="O1094" t="s">
        <v>25</v>
      </c>
      <c r="P1094">
        <v>4</v>
      </c>
      <c r="Q1094">
        <v>11</v>
      </c>
      <c r="R1094">
        <v>2004</v>
      </c>
      <c r="S1094" t="s">
        <v>234</v>
      </c>
    </row>
    <row r="1095" spans="1:19" x14ac:dyDescent="0.25">
      <c r="A1095">
        <v>10361</v>
      </c>
      <c r="B1095" t="s">
        <v>317</v>
      </c>
      <c r="C1095" t="s">
        <v>71</v>
      </c>
      <c r="D1095" t="s">
        <v>72</v>
      </c>
      <c r="E1095" t="s">
        <v>49</v>
      </c>
      <c r="F1095" t="s">
        <v>50</v>
      </c>
      <c r="G1095" t="s">
        <v>24</v>
      </c>
      <c r="H1095">
        <v>4</v>
      </c>
      <c r="I1095">
        <v>20</v>
      </c>
      <c r="J1095">
        <v>60.54</v>
      </c>
      <c r="K1095">
        <v>91</v>
      </c>
      <c r="L1095">
        <v>1210.8</v>
      </c>
      <c r="M1095">
        <v>-609.20000000000005</v>
      </c>
      <c r="N1095" s="1">
        <v>38338</v>
      </c>
      <c r="O1095" t="s">
        <v>25</v>
      </c>
      <c r="P1095">
        <v>4</v>
      </c>
      <c r="Q1095">
        <v>12</v>
      </c>
      <c r="R1095">
        <v>2004</v>
      </c>
      <c r="S1095" t="s">
        <v>234</v>
      </c>
    </row>
    <row r="1096" spans="1:19" x14ac:dyDescent="0.25">
      <c r="A1096">
        <v>10221</v>
      </c>
      <c r="B1096" t="s">
        <v>318</v>
      </c>
      <c r="C1096" t="s">
        <v>151</v>
      </c>
      <c r="D1096" t="s">
        <v>152</v>
      </c>
      <c r="E1096" t="s">
        <v>153</v>
      </c>
      <c r="F1096" t="s">
        <v>30</v>
      </c>
      <c r="G1096" t="s">
        <v>24</v>
      </c>
      <c r="H1096">
        <v>4</v>
      </c>
      <c r="I1096">
        <v>23</v>
      </c>
      <c r="J1096">
        <v>97</v>
      </c>
      <c r="K1096">
        <v>86</v>
      </c>
      <c r="L1096">
        <v>2231</v>
      </c>
      <c r="M1096">
        <v>253</v>
      </c>
      <c r="N1096" s="1">
        <v>38035</v>
      </c>
      <c r="O1096" t="s">
        <v>25</v>
      </c>
      <c r="P1096">
        <v>1</v>
      </c>
      <c r="Q1096">
        <v>2</v>
      </c>
      <c r="R1096">
        <v>2004</v>
      </c>
      <c r="S1096" t="s">
        <v>255</v>
      </c>
    </row>
    <row r="1097" spans="1:19" x14ac:dyDescent="0.25">
      <c r="A1097">
        <v>10350</v>
      </c>
      <c r="B1097" t="s">
        <v>318</v>
      </c>
      <c r="C1097" t="s">
        <v>78</v>
      </c>
      <c r="D1097" t="s">
        <v>79</v>
      </c>
      <c r="E1097" t="s">
        <v>80</v>
      </c>
      <c r="F1097" t="s">
        <v>30</v>
      </c>
      <c r="G1097" t="s">
        <v>24</v>
      </c>
      <c r="H1097">
        <v>4</v>
      </c>
      <c r="I1097">
        <v>28</v>
      </c>
      <c r="J1097">
        <v>100</v>
      </c>
      <c r="K1097">
        <v>86</v>
      </c>
      <c r="L1097">
        <v>2924.32</v>
      </c>
      <c r="M1097">
        <v>516.32000000000005</v>
      </c>
      <c r="N1097" s="1">
        <v>38323</v>
      </c>
      <c r="O1097" t="s">
        <v>25</v>
      </c>
      <c r="P1097">
        <v>4</v>
      </c>
      <c r="Q1097">
        <v>12</v>
      </c>
      <c r="R1097">
        <v>2004</v>
      </c>
      <c r="S1097" t="s">
        <v>255</v>
      </c>
    </row>
    <row r="1098" spans="1:19" x14ac:dyDescent="0.25">
      <c r="A1098">
        <v>10209</v>
      </c>
      <c r="B1098" t="s">
        <v>319</v>
      </c>
      <c r="C1098" t="s">
        <v>147</v>
      </c>
      <c r="D1098" t="s">
        <v>148</v>
      </c>
      <c r="E1098" t="s">
        <v>22</v>
      </c>
      <c r="F1098" t="s">
        <v>23</v>
      </c>
      <c r="G1098" t="s">
        <v>24</v>
      </c>
      <c r="H1098">
        <v>4</v>
      </c>
      <c r="I1098">
        <v>33</v>
      </c>
      <c r="J1098">
        <v>88.71</v>
      </c>
      <c r="K1098">
        <v>90</v>
      </c>
      <c r="L1098">
        <v>2927.43</v>
      </c>
      <c r="M1098">
        <v>-42.57</v>
      </c>
      <c r="N1098" s="1">
        <v>37995</v>
      </c>
      <c r="O1098" t="s">
        <v>25</v>
      </c>
      <c r="P1098">
        <v>1</v>
      </c>
      <c r="Q1098">
        <v>1</v>
      </c>
      <c r="R1098">
        <v>2004</v>
      </c>
      <c r="S1098" t="s">
        <v>255</v>
      </c>
    </row>
    <row r="1099" spans="1:19" x14ac:dyDescent="0.25">
      <c r="A1099">
        <v>10249</v>
      </c>
      <c r="B1099" t="s">
        <v>319</v>
      </c>
      <c r="C1099" t="s">
        <v>102</v>
      </c>
      <c r="D1099" t="s">
        <v>59</v>
      </c>
      <c r="E1099" t="s">
        <v>22</v>
      </c>
      <c r="F1099" t="s">
        <v>23</v>
      </c>
      <c r="G1099" t="s">
        <v>33</v>
      </c>
      <c r="H1099">
        <v>4</v>
      </c>
      <c r="I1099">
        <v>40</v>
      </c>
      <c r="J1099">
        <v>95.95</v>
      </c>
      <c r="K1099">
        <v>90</v>
      </c>
      <c r="L1099">
        <v>3838</v>
      </c>
      <c r="M1099">
        <v>238</v>
      </c>
      <c r="N1099" s="1">
        <v>38115</v>
      </c>
      <c r="O1099" t="s">
        <v>25</v>
      </c>
      <c r="P1099">
        <v>2</v>
      </c>
      <c r="Q1099">
        <v>5</v>
      </c>
      <c r="R1099">
        <v>2004</v>
      </c>
      <c r="S1099" t="s">
        <v>255</v>
      </c>
    </row>
    <row r="1100" spans="1:19" x14ac:dyDescent="0.25">
      <c r="A1100">
        <v>10415</v>
      </c>
      <c r="B1100" t="s">
        <v>319</v>
      </c>
      <c r="C1100" t="s">
        <v>229</v>
      </c>
      <c r="D1100" t="s">
        <v>230</v>
      </c>
      <c r="E1100" t="s">
        <v>49</v>
      </c>
      <c r="F1100" t="s">
        <v>50</v>
      </c>
      <c r="G1100" t="s">
        <v>33</v>
      </c>
      <c r="H1100">
        <v>4</v>
      </c>
      <c r="I1100">
        <v>32</v>
      </c>
      <c r="J1100">
        <v>95.95</v>
      </c>
      <c r="K1100">
        <v>90</v>
      </c>
      <c r="L1100">
        <v>3070.4</v>
      </c>
      <c r="M1100">
        <v>190.4</v>
      </c>
      <c r="N1100" s="1">
        <v>38481</v>
      </c>
      <c r="O1100" t="s">
        <v>81</v>
      </c>
      <c r="P1100">
        <v>2</v>
      </c>
      <c r="Q1100">
        <v>5</v>
      </c>
      <c r="R1100">
        <v>2005</v>
      </c>
      <c r="S1100" t="s">
        <v>255</v>
      </c>
    </row>
    <row r="1101" spans="1:19" x14ac:dyDescent="0.25">
      <c r="A1101">
        <v>10143</v>
      </c>
      <c r="B1101" t="s">
        <v>320</v>
      </c>
      <c r="C1101" t="s">
        <v>140</v>
      </c>
      <c r="D1101" t="s">
        <v>74</v>
      </c>
      <c r="E1101" t="s">
        <v>22</v>
      </c>
      <c r="F1101" t="s">
        <v>23</v>
      </c>
      <c r="G1101" t="s">
        <v>24</v>
      </c>
      <c r="H1101">
        <v>4</v>
      </c>
      <c r="I1101">
        <v>26</v>
      </c>
      <c r="J1101">
        <v>82.77</v>
      </c>
      <c r="K1101">
        <v>99</v>
      </c>
      <c r="L1101">
        <v>2152.02</v>
      </c>
      <c r="M1101">
        <v>-421.98</v>
      </c>
      <c r="N1101" s="1">
        <v>37843</v>
      </c>
      <c r="O1101" t="s">
        <v>25</v>
      </c>
      <c r="P1101">
        <v>3</v>
      </c>
      <c r="Q1101">
        <v>8</v>
      </c>
      <c r="R1101">
        <v>2003</v>
      </c>
      <c r="S1101" t="s">
        <v>234</v>
      </c>
    </row>
    <row r="1102" spans="1:19" x14ac:dyDescent="0.25">
      <c r="A1102">
        <v>10296</v>
      </c>
      <c r="B1102" t="s">
        <v>320</v>
      </c>
      <c r="C1102" t="s">
        <v>236</v>
      </c>
      <c r="D1102" t="s">
        <v>237</v>
      </c>
      <c r="E1102" t="s">
        <v>180</v>
      </c>
      <c r="F1102" t="s">
        <v>30</v>
      </c>
      <c r="G1102" t="s">
        <v>24</v>
      </c>
      <c r="H1102">
        <v>4</v>
      </c>
      <c r="I1102">
        <v>24</v>
      </c>
      <c r="J1102">
        <v>100</v>
      </c>
      <c r="K1102">
        <v>99</v>
      </c>
      <c r="L1102">
        <v>2441.04</v>
      </c>
      <c r="M1102">
        <v>65.040000000000006</v>
      </c>
      <c r="N1102" s="1">
        <v>38245</v>
      </c>
      <c r="O1102" t="s">
        <v>25</v>
      </c>
      <c r="P1102">
        <v>3</v>
      </c>
      <c r="Q1102">
        <v>9</v>
      </c>
      <c r="R1102">
        <v>2004</v>
      </c>
      <c r="S1102" t="s">
        <v>234</v>
      </c>
    </row>
    <row r="1103" spans="1:19" x14ac:dyDescent="0.25">
      <c r="A1103">
        <v>10248</v>
      </c>
      <c r="B1103" t="s">
        <v>321</v>
      </c>
      <c r="C1103" t="s">
        <v>20</v>
      </c>
      <c r="D1103" t="s">
        <v>21</v>
      </c>
      <c r="E1103" t="s">
        <v>22</v>
      </c>
      <c r="F1103" t="s">
        <v>23</v>
      </c>
      <c r="G1103" t="s">
        <v>24</v>
      </c>
      <c r="H1103">
        <v>4</v>
      </c>
      <c r="I1103">
        <v>32</v>
      </c>
      <c r="J1103">
        <v>75.89</v>
      </c>
      <c r="K1103">
        <v>72</v>
      </c>
      <c r="L1103">
        <v>2428.48</v>
      </c>
      <c r="M1103">
        <v>124.48</v>
      </c>
      <c r="N1103" s="1">
        <v>38114</v>
      </c>
      <c r="O1103" t="s">
        <v>141</v>
      </c>
      <c r="P1103">
        <v>2</v>
      </c>
      <c r="Q1103">
        <v>5</v>
      </c>
      <c r="R1103">
        <v>2004</v>
      </c>
      <c r="S1103" t="s">
        <v>255</v>
      </c>
    </row>
    <row r="1104" spans="1:19" x14ac:dyDescent="0.25">
      <c r="A1104">
        <v>10397</v>
      </c>
      <c r="B1104" t="s">
        <v>321</v>
      </c>
      <c r="C1104" t="s">
        <v>142</v>
      </c>
      <c r="D1104" t="s">
        <v>143</v>
      </c>
      <c r="E1104" t="s">
        <v>29</v>
      </c>
      <c r="F1104" t="s">
        <v>30</v>
      </c>
      <c r="G1104" t="s">
        <v>24</v>
      </c>
      <c r="H1104">
        <v>4</v>
      </c>
      <c r="I1104">
        <v>22</v>
      </c>
      <c r="J1104">
        <v>66.5</v>
      </c>
      <c r="K1104">
        <v>72</v>
      </c>
      <c r="L1104">
        <v>1463</v>
      </c>
      <c r="M1104">
        <v>-121</v>
      </c>
      <c r="N1104" s="1">
        <v>38439</v>
      </c>
      <c r="O1104" t="s">
        <v>25</v>
      </c>
      <c r="P1104">
        <v>1</v>
      </c>
      <c r="Q1104">
        <v>3</v>
      </c>
      <c r="R1104">
        <v>2005</v>
      </c>
      <c r="S1104" t="s">
        <v>255</v>
      </c>
    </row>
    <row r="1105" spans="1:19" x14ac:dyDescent="0.25">
      <c r="A1105">
        <v>10414</v>
      </c>
      <c r="B1105" t="s">
        <v>321</v>
      </c>
      <c r="C1105" t="s">
        <v>156</v>
      </c>
      <c r="D1105" t="s">
        <v>157</v>
      </c>
      <c r="E1105" t="s">
        <v>22</v>
      </c>
      <c r="F1105" t="s">
        <v>23</v>
      </c>
      <c r="G1105" t="s">
        <v>24</v>
      </c>
      <c r="H1105">
        <v>4</v>
      </c>
      <c r="I1105">
        <v>31</v>
      </c>
      <c r="J1105">
        <v>75.89</v>
      </c>
      <c r="K1105">
        <v>72</v>
      </c>
      <c r="L1105">
        <v>2352.59</v>
      </c>
      <c r="M1105">
        <v>120.59</v>
      </c>
      <c r="N1105" s="1">
        <v>38478</v>
      </c>
      <c r="O1105" t="s">
        <v>164</v>
      </c>
      <c r="P1105">
        <v>2</v>
      </c>
      <c r="Q1105">
        <v>5</v>
      </c>
      <c r="R1105">
        <v>2005</v>
      </c>
      <c r="S1105" t="s">
        <v>255</v>
      </c>
    </row>
    <row r="1106" spans="1:19" x14ac:dyDescent="0.25">
      <c r="A1106">
        <v>10164</v>
      </c>
      <c r="B1106" t="s">
        <v>322</v>
      </c>
      <c r="C1106" t="s">
        <v>167</v>
      </c>
      <c r="D1106" t="s">
        <v>168</v>
      </c>
      <c r="E1106" t="s">
        <v>69</v>
      </c>
      <c r="F1106" t="s">
        <v>30</v>
      </c>
      <c r="G1106" t="s">
        <v>33</v>
      </c>
      <c r="H1106">
        <v>4</v>
      </c>
      <c r="I1106">
        <v>39</v>
      </c>
      <c r="J1106">
        <v>81.93</v>
      </c>
      <c r="K1106">
        <v>101</v>
      </c>
      <c r="L1106">
        <v>3195.27</v>
      </c>
      <c r="M1106">
        <v>-743.73</v>
      </c>
      <c r="N1106" s="1">
        <v>37915</v>
      </c>
      <c r="O1106" t="s">
        <v>169</v>
      </c>
      <c r="P1106">
        <v>4</v>
      </c>
      <c r="Q1106">
        <v>10</v>
      </c>
      <c r="R1106">
        <v>2003</v>
      </c>
      <c r="S1106" t="s">
        <v>83</v>
      </c>
    </row>
    <row r="1107" spans="1:19" x14ac:dyDescent="0.25">
      <c r="A1107">
        <v>10245</v>
      </c>
      <c r="B1107" t="s">
        <v>322</v>
      </c>
      <c r="C1107" t="s">
        <v>103</v>
      </c>
      <c r="D1107" t="s">
        <v>104</v>
      </c>
      <c r="E1107" t="s">
        <v>22</v>
      </c>
      <c r="F1107" t="s">
        <v>23</v>
      </c>
      <c r="G1107" t="s">
        <v>33</v>
      </c>
      <c r="H1107">
        <v>4</v>
      </c>
      <c r="I1107">
        <v>44</v>
      </c>
      <c r="J1107">
        <v>100</v>
      </c>
      <c r="K1107">
        <v>101</v>
      </c>
      <c r="L1107">
        <v>4628.8</v>
      </c>
      <c r="M1107">
        <v>184.8</v>
      </c>
      <c r="N1107" s="1">
        <v>38111</v>
      </c>
      <c r="O1107" t="s">
        <v>25</v>
      </c>
      <c r="P1107">
        <v>2</v>
      </c>
      <c r="Q1107">
        <v>5</v>
      </c>
      <c r="R1107">
        <v>2004</v>
      </c>
      <c r="S1107" t="s">
        <v>83</v>
      </c>
    </row>
    <row r="1108" spans="1:19" x14ac:dyDescent="0.25">
      <c r="A1108">
        <v>10270</v>
      </c>
      <c r="B1108" t="s">
        <v>322</v>
      </c>
      <c r="C1108" t="s">
        <v>71</v>
      </c>
      <c r="D1108" t="s">
        <v>72</v>
      </c>
      <c r="E1108" t="s">
        <v>49</v>
      </c>
      <c r="F1108" t="s">
        <v>50</v>
      </c>
      <c r="G1108" t="s">
        <v>33</v>
      </c>
      <c r="H1108">
        <v>4</v>
      </c>
      <c r="I1108">
        <v>46</v>
      </c>
      <c r="J1108">
        <v>88</v>
      </c>
      <c r="K1108">
        <v>101</v>
      </c>
      <c r="L1108">
        <v>4048</v>
      </c>
      <c r="M1108">
        <v>-598</v>
      </c>
      <c r="N1108" s="1">
        <v>38187</v>
      </c>
      <c r="O1108" t="s">
        <v>25</v>
      </c>
      <c r="P1108">
        <v>3</v>
      </c>
      <c r="Q1108">
        <v>7</v>
      </c>
      <c r="R1108">
        <v>2004</v>
      </c>
      <c r="S1108" t="s">
        <v>83</v>
      </c>
    </row>
    <row r="1109" spans="1:19" x14ac:dyDescent="0.25">
      <c r="A1109">
        <v>10411</v>
      </c>
      <c r="B1109" t="s">
        <v>322</v>
      </c>
      <c r="C1109" t="s">
        <v>123</v>
      </c>
      <c r="D1109" t="s">
        <v>124</v>
      </c>
      <c r="E1109" t="s">
        <v>99</v>
      </c>
      <c r="F1109" t="s">
        <v>23</v>
      </c>
      <c r="G1109" t="s">
        <v>33</v>
      </c>
      <c r="H1109">
        <v>4</v>
      </c>
      <c r="I1109">
        <v>34</v>
      </c>
      <c r="J1109">
        <v>100</v>
      </c>
      <c r="K1109">
        <v>101</v>
      </c>
      <c r="L1109">
        <v>3576.8</v>
      </c>
      <c r="M1109">
        <v>142.80000000000001</v>
      </c>
      <c r="N1109" s="1">
        <v>38473</v>
      </c>
      <c r="O1109" t="s">
        <v>25</v>
      </c>
      <c r="P1109">
        <v>2</v>
      </c>
      <c r="Q1109">
        <v>5</v>
      </c>
      <c r="R1109">
        <v>2005</v>
      </c>
      <c r="S1109" t="s">
        <v>83</v>
      </c>
    </row>
    <row r="1110" spans="1:19" x14ac:dyDescent="0.25">
      <c r="A1110">
        <v>10353</v>
      </c>
      <c r="B1110" t="s">
        <v>323</v>
      </c>
      <c r="C1110" t="s">
        <v>235</v>
      </c>
      <c r="D1110" t="s">
        <v>208</v>
      </c>
      <c r="E1110" t="s">
        <v>22</v>
      </c>
      <c r="F1110" t="s">
        <v>23</v>
      </c>
      <c r="G1110" t="s">
        <v>33</v>
      </c>
      <c r="H1110">
        <v>4</v>
      </c>
      <c r="I1110">
        <v>48</v>
      </c>
      <c r="J1110">
        <v>68.8</v>
      </c>
      <c r="K1110">
        <v>118</v>
      </c>
      <c r="L1110">
        <v>3302.4</v>
      </c>
      <c r="M1110">
        <v>-2361.6</v>
      </c>
      <c r="N1110" s="1">
        <v>38325</v>
      </c>
      <c r="O1110" t="s">
        <v>25</v>
      </c>
      <c r="P1110">
        <v>4</v>
      </c>
      <c r="Q1110">
        <v>12</v>
      </c>
      <c r="R1110">
        <v>2004</v>
      </c>
      <c r="S1110" t="s">
        <v>234</v>
      </c>
    </row>
    <row r="1111" spans="1:19" x14ac:dyDescent="0.25">
      <c r="A1111">
        <v>10177</v>
      </c>
      <c r="B1111" t="s">
        <v>325</v>
      </c>
      <c r="C1111" t="s">
        <v>196</v>
      </c>
      <c r="D1111" t="s">
        <v>79</v>
      </c>
      <c r="E1111" t="s">
        <v>80</v>
      </c>
      <c r="F1111" t="s">
        <v>30</v>
      </c>
      <c r="G1111" t="s">
        <v>33</v>
      </c>
      <c r="H1111">
        <v>4</v>
      </c>
      <c r="I1111">
        <v>44</v>
      </c>
      <c r="J1111">
        <v>92.16</v>
      </c>
      <c r="K1111">
        <v>100</v>
      </c>
      <c r="L1111">
        <v>4055.04</v>
      </c>
      <c r="M1111">
        <v>-344.96</v>
      </c>
      <c r="N1111" s="1">
        <v>37932</v>
      </c>
      <c r="O1111" t="s">
        <v>25</v>
      </c>
      <c r="P1111">
        <v>4</v>
      </c>
      <c r="Q1111">
        <v>11</v>
      </c>
      <c r="R1111">
        <v>2003</v>
      </c>
      <c r="S1111" t="s">
        <v>255</v>
      </c>
    </row>
    <row r="1112" spans="1:19" x14ac:dyDescent="0.25">
      <c r="A1112">
        <v>10185</v>
      </c>
      <c r="B1112" t="s">
        <v>325</v>
      </c>
      <c r="C1112" t="s">
        <v>140</v>
      </c>
      <c r="D1112" t="s">
        <v>74</v>
      </c>
      <c r="E1112" t="s">
        <v>22</v>
      </c>
      <c r="F1112" t="s">
        <v>23</v>
      </c>
      <c r="G1112" t="s">
        <v>33</v>
      </c>
      <c r="H1112">
        <v>4</v>
      </c>
      <c r="I1112">
        <v>37</v>
      </c>
      <c r="J1112">
        <v>100</v>
      </c>
      <c r="K1112">
        <v>100</v>
      </c>
      <c r="L1112">
        <v>3891.66</v>
      </c>
      <c r="M1112">
        <v>191.66</v>
      </c>
      <c r="N1112" s="1">
        <v>37939</v>
      </c>
      <c r="O1112" t="s">
        <v>25</v>
      </c>
      <c r="P1112">
        <v>4</v>
      </c>
      <c r="Q1112">
        <v>11</v>
      </c>
      <c r="R1112">
        <v>2003</v>
      </c>
      <c r="S1112" t="s">
        <v>255</v>
      </c>
    </row>
    <row r="1113" spans="1:19" x14ac:dyDescent="0.25">
      <c r="A1113">
        <v>10208</v>
      </c>
      <c r="B1113" t="s">
        <v>325</v>
      </c>
      <c r="C1113" t="s">
        <v>95</v>
      </c>
      <c r="D1113" t="s">
        <v>96</v>
      </c>
      <c r="E1113" t="s">
        <v>29</v>
      </c>
      <c r="F1113" t="s">
        <v>30</v>
      </c>
      <c r="G1113" t="s">
        <v>33</v>
      </c>
      <c r="H1113">
        <v>4</v>
      </c>
      <c r="I1113">
        <v>37</v>
      </c>
      <c r="J1113">
        <v>100</v>
      </c>
      <c r="K1113">
        <v>100</v>
      </c>
      <c r="L1113">
        <v>4447.3999999999996</v>
      </c>
      <c r="M1113">
        <v>747.4</v>
      </c>
      <c r="N1113" s="1">
        <v>37988</v>
      </c>
      <c r="O1113" t="s">
        <v>25</v>
      </c>
      <c r="P1113">
        <v>1</v>
      </c>
      <c r="Q1113">
        <v>1</v>
      </c>
      <c r="R1113">
        <v>2004</v>
      </c>
      <c r="S1113" t="s">
        <v>255</v>
      </c>
    </row>
    <row r="1114" spans="1:19" x14ac:dyDescent="0.25">
      <c r="A1114">
        <v>10306</v>
      </c>
      <c r="B1114" t="s">
        <v>325</v>
      </c>
      <c r="C1114" t="s">
        <v>197</v>
      </c>
      <c r="D1114" t="s">
        <v>198</v>
      </c>
      <c r="E1114" t="s">
        <v>77</v>
      </c>
      <c r="F1114" t="s">
        <v>30</v>
      </c>
      <c r="G1114" t="s">
        <v>24</v>
      </c>
      <c r="H1114">
        <v>4</v>
      </c>
      <c r="I1114">
        <v>32</v>
      </c>
      <c r="J1114">
        <v>90.15</v>
      </c>
      <c r="K1114">
        <v>100</v>
      </c>
      <c r="L1114">
        <v>2884.8</v>
      </c>
      <c r="M1114">
        <v>-315.2</v>
      </c>
      <c r="N1114" s="1">
        <v>38274</v>
      </c>
      <c r="O1114" t="s">
        <v>25</v>
      </c>
      <c r="P1114">
        <v>4</v>
      </c>
      <c r="Q1114">
        <v>10</v>
      </c>
      <c r="R1114">
        <v>2004</v>
      </c>
      <c r="S1114" t="s">
        <v>255</v>
      </c>
    </row>
    <row r="1115" spans="1:19" x14ac:dyDescent="0.25">
      <c r="A1115">
        <v>10142</v>
      </c>
      <c r="B1115" t="s">
        <v>326</v>
      </c>
      <c r="C1115" t="s">
        <v>115</v>
      </c>
      <c r="D1115" t="s">
        <v>116</v>
      </c>
      <c r="E1115" t="s">
        <v>22</v>
      </c>
      <c r="F1115" t="s">
        <v>23</v>
      </c>
      <c r="G1115" t="s">
        <v>33</v>
      </c>
      <c r="H1115">
        <v>4</v>
      </c>
      <c r="I1115">
        <v>38</v>
      </c>
      <c r="J1115">
        <v>85.41</v>
      </c>
      <c r="K1115">
        <v>99</v>
      </c>
      <c r="L1115">
        <v>3245.58</v>
      </c>
      <c r="M1115">
        <v>-516.41999999999996</v>
      </c>
      <c r="N1115" s="1">
        <v>37841</v>
      </c>
      <c r="O1115" t="s">
        <v>25</v>
      </c>
      <c r="P1115">
        <v>3</v>
      </c>
      <c r="Q1115">
        <v>8</v>
      </c>
      <c r="R1115">
        <v>2003</v>
      </c>
      <c r="S1115" t="s">
        <v>255</v>
      </c>
    </row>
    <row r="1116" spans="1:19" x14ac:dyDescent="0.25">
      <c r="A1116">
        <v>10315</v>
      </c>
      <c r="B1116" t="s">
        <v>326</v>
      </c>
      <c r="C1116" t="s">
        <v>56</v>
      </c>
      <c r="D1116" t="s">
        <v>57</v>
      </c>
      <c r="E1116" t="s">
        <v>29</v>
      </c>
      <c r="F1116" t="s">
        <v>30</v>
      </c>
      <c r="G1116" t="s">
        <v>33</v>
      </c>
      <c r="H1116">
        <v>4</v>
      </c>
      <c r="I1116">
        <v>37</v>
      </c>
      <c r="J1116">
        <v>91.37</v>
      </c>
      <c r="K1116">
        <v>99</v>
      </c>
      <c r="L1116">
        <v>3380.69</v>
      </c>
      <c r="M1116">
        <v>-282.31</v>
      </c>
      <c r="N1116" s="1">
        <v>38289</v>
      </c>
      <c r="O1116" t="s">
        <v>25</v>
      </c>
      <c r="P1116">
        <v>4</v>
      </c>
      <c r="Q1116">
        <v>10</v>
      </c>
      <c r="R1116">
        <v>2004</v>
      </c>
      <c r="S1116" t="s">
        <v>255</v>
      </c>
    </row>
    <row r="1117" spans="1:19" x14ac:dyDescent="0.25">
      <c r="A1117">
        <v>10167</v>
      </c>
      <c r="B1117" t="s">
        <v>328</v>
      </c>
      <c r="C1117" t="s">
        <v>111</v>
      </c>
      <c r="D1117" t="s">
        <v>112</v>
      </c>
      <c r="E1117" t="s">
        <v>86</v>
      </c>
      <c r="F1117" t="s">
        <v>30</v>
      </c>
      <c r="G1117" t="s">
        <v>24</v>
      </c>
      <c r="H1117">
        <v>4</v>
      </c>
      <c r="I1117">
        <v>40</v>
      </c>
      <c r="J1117">
        <v>41.71</v>
      </c>
      <c r="K1117">
        <v>49</v>
      </c>
      <c r="L1117">
        <v>1668.4</v>
      </c>
      <c r="M1117">
        <v>-291.60000000000002</v>
      </c>
      <c r="N1117" s="1">
        <v>37917</v>
      </c>
      <c r="O1117" t="s">
        <v>141</v>
      </c>
      <c r="P1117">
        <v>4</v>
      </c>
      <c r="Q1117">
        <v>10</v>
      </c>
      <c r="R1117">
        <v>2003</v>
      </c>
      <c r="S1117" t="s">
        <v>234</v>
      </c>
    </row>
    <row r="1118" spans="1:19" x14ac:dyDescent="0.25">
      <c r="A1118">
        <v>10186</v>
      </c>
      <c r="B1118" t="s">
        <v>328</v>
      </c>
      <c r="C1118" t="s">
        <v>144</v>
      </c>
      <c r="D1118" t="s">
        <v>139</v>
      </c>
      <c r="E1118" t="s">
        <v>77</v>
      </c>
      <c r="F1118" t="s">
        <v>30</v>
      </c>
      <c r="G1118" t="s">
        <v>24</v>
      </c>
      <c r="H1118">
        <v>4</v>
      </c>
      <c r="I1118">
        <v>28</v>
      </c>
      <c r="J1118">
        <v>52.14</v>
      </c>
      <c r="K1118">
        <v>49</v>
      </c>
      <c r="L1118">
        <v>1459.92</v>
      </c>
      <c r="M1118">
        <v>87.92</v>
      </c>
      <c r="N1118" s="1">
        <v>37939</v>
      </c>
      <c r="O1118" t="s">
        <v>25</v>
      </c>
      <c r="P1118">
        <v>4</v>
      </c>
      <c r="Q1118">
        <v>11</v>
      </c>
      <c r="R1118">
        <v>2003</v>
      </c>
      <c r="S1118" t="s">
        <v>234</v>
      </c>
    </row>
    <row r="1119" spans="1:19" x14ac:dyDescent="0.25">
      <c r="A1119">
        <v>10274</v>
      </c>
      <c r="B1119" t="s">
        <v>328</v>
      </c>
      <c r="C1119" t="s">
        <v>119</v>
      </c>
      <c r="D1119" t="s">
        <v>120</v>
      </c>
      <c r="E1119" t="s">
        <v>22</v>
      </c>
      <c r="F1119" t="s">
        <v>23</v>
      </c>
      <c r="G1119" t="s">
        <v>24</v>
      </c>
      <c r="H1119">
        <v>4</v>
      </c>
      <c r="I1119">
        <v>32</v>
      </c>
      <c r="J1119">
        <v>58.6</v>
      </c>
      <c r="K1119">
        <v>49</v>
      </c>
      <c r="L1119">
        <v>1875.2</v>
      </c>
      <c r="M1119">
        <v>307.2</v>
      </c>
      <c r="N1119" s="1">
        <v>38189</v>
      </c>
      <c r="O1119" t="s">
        <v>25</v>
      </c>
      <c r="P1119">
        <v>3</v>
      </c>
      <c r="Q1119">
        <v>7</v>
      </c>
      <c r="R1119">
        <v>2004</v>
      </c>
      <c r="S1119" t="s">
        <v>234</v>
      </c>
    </row>
    <row r="1120" spans="1:19" x14ac:dyDescent="0.25">
      <c r="A1120">
        <v>10307</v>
      </c>
      <c r="B1120" t="s">
        <v>328</v>
      </c>
      <c r="C1120" t="s">
        <v>93</v>
      </c>
      <c r="D1120" t="s">
        <v>94</v>
      </c>
      <c r="E1120" t="s">
        <v>22</v>
      </c>
      <c r="F1120" t="s">
        <v>23</v>
      </c>
      <c r="G1120" t="s">
        <v>24</v>
      </c>
      <c r="H1120">
        <v>4</v>
      </c>
      <c r="I1120">
        <v>34</v>
      </c>
      <c r="J1120">
        <v>53.63</v>
      </c>
      <c r="K1120">
        <v>49</v>
      </c>
      <c r="L1120">
        <v>1823.42</v>
      </c>
      <c r="M1120">
        <v>157.41999999999999</v>
      </c>
      <c r="N1120" s="1">
        <v>38274</v>
      </c>
      <c r="O1120" t="s">
        <v>25</v>
      </c>
      <c r="P1120">
        <v>4</v>
      </c>
      <c r="Q1120">
        <v>10</v>
      </c>
      <c r="R1120">
        <v>2004</v>
      </c>
      <c r="S1120" t="s">
        <v>234</v>
      </c>
    </row>
    <row r="1121" spans="1:19" x14ac:dyDescent="0.25">
      <c r="A1121">
        <v>10352</v>
      </c>
      <c r="B1121" t="s">
        <v>328</v>
      </c>
      <c r="C1121" t="s">
        <v>256</v>
      </c>
      <c r="D1121" t="s">
        <v>120</v>
      </c>
      <c r="E1121" t="s">
        <v>22</v>
      </c>
      <c r="F1121" t="s">
        <v>23</v>
      </c>
      <c r="G1121" t="s">
        <v>24</v>
      </c>
      <c r="H1121">
        <v>4</v>
      </c>
      <c r="I1121">
        <v>49</v>
      </c>
      <c r="J1121">
        <v>52.64</v>
      </c>
      <c r="K1121">
        <v>49</v>
      </c>
      <c r="L1121">
        <v>2579.36</v>
      </c>
      <c r="M1121">
        <v>178.36</v>
      </c>
      <c r="N1121" s="1">
        <v>38324</v>
      </c>
      <c r="O1121" t="s">
        <v>25</v>
      </c>
      <c r="P1121">
        <v>4</v>
      </c>
      <c r="Q1121">
        <v>12</v>
      </c>
      <c r="R1121">
        <v>2004</v>
      </c>
      <c r="S1121" t="s">
        <v>234</v>
      </c>
    </row>
    <row r="1122" spans="1:19" x14ac:dyDescent="0.25">
      <c r="A1122">
        <v>10400</v>
      </c>
      <c r="B1122" t="s">
        <v>328</v>
      </c>
      <c r="C1122" t="s">
        <v>162</v>
      </c>
      <c r="D1122" t="s">
        <v>163</v>
      </c>
      <c r="E1122" t="s">
        <v>22</v>
      </c>
      <c r="F1122" t="s">
        <v>23</v>
      </c>
      <c r="G1122" t="s">
        <v>24</v>
      </c>
      <c r="H1122">
        <v>4</v>
      </c>
      <c r="I1122">
        <v>20</v>
      </c>
      <c r="J1122">
        <v>56.12</v>
      </c>
      <c r="K1122">
        <v>49</v>
      </c>
      <c r="L1122">
        <v>1122.4000000000001</v>
      </c>
      <c r="M1122">
        <v>142.4</v>
      </c>
      <c r="N1122" s="1">
        <v>38443</v>
      </c>
      <c r="O1122" t="s">
        <v>25</v>
      </c>
      <c r="P1122">
        <v>2</v>
      </c>
      <c r="Q1122">
        <v>4</v>
      </c>
      <c r="R1122">
        <v>2005</v>
      </c>
      <c r="S1122" t="s">
        <v>234</v>
      </c>
    </row>
    <row r="1123" spans="1:19" x14ac:dyDescent="0.25">
      <c r="A1123">
        <v>10153</v>
      </c>
      <c r="B1123" t="s">
        <v>329</v>
      </c>
      <c r="C1123" t="s">
        <v>78</v>
      </c>
      <c r="D1123" t="s">
        <v>79</v>
      </c>
      <c r="E1123" t="s">
        <v>80</v>
      </c>
      <c r="F1123" t="s">
        <v>30</v>
      </c>
      <c r="G1123" t="s">
        <v>33</v>
      </c>
      <c r="H1123">
        <v>4</v>
      </c>
      <c r="I1123">
        <v>50</v>
      </c>
      <c r="J1123">
        <v>60.06</v>
      </c>
      <c r="K1123">
        <v>54</v>
      </c>
      <c r="L1123">
        <v>3003</v>
      </c>
      <c r="M1123">
        <v>303</v>
      </c>
      <c r="N1123" s="1">
        <v>37892</v>
      </c>
      <c r="O1123" t="s">
        <v>25</v>
      </c>
      <c r="P1123">
        <v>3</v>
      </c>
      <c r="Q1123">
        <v>9</v>
      </c>
      <c r="R1123">
        <v>2003</v>
      </c>
      <c r="S1123" t="s">
        <v>255</v>
      </c>
    </row>
    <row r="1124" spans="1:19" x14ac:dyDescent="0.25">
      <c r="A1124">
        <v>10327</v>
      </c>
      <c r="B1124" t="s">
        <v>329</v>
      </c>
      <c r="C1124" t="s">
        <v>135</v>
      </c>
      <c r="D1124" t="s">
        <v>136</v>
      </c>
      <c r="E1124" t="s">
        <v>137</v>
      </c>
      <c r="F1124" t="s">
        <v>30</v>
      </c>
      <c r="G1124" t="s">
        <v>33</v>
      </c>
      <c r="H1124">
        <v>4</v>
      </c>
      <c r="I1124">
        <v>37</v>
      </c>
      <c r="J1124">
        <v>86.74</v>
      </c>
      <c r="K1124">
        <v>54</v>
      </c>
      <c r="L1124">
        <v>3209.38</v>
      </c>
      <c r="M1124">
        <v>1211.3800000000001</v>
      </c>
      <c r="N1124" s="1">
        <v>38301</v>
      </c>
      <c r="O1124" t="s">
        <v>169</v>
      </c>
      <c r="P1124">
        <v>4</v>
      </c>
      <c r="Q1124">
        <v>11</v>
      </c>
      <c r="R1124">
        <v>2004</v>
      </c>
      <c r="S1124" t="s">
        <v>255</v>
      </c>
    </row>
    <row r="1125" spans="1:19" x14ac:dyDescent="0.25">
      <c r="A1125">
        <v>10386</v>
      </c>
      <c r="B1125" t="s">
        <v>329</v>
      </c>
      <c r="C1125" t="s">
        <v>78</v>
      </c>
      <c r="D1125" t="s">
        <v>79</v>
      </c>
      <c r="E1125" t="s">
        <v>80</v>
      </c>
      <c r="F1125" t="s">
        <v>30</v>
      </c>
      <c r="G1125" t="s">
        <v>33</v>
      </c>
      <c r="H1125">
        <v>4</v>
      </c>
      <c r="I1125">
        <v>43</v>
      </c>
      <c r="J1125">
        <v>100</v>
      </c>
      <c r="K1125">
        <v>54</v>
      </c>
      <c r="L1125">
        <v>5417.57</v>
      </c>
      <c r="M1125">
        <v>3095.57</v>
      </c>
      <c r="N1125" s="1">
        <v>38412</v>
      </c>
      <c r="O1125" t="s">
        <v>169</v>
      </c>
      <c r="P1125">
        <v>1</v>
      </c>
      <c r="Q1125">
        <v>3</v>
      </c>
      <c r="R1125">
        <v>2005</v>
      </c>
      <c r="S1125" t="s">
        <v>255</v>
      </c>
    </row>
    <row r="1126" spans="1:19" x14ac:dyDescent="0.25">
      <c r="A1126">
        <v>10121</v>
      </c>
      <c r="B1126" t="s">
        <v>19</v>
      </c>
      <c r="C1126" t="s">
        <v>27</v>
      </c>
      <c r="D1126" t="s">
        <v>28</v>
      </c>
      <c r="E1126" t="s">
        <v>29</v>
      </c>
      <c r="F1126" t="s">
        <v>30</v>
      </c>
      <c r="G1126" t="s">
        <v>24</v>
      </c>
      <c r="H1126">
        <v>5</v>
      </c>
      <c r="I1126">
        <v>34</v>
      </c>
      <c r="J1126">
        <v>81.349999999999994</v>
      </c>
      <c r="K1126">
        <v>95</v>
      </c>
      <c r="L1126">
        <v>2765.9</v>
      </c>
      <c r="M1126">
        <v>-464.1</v>
      </c>
      <c r="N1126" s="1">
        <v>37748</v>
      </c>
      <c r="O1126" t="s">
        <v>25</v>
      </c>
      <c r="P1126">
        <v>2</v>
      </c>
      <c r="Q1126">
        <v>5</v>
      </c>
      <c r="R1126">
        <v>2003</v>
      </c>
      <c r="S1126" t="s">
        <v>26</v>
      </c>
    </row>
    <row r="1127" spans="1:19" x14ac:dyDescent="0.25">
      <c r="A1127">
        <v>10309</v>
      </c>
      <c r="B1127" t="s">
        <v>19</v>
      </c>
      <c r="C1127" t="s">
        <v>63</v>
      </c>
      <c r="D1127" t="s">
        <v>64</v>
      </c>
      <c r="E1127" t="s">
        <v>44</v>
      </c>
      <c r="F1127" t="s">
        <v>30</v>
      </c>
      <c r="G1127" t="s">
        <v>33</v>
      </c>
      <c r="H1127">
        <v>5</v>
      </c>
      <c r="I1127">
        <v>41</v>
      </c>
      <c r="J1127">
        <v>100</v>
      </c>
      <c r="K1127">
        <v>95</v>
      </c>
      <c r="L1127">
        <v>4394.38</v>
      </c>
      <c r="M1127">
        <v>499.38</v>
      </c>
      <c r="N1127" s="1">
        <v>38275</v>
      </c>
      <c r="O1127" t="s">
        <v>25</v>
      </c>
      <c r="P1127">
        <v>4</v>
      </c>
      <c r="Q1127">
        <v>10</v>
      </c>
      <c r="R1127">
        <v>2004</v>
      </c>
      <c r="S1127" t="s">
        <v>26</v>
      </c>
    </row>
    <row r="1128" spans="1:19" x14ac:dyDescent="0.25">
      <c r="A1128">
        <v>10107</v>
      </c>
      <c r="B1128" t="s">
        <v>126</v>
      </c>
      <c r="C1128" t="s">
        <v>20</v>
      </c>
      <c r="D1128" t="s">
        <v>21</v>
      </c>
      <c r="E1128" t="s">
        <v>22</v>
      </c>
      <c r="F1128" t="s">
        <v>23</v>
      </c>
      <c r="G1128" t="s">
        <v>33</v>
      </c>
      <c r="H1128">
        <v>5</v>
      </c>
      <c r="I1128">
        <v>39</v>
      </c>
      <c r="J1128">
        <v>99.91</v>
      </c>
      <c r="K1128">
        <v>118</v>
      </c>
      <c r="L1128">
        <v>3896.49</v>
      </c>
      <c r="M1128">
        <v>-705.51</v>
      </c>
      <c r="N1128" s="1">
        <v>37676</v>
      </c>
      <c r="O1128" t="s">
        <v>25</v>
      </c>
      <c r="P1128">
        <v>1</v>
      </c>
      <c r="Q1128">
        <v>2</v>
      </c>
      <c r="R1128">
        <v>2003</v>
      </c>
      <c r="S1128" t="s">
        <v>26</v>
      </c>
    </row>
    <row r="1129" spans="1:19" x14ac:dyDescent="0.25">
      <c r="A1129">
        <v>10134</v>
      </c>
      <c r="B1129" t="s">
        <v>126</v>
      </c>
      <c r="C1129" t="s">
        <v>31</v>
      </c>
      <c r="D1129" t="s">
        <v>32</v>
      </c>
      <c r="E1129" t="s">
        <v>29</v>
      </c>
      <c r="F1129" t="s">
        <v>30</v>
      </c>
      <c r="G1129" t="s">
        <v>33</v>
      </c>
      <c r="H1129">
        <v>5</v>
      </c>
      <c r="I1129">
        <v>27</v>
      </c>
      <c r="J1129">
        <v>100</v>
      </c>
      <c r="K1129">
        <v>118</v>
      </c>
      <c r="L1129">
        <v>3307.77</v>
      </c>
      <c r="M1129">
        <v>121.77</v>
      </c>
      <c r="N1129" s="1">
        <v>37803</v>
      </c>
      <c r="O1129" t="s">
        <v>25</v>
      </c>
      <c r="P1129">
        <v>3</v>
      </c>
      <c r="Q1129">
        <v>7</v>
      </c>
      <c r="R1129">
        <v>2003</v>
      </c>
      <c r="S1129" t="s">
        <v>26</v>
      </c>
    </row>
    <row r="1130" spans="1:19" x14ac:dyDescent="0.25">
      <c r="A1130">
        <v>10201</v>
      </c>
      <c r="B1130" t="s">
        <v>126</v>
      </c>
      <c r="C1130" t="s">
        <v>45</v>
      </c>
      <c r="D1130" t="s">
        <v>37</v>
      </c>
      <c r="E1130" t="s">
        <v>22</v>
      </c>
      <c r="F1130" t="s">
        <v>23</v>
      </c>
      <c r="G1130" t="s">
        <v>33</v>
      </c>
      <c r="H1130">
        <v>5</v>
      </c>
      <c r="I1130">
        <v>24</v>
      </c>
      <c r="J1130">
        <v>100</v>
      </c>
      <c r="K1130">
        <v>118</v>
      </c>
      <c r="L1130">
        <v>3025.92</v>
      </c>
      <c r="M1130">
        <v>193.92</v>
      </c>
      <c r="N1130" s="1">
        <v>37956</v>
      </c>
      <c r="O1130" t="s">
        <v>25</v>
      </c>
      <c r="P1130">
        <v>4</v>
      </c>
      <c r="Q1130">
        <v>12</v>
      </c>
      <c r="R1130">
        <v>2003</v>
      </c>
      <c r="S1130" t="s">
        <v>26</v>
      </c>
    </row>
    <row r="1131" spans="1:19" x14ac:dyDescent="0.25">
      <c r="A1131">
        <v>10251</v>
      </c>
      <c r="B1131" t="s">
        <v>126</v>
      </c>
      <c r="C1131" t="s">
        <v>52</v>
      </c>
      <c r="D1131" t="s">
        <v>53</v>
      </c>
      <c r="E1131" t="s">
        <v>22</v>
      </c>
      <c r="F1131" t="s">
        <v>23</v>
      </c>
      <c r="G1131" t="s">
        <v>33</v>
      </c>
      <c r="H1131">
        <v>5</v>
      </c>
      <c r="I1131">
        <v>44</v>
      </c>
      <c r="J1131">
        <v>100</v>
      </c>
      <c r="K1131">
        <v>118</v>
      </c>
      <c r="L1131">
        <v>5756.52</v>
      </c>
      <c r="M1131">
        <v>564.52</v>
      </c>
      <c r="N1131" s="1">
        <v>38125</v>
      </c>
      <c r="O1131" t="s">
        <v>25</v>
      </c>
      <c r="P1131">
        <v>2</v>
      </c>
      <c r="Q1131">
        <v>5</v>
      </c>
      <c r="R1131">
        <v>2004</v>
      </c>
      <c r="S1131" t="s">
        <v>26</v>
      </c>
    </row>
    <row r="1132" spans="1:19" x14ac:dyDescent="0.25">
      <c r="A1132">
        <v>10263</v>
      </c>
      <c r="B1132" t="s">
        <v>126</v>
      </c>
      <c r="C1132" t="s">
        <v>54</v>
      </c>
      <c r="D1132" t="s">
        <v>55</v>
      </c>
      <c r="E1132" t="s">
        <v>22</v>
      </c>
      <c r="F1132" t="s">
        <v>23</v>
      </c>
      <c r="G1132" t="s">
        <v>33</v>
      </c>
      <c r="H1132">
        <v>5</v>
      </c>
      <c r="I1132">
        <v>40</v>
      </c>
      <c r="J1132">
        <v>100</v>
      </c>
      <c r="K1132">
        <v>118</v>
      </c>
      <c r="L1132">
        <v>4472</v>
      </c>
      <c r="M1132">
        <v>-248</v>
      </c>
      <c r="N1132" s="1">
        <v>38166</v>
      </c>
      <c r="O1132" t="s">
        <v>25</v>
      </c>
      <c r="P1132">
        <v>2</v>
      </c>
      <c r="Q1132">
        <v>6</v>
      </c>
      <c r="R1132">
        <v>2004</v>
      </c>
      <c r="S1132" t="s">
        <v>26</v>
      </c>
    </row>
    <row r="1133" spans="1:19" x14ac:dyDescent="0.25">
      <c r="A1133">
        <v>10374</v>
      </c>
      <c r="B1133" t="s">
        <v>126</v>
      </c>
      <c r="C1133" t="s">
        <v>91</v>
      </c>
      <c r="D1133" t="s">
        <v>92</v>
      </c>
      <c r="E1133" t="s">
        <v>49</v>
      </c>
      <c r="F1133" t="s">
        <v>50</v>
      </c>
      <c r="G1133" t="s">
        <v>33</v>
      </c>
      <c r="H1133">
        <v>5</v>
      </c>
      <c r="I1133">
        <v>39</v>
      </c>
      <c r="J1133">
        <v>100</v>
      </c>
      <c r="K1133">
        <v>118</v>
      </c>
      <c r="L1133">
        <v>5288.01</v>
      </c>
      <c r="M1133">
        <v>686.01</v>
      </c>
      <c r="N1133" s="1">
        <v>38385</v>
      </c>
      <c r="O1133" t="s">
        <v>25</v>
      </c>
      <c r="P1133">
        <v>1</v>
      </c>
      <c r="Q1133">
        <v>2</v>
      </c>
      <c r="R1133">
        <v>2005</v>
      </c>
      <c r="S1133" t="s">
        <v>26</v>
      </c>
    </row>
    <row r="1134" spans="1:19" x14ac:dyDescent="0.25">
      <c r="A1134">
        <v>10388</v>
      </c>
      <c r="B1134" t="s">
        <v>126</v>
      </c>
      <c r="C1134" t="s">
        <v>73</v>
      </c>
      <c r="D1134" t="s">
        <v>74</v>
      </c>
      <c r="E1134" t="s">
        <v>22</v>
      </c>
      <c r="F1134" t="s">
        <v>23</v>
      </c>
      <c r="G1134" t="s">
        <v>24</v>
      </c>
      <c r="H1134">
        <v>5</v>
      </c>
      <c r="I1134">
        <v>50</v>
      </c>
      <c r="J1134">
        <v>44.51</v>
      </c>
      <c r="K1134">
        <v>118</v>
      </c>
      <c r="L1134">
        <v>2225.5</v>
      </c>
      <c r="M1134">
        <v>-3674.5</v>
      </c>
      <c r="N1134" s="1">
        <v>38414</v>
      </c>
      <c r="O1134" t="s">
        <v>25</v>
      </c>
      <c r="P1134">
        <v>1</v>
      </c>
      <c r="Q1134">
        <v>3</v>
      </c>
      <c r="R1134">
        <v>2005</v>
      </c>
      <c r="S1134" t="s">
        <v>26</v>
      </c>
    </row>
    <row r="1135" spans="1:19" x14ac:dyDescent="0.25">
      <c r="A1135">
        <v>10417</v>
      </c>
      <c r="B1135" t="s">
        <v>126</v>
      </c>
      <c r="C1135" t="s">
        <v>78</v>
      </c>
      <c r="D1135" t="s">
        <v>79</v>
      </c>
      <c r="E1135" t="s">
        <v>80</v>
      </c>
      <c r="F1135" t="s">
        <v>30</v>
      </c>
      <c r="G1135" t="s">
        <v>33</v>
      </c>
      <c r="H1135">
        <v>5</v>
      </c>
      <c r="I1135">
        <v>45</v>
      </c>
      <c r="J1135">
        <v>100</v>
      </c>
      <c r="K1135">
        <v>118</v>
      </c>
      <c r="L1135">
        <v>5887.35</v>
      </c>
      <c r="M1135">
        <v>577.35</v>
      </c>
      <c r="N1135" s="1">
        <v>38485</v>
      </c>
      <c r="O1135" t="s">
        <v>81</v>
      </c>
      <c r="P1135">
        <v>2</v>
      </c>
      <c r="Q1135">
        <v>5</v>
      </c>
      <c r="R1135">
        <v>2005</v>
      </c>
      <c r="S1135" t="s">
        <v>26</v>
      </c>
    </row>
    <row r="1136" spans="1:19" x14ac:dyDescent="0.25">
      <c r="A1136">
        <v>10350</v>
      </c>
      <c r="B1136" t="s">
        <v>134</v>
      </c>
      <c r="C1136" t="s">
        <v>78</v>
      </c>
      <c r="D1136" t="s">
        <v>79</v>
      </c>
      <c r="E1136" t="s">
        <v>80</v>
      </c>
      <c r="F1136" t="s">
        <v>30</v>
      </c>
      <c r="G1136" t="s">
        <v>24</v>
      </c>
      <c r="H1136">
        <v>5</v>
      </c>
      <c r="I1136">
        <v>26</v>
      </c>
      <c r="J1136">
        <v>75.47</v>
      </c>
      <c r="K1136">
        <v>136</v>
      </c>
      <c r="L1136">
        <v>1962.22</v>
      </c>
      <c r="M1136">
        <v>-1573.78</v>
      </c>
      <c r="N1136" s="1">
        <v>38323</v>
      </c>
      <c r="O1136" t="s">
        <v>25</v>
      </c>
      <c r="P1136">
        <v>4</v>
      </c>
      <c r="Q1136">
        <v>12</v>
      </c>
      <c r="R1136">
        <v>2004</v>
      </c>
      <c r="S1136" t="s">
        <v>83</v>
      </c>
    </row>
    <row r="1137" spans="1:19" x14ac:dyDescent="0.25">
      <c r="A1137">
        <v>10300</v>
      </c>
      <c r="B1137" t="s">
        <v>172</v>
      </c>
      <c r="C1137" t="s">
        <v>187</v>
      </c>
      <c r="D1137" t="s">
        <v>188</v>
      </c>
      <c r="E1137" t="s">
        <v>180</v>
      </c>
      <c r="F1137" t="s">
        <v>30</v>
      </c>
      <c r="G1137" t="s">
        <v>33</v>
      </c>
      <c r="H1137">
        <v>5</v>
      </c>
      <c r="I1137">
        <v>33</v>
      </c>
      <c r="J1137">
        <v>100</v>
      </c>
      <c r="K1137">
        <v>194</v>
      </c>
      <c r="L1137">
        <v>5521.89</v>
      </c>
      <c r="M1137">
        <v>-880.11</v>
      </c>
      <c r="N1137" s="1">
        <v>37898</v>
      </c>
      <c r="O1137" t="s">
        <v>25</v>
      </c>
      <c r="P1137">
        <v>4</v>
      </c>
      <c r="Q1137">
        <v>10</v>
      </c>
      <c r="R1137">
        <v>2003</v>
      </c>
      <c r="S1137" t="s">
        <v>83</v>
      </c>
    </row>
    <row r="1138" spans="1:19" x14ac:dyDescent="0.25">
      <c r="A1138">
        <v>10329</v>
      </c>
      <c r="B1138" t="s">
        <v>172</v>
      </c>
      <c r="C1138" t="s">
        <v>20</v>
      </c>
      <c r="D1138" t="s">
        <v>21</v>
      </c>
      <c r="E1138" t="s">
        <v>22</v>
      </c>
      <c r="F1138" t="s">
        <v>23</v>
      </c>
      <c r="G1138" t="s">
        <v>24</v>
      </c>
      <c r="H1138">
        <v>5</v>
      </c>
      <c r="I1138">
        <v>41</v>
      </c>
      <c r="J1138">
        <v>71.47</v>
      </c>
      <c r="K1138">
        <v>194</v>
      </c>
      <c r="L1138">
        <v>2930.27</v>
      </c>
      <c r="M1138">
        <v>-5023.7299999999996</v>
      </c>
      <c r="N1138" s="1">
        <v>38306</v>
      </c>
      <c r="O1138" t="s">
        <v>25</v>
      </c>
      <c r="P1138">
        <v>4</v>
      </c>
      <c r="Q1138">
        <v>11</v>
      </c>
      <c r="R1138">
        <v>2004</v>
      </c>
      <c r="S1138" t="s">
        <v>83</v>
      </c>
    </row>
    <row r="1139" spans="1:19" x14ac:dyDescent="0.25">
      <c r="A1139">
        <v>10196</v>
      </c>
      <c r="B1139" t="s">
        <v>191</v>
      </c>
      <c r="C1139" t="s">
        <v>103</v>
      </c>
      <c r="D1139" t="s">
        <v>104</v>
      </c>
      <c r="E1139" t="s">
        <v>22</v>
      </c>
      <c r="F1139" t="s">
        <v>23</v>
      </c>
      <c r="G1139" t="s">
        <v>70</v>
      </c>
      <c r="H1139">
        <v>5</v>
      </c>
      <c r="I1139">
        <v>47</v>
      </c>
      <c r="J1139">
        <v>100</v>
      </c>
      <c r="K1139">
        <v>207</v>
      </c>
      <c r="L1139">
        <v>8887.7000000000007</v>
      </c>
      <c r="M1139">
        <v>-841.3</v>
      </c>
      <c r="N1139" s="1">
        <v>37951</v>
      </c>
      <c r="O1139" t="s">
        <v>25</v>
      </c>
      <c r="P1139">
        <v>4</v>
      </c>
      <c r="Q1139">
        <v>11</v>
      </c>
      <c r="R1139">
        <v>2003</v>
      </c>
      <c r="S1139" t="s">
        <v>83</v>
      </c>
    </row>
    <row r="1140" spans="1:19" x14ac:dyDescent="0.25">
      <c r="A1140">
        <v>10282</v>
      </c>
      <c r="B1140" t="s">
        <v>191</v>
      </c>
      <c r="C1140" t="s">
        <v>115</v>
      </c>
      <c r="D1140" t="s">
        <v>116</v>
      </c>
      <c r="E1140" t="s">
        <v>22</v>
      </c>
      <c r="F1140" t="s">
        <v>23</v>
      </c>
      <c r="G1140" t="s">
        <v>70</v>
      </c>
      <c r="H1140">
        <v>5</v>
      </c>
      <c r="I1140">
        <v>41</v>
      </c>
      <c r="J1140">
        <v>100</v>
      </c>
      <c r="K1140">
        <v>207</v>
      </c>
      <c r="L1140">
        <v>7071.27</v>
      </c>
      <c r="M1140">
        <v>-1415.73</v>
      </c>
      <c r="N1140" s="1">
        <v>38219</v>
      </c>
      <c r="O1140" t="s">
        <v>25</v>
      </c>
      <c r="P1140">
        <v>3</v>
      </c>
      <c r="Q1140">
        <v>8</v>
      </c>
      <c r="R1140">
        <v>2004</v>
      </c>
      <c r="S1140" t="s">
        <v>83</v>
      </c>
    </row>
    <row r="1141" spans="1:19" x14ac:dyDescent="0.25">
      <c r="A1141">
        <v>10314</v>
      </c>
      <c r="B1141" t="s">
        <v>191</v>
      </c>
      <c r="C1141" t="s">
        <v>199</v>
      </c>
      <c r="D1141" t="s">
        <v>200</v>
      </c>
      <c r="E1141" t="s">
        <v>137</v>
      </c>
      <c r="F1141" t="s">
        <v>30</v>
      </c>
      <c r="G1141" t="s">
        <v>70</v>
      </c>
      <c r="H1141">
        <v>5</v>
      </c>
      <c r="I1141">
        <v>38</v>
      </c>
      <c r="J1141">
        <v>100</v>
      </c>
      <c r="K1141">
        <v>207</v>
      </c>
      <c r="L1141">
        <v>7975.44</v>
      </c>
      <c r="M1141">
        <v>109.44</v>
      </c>
      <c r="N1141" s="1">
        <v>38282</v>
      </c>
      <c r="O1141" t="s">
        <v>25</v>
      </c>
      <c r="P1141">
        <v>4</v>
      </c>
      <c r="Q1141">
        <v>10</v>
      </c>
      <c r="R1141">
        <v>2004</v>
      </c>
      <c r="S1141" t="s">
        <v>83</v>
      </c>
    </row>
    <row r="1142" spans="1:19" x14ac:dyDescent="0.25">
      <c r="A1142">
        <v>10150</v>
      </c>
      <c r="B1142" t="s">
        <v>201</v>
      </c>
      <c r="C1142" t="s">
        <v>88</v>
      </c>
      <c r="D1142" t="s">
        <v>89</v>
      </c>
      <c r="E1142" t="s">
        <v>89</v>
      </c>
      <c r="F1142" t="s">
        <v>50</v>
      </c>
      <c r="G1142" t="s">
        <v>33</v>
      </c>
      <c r="H1142">
        <v>5</v>
      </c>
      <c r="I1142">
        <v>30</v>
      </c>
      <c r="J1142">
        <v>100</v>
      </c>
      <c r="K1142">
        <v>136</v>
      </c>
      <c r="L1142">
        <v>4100.1000000000004</v>
      </c>
      <c r="M1142">
        <v>20.100000000000001</v>
      </c>
      <c r="N1142" s="1">
        <v>37883</v>
      </c>
      <c r="O1142" t="s">
        <v>25</v>
      </c>
      <c r="P1142">
        <v>3</v>
      </c>
      <c r="Q1142">
        <v>9</v>
      </c>
      <c r="R1142">
        <v>2003</v>
      </c>
      <c r="S1142" t="s">
        <v>202</v>
      </c>
    </row>
    <row r="1143" spans="1:19" x14ac:dyDescent="0.25">
      <c r="A1143">
        <v>10183</v>
      </c>
      <c r="B1143" t="s">
        <v>201</v>
      </c>
      <c r="C1143" t="s">
        <v>93</v>
      </c>
      <c r="D1143" t="s">
        <v>94</v>
      </c>
      <c r="E1143" t="s">
        <v>22</v>
      </c>
      <c r="F1143" t="s">
        <v>23</v>
      </c>
      <c r="G1143" t="s">
        <v>33</v>
      </c>
      <c r="H1143">
        <v>5</v>
      </c>
      <c r="I1143">
        <v>41</v>
      </c>
      <c r="J1143">
        <v>100</v>
      </c>
      <c r="K1143">
        <v>136</v>
      </c>
      <c r="L1143">
        <v>6163.94</v>
      </c>
      <c r="M1143">
        <v>587.94000000000005</v>
      </c>
      <c r="N1143" s="1">
        <v>37938</v>
      </c>
      <c r="O1143" t="s">
        <v>25</v>
      </c>
      <c r="P1143">
        <v>4</v>
      </c>
      <c r="Q1143">
        <v>11</v>
      </c>
      <c r="R1143">
        <v>2003</v>
      </c>
      <c r="S1143" t="s">
        <v>202</v>
      </c>
    </row>
    <row r="1144" spans="1:19" x14ac:dyDescent="0.25">
      <c r="A1144">
        <v>10145</v>
      </c>
      <c r="B1144" t="s">
        <v>203</v>
      </c>
      <c r="C1144" t="s">
        <v>34</v>
      </c>
      <c r="D1144" t="s">
        <v>35</v>
      </c>
      <c r="E1144" t="s">
        <v>22</v>
      </c>
      <c r="F1144" t="s">
        <v>23</v>
      </c>
      <c r="G1144" t="s">
        <v>70</v>
      </c>
      <c r="H1144">
        <v>5</v>
      </c>
      <c r="I1144">
        <v>49</v>
      </c>
      <c r="J1144">
        <v>100</v>
      </c>
      <c r="K1144">
        <v>150</v>
      </c>
      <c r="L1144">
        <v>8339.7999999999993</v>
      </c>
      <c r="M1144">
        <v>989.8</v>
      </c>
      <c r="N1144" s="1">
        <v>37858</v>
      </c>
      <c r="O1144" t="s">
        <v>25</v>
      </c>
      <c r="P1144">
        <v>3</v>
      </c>
      <c r="Q1144">
        <v>8</v>
      </c>
      <c r="R1144">
        <v>2003</v>
      </c>
      <c r="S1144" t="s">
        <v>26</v>
      </c>
    </row>
    <row r="1145" spans="1:19" x14ac:dyDescent="0.25">
      <c r="A1145">
        <v>10285</v>
      </c>
      <c r="B1145" t="s">
        <v>203</v>
      </c>
      <c r="C1145" t="s">
        <v>58</v>
      </c>
      <c r="D1145" t="s">
        <v>59</v>
      </c>
      <c r="E1145" t="s">
        <v>22</v>
      </c>
      <c r="F1145" t="s">
        <v>23</v>
      </c>
      <c r="G1145" t="s">
        <v>33</v>
      </c>
      <c r="H1145">
        <v>5</v>
      </c>
      <c r="I1145">
        <v>49</v>
      </c>
      <c r="J1145">
        <v>100</v>
      </c>
      <c r="K1145">
        <v>150</v>
      </c>
      <c r="L1145">
        <v>6863.92</v>
      </c>
      <c r="M1145">
        <v>-486.08</v>
      </c>
      <c r="N1145" s="1">
        <v>38226</v>
      </c>
      <c r="O1145" t="s">
        <v>25</v>
      </c>
      <c r="P1145">
        <v>3</v>
      </c>
      <c r="Q1145">
        <v>8</v>
      </c>
      <c r="R1145">
        <v>2004</v>
      </c>
      <c r="S1145" t="s">
        <v>26</v>
      </c>
    </row>
    <row r="1146" spans="1:19" x14ac:dyDescent="0.25">
      <c r="A1146">
        <v>10358</v>
      </c>
      <c r="B1146" t="s">
        <v>205</v>
      </c>
      <c r="C1146" t="s">
        <v>78</v>
      </c>
      <c r="D1146" t="s">
        <v>79</v>
      </c>
      <c r="E1146" t="s">
        <v>80</v>
      </c>
      <c r="F1146" t="s">
        <v>30</v>
      </c>
      <c r="G1146" t="s">
        <v>24</v>
      </c>
      <c r="H1146">
        <v>5</v>
      </c>
      <c r="I1146">
        <v>49</v>
      </c>
      <c r="J1146">
        <v>55.34</v>
      </c>
      <c r="K1146">
        <v>151</v>
      </c>
      <c r="L1146">
        <v>2711.66</v>
      </c>
      <c r="M1146">
        <v>-4687.34</v>
      </c>
      <c r="N1146" s="1">
        <v>38331</v>
      </c>
      <c r="O1146" t="s">
        <v>25</v>
      </c>
      <c r="P1146">
        <v>4</v>
      </c>
      <c r="Q1146">
        <v>12</v>
      </c>
      <c r="R1146">
        <v>2004</v>
      </c>
      <c r="S1146" t="s">
        <v>83</v>
      </c>
    </row>
    <row r="1147" spans="1:19" x14ac:dyDescent="0.25">
      <c r="A1147">
        <v>10135</v>
      </c>
      <c r="B1147" t="s">
        <v>206</v>
      </c>
      <c r="C1147" t="s">
        <v>115</v>
      </c>
      <c r="D1147" t="s">
        <v>116</v>
      </c>
      <c r="E1147" t="s">
        <v>22</v>
      </c>
      <c r="F1147" t="s">
        <v>23</v>
      </c>
      <c r="G1147" t="s">
        <v>33</v>
      </c>
      <c r="H1147">
        <v>5</v>
      </c>
      <c r="I1147">
        <v>48</v>
      </c>
      <c r="J1147">
        <v>100</v>
      </c>
      <c r="K1147">
        <v>117</v>
      </c>
      <c r="L1147">
        <v>6031.68</v>
      </c>
      <c r="M1147">
        <v>415.68</v>
      </c>
      <c r="N1147" s="1">
        <v>37804</v>
      </c>
      <c r="O1147" t="s">
        <v>25</v>
      </c>
      <c r="P1147">
        <v>3</v>
      </c>
      <c r="Q1147">
        <v>7</v>
      </c>
      <c r="R1147">
        <v>2003</v>
      </c>
      <c r="S1147" t="s">
        <v>83</v>
      </c>
    </row>
    <row r="1148" spans="1:19" x14ac:dyDescent="0.25">
      <c r="A1148">
        <v>10147</v>
      </c>
      <c r="B1148" t="s">
        <v>206</v>
      </c>
      <c r="C1148" t="s">
        <v>119</v>
      </c>
      <c r="D1148" t="s">
        <v>120</v>
      </c>
      <c r="E1148" t="s">
        <v>22</v>
      </c>
      <c r="F1148" t="s">
        <v>23</v>
      </c>
      <c r="G1148" t="s">
        <v>33</v>
      </c>
      <c r="H1148">
        <v>5</v>
      </c>
      <c r="I1148">
        <v>31</v>
      </c>
      <c r="J1148">
        <v>100</v>
      </c>
      <c r="K1148">
        <v>117</v>
      </c>
      <c r="L1148">
        <v>3494.94</v>
      </c>
      <c r="M1148">
        <v>-132.06</v>
      </c>
      <c r="N1148" s="1">
        <v>37869</v>
      </c>
      <c r="O1148" t="s">
        <v>25</v>
      </c>
      <c r="P1148">
        <v>3</v>
      </c>
      <c r="Q1148">
        <v>9</v>
      </c>
      <c r="R1148">
        <v>2003</v>
      </c>
      <c r="S1148" t="s">
        <v>83</v>
      </c>
    </row>
    <row r="1149" spans="1:19" x14ac:dyDescent="0.25">
      <c r="A1149">
        <v>10359</v>
      </c>
      <c r="B1149" t="s">
        <v>209</v>
      </c>
      <c r="C1149" t="s">
        <v>27</v>
      </c>
      <c r="D1149" t="s">
        <v>28</v>
      </c>
      <c r="E1149" t="s">
        <v>29</v>
      </c>
      <c r="F1149" t="s">
        <v>30</v>
      </c>
      <c r="G1149" t="s">
        <v>33</v>
      </c>
      <c r="H1149">
        <v>5</v>
      </c>
      <c r="I1149">
        <v>49</v>
      </c>
      <c r="J1149">
        <v>62.09</v>
      </c>
      <c r="K1149">
        <v>173</v>
      </c>
      <c r="L1149">
        <v>3042.41</v>
      </c>
      <c r="M1149">
        <v>-5434.59</v>
      </c>
      <c r="N1149" s="1">
        <v>38336</v>
      </c>
      <c r="O1149" t="s">
        <v>25</v>
      </c>
      <c r="P1149">
        <v>4</v>
      </c>
      <c r="Q1149">
        <v>12</v>
      </c>
      <c r="R1149">
        <v>2004</v>
      </c>
      <c r="S1149" t="s">
        <v>83</v>
      </c>
    </row>
    <row r="1150" spans="1:19" x14ac:dyDescent="0.25">
      <c r="A1150">
        <v>10363</v>
      </c>
      <c r="B1150" t="s">
        <v>210</v>
      </c>
      <c r="C1150" t="s">
        <v>189</v>
      </c>
      <c r="D1150" t="s">
        <v>190</v>
      </c>
      <c r="E1150" t="s">
        <v>62</v>
      </c>
      <c r="F1150" t="s">
        <v>30</v>
      </c>
      <c r="G1150" t="s">
        <v>24</v>
      </c>
      <c r="H1150">
        <v>5</v>
      </c>
      <c r="I1150">
        <v>34</v>
      </c>
      <c r="J1150">
        <v>81.62</v>
      </c>
      <c r="K1150">
        <v>79</v>
      </c>
      <c r="L1150">
        <v>2775.08</v>
      </c>
      <c r="M1150">
        <v>89.08</v>
      </c>
      <c r="N1150" s="1">
        <v>38358</v>
      </c>
      <c r="O1150" t="s">
        <v>25</v>
      </c>
      <c r="P1150">
        <v>1</v>
      </c>
      <c r="Q1150">
        <v>1</v>
      </c>
      <c r="R1150">
        <v>2005</v>
      </c>
      <c r="S1150" t="s">
        <v>83</v>
      </c>
    </row>
    <row r="1151" spans="1:19" x14ac:dyDescent="0.25">
      <c r="A1151">
        <v>10377</v>
      </c>
      <c r="B1151" t="s">
        <v>210</v>
      </c>
      <c r="C1151" t="s">
        <v>60</v>
      </c>
      <c r="D1151" t="s">
        <v>61</v>
      </c>
      <c r="E1151" t="s">
        <v>62</v>
      </c>
      <c r="F1151" t="s">
        <v>30</v>
      </c>
      <c r="G1151" t="s">
        <v>24</v>
      </c>
      <c r="H1151">
        <v>5</v>
      </c>
      <c r="I1151">
        <v>24</v>
      </c>
      <c r="J1151">
        <v>67.83</v>
      </c>
      <c r="K1151">
        <v>79</v>
      </c>
      <c r="L1151">
        <v>1627.92</v>
      </c>
      <c r="M1151">
        <v>-268.08</v>
      </c>
      <c r="N1151" s="1">
        <v>38392</v>
      </c>
      <c r="O1151" t="s">
        <v>25</v>
      </c>
      <c r="P1151">
        <v>1</v>
      </c>
      <c r="Q1151">
        <v>2</v>
      </c>
      <c r="R1151">
        <v>2005</v>
      </c>
      <c r="S1151" t="s">
        <v>83</v>
      </c>
    </row>
    <row r="1152" spans="1:19" x14ac:dyDescent="0.25">
      <c r="A1152">
        <v>10115</v>
      </c>
      <c r="B1152" t="s">
        <v>211</v>
      </c>
      <c r="C1152" t="s">
        <v>90</v>
      </c>
      <c r="D1152" t="s">
        <v>21</v>
      </c>
      <c r="E1152" t="s">
        <v>22</v>
      </c>
      <c r="F1152" t="s">
        <v>23</v>
      </c>
      <c r="G1152" t="s">
        <v>33</v>
      </c>
      <c r="H1152">
        <v>5</v>
      </c>
      <c r="I1152">
        <v>46</v>
      </c>
      <c r="J1152">
        <v>100</v>
      </c>
      <c r="K1152">
        <v>118</v>
      </c>
      <c r="L1152">
        <v>5723.78</v>
      </c>
      <c r="M1152">
        <v>295.77999999999997</v>
      </c>
      <c r="N1152" s="1">
        <v>37715</v>
      </c>
      <c r="O1152" t="s">
        <v>25</v>
      </c>
      <c r="P1152">
        <v>2</v>
      </c>
      <c r="Q1152">
        <v>4</v>
      </c>
      <c r="R1152">
        <v>2003</v>
      </c>
      <c r="S1152" t="s">
        <v>202</v>
      </c>
    </row>
    <row r="1153" spans="1:19" x14ac:dyDescent="0.25">
      <c r="A1153">
        <v>10141</v>
      </c>
      <c r="B1153" t="s">
        <v>211</v>
      </c>
      <c r="C1153" t="s">
        <v>189</v>
      </c>
      <c r="D1153" t="s">
        <v>190</v>
      </c>
      <c r="E1153" t="s">
        <v>62</v>
      </c>
      <c r="F1153" t="s">
        <v>30</v>
      </c>
      <c r="G1153" t="s">
        <v>24</v>
      </c>
      <c r="H1153">
        <v>5</v>
      </c>
      <c r="I1153">
        <v>21</v>
      </c>
      <c r="J1153">
        <v>100</v>
      </c>
      <c r="K1153">
        <v>118</v>
      </c>
      <c r="L1153">
        <v>2140.11</v>
      </c>
      <c r="M1153">
        <v>-337.89</v>
      </c>
      <c r="N1153" s="1">
        <v>37834</v>
      </c>
      <c r="O1153" t="s">
        <v>25</v>
      </c>
      <c r="P1153">
        <v>3</v>
      </c>
      <c r="Q1153">
        <v>8</v>
      </c>
      <c r="R1153">
        <v>2003</v>
      </c>
      <c r="S1153" t="s">
        <v>202</v>
      </c>
    </row>
    <row r="1154" spans="1:19" x14ac:dyDescent="0.25">
      <c r="A1154">
        <v>10246</v>
      </c>
      <c r="B1154" t="s">
        <v>211</v>
      </c>
      <c r="C1154" t="s">
        <v>78</v>
      </c>
      <c r="D1154" t="s">
        <v>79</v>
      </c>
      <c r="E1154" t="s">
        <v>80</v>
      </c>
      <c r="F1154" t="s">
        <v>30</v>
      </c>
      <c r="G1154" t="s">
        <v>33</v>
      </c>
      <c r="H1154">
        <v>5</v>
      </c>
      <c r="I1154">
        <v>46</v>
      </c>
      <c r="J1154">
        <v>100</v>
      </c>
      <c r="K1154">
        <v>118</v>
      </c>
      <c r="L1154">
        <v>5069.66</v>
      </c>
      <c r="M1154">
        <v>-358.34</v>
      </c>
      <c r="N1154" s="1">
        <v>38112</v>
      </c>
      <c r="O1154" t="s">
        <v>25</v>
      </c>
      <c r="P1154">
        <v>2</v>
      </c>
      <c r="Q1154">
        <v>5</v>
      </c>
      <c r="R1154">
        <v>2004</v>
      </c>
      <c r="S1154" t="s">
        <v>202</v>
      </c>
    </row>
    <row r="1155" spans="1:19" x14ac:dyDescent="0.25">
      <c r="A1155">
        <v>10271</v>
      </c>
      <c r="B1155" t="s">
        <v>211</v>
      </c>
      <c r="C1155" t="s">
        <v>115</v>
      </c>
      <c r="D1155" t="s">
        <v>116</v>
      </c>
      <c r="E1155" t="s">
        <v>22</v>
      </c>
      <c r="F1155" t="s">
        <v>23</v>
      </c>
      <c r="G1155" t="s">
        <v>33</v>
      </c>
      <c r="H1155">
        <v>5</v>
      </c>
      <c r="I1155">
        <v>31</v>
      </c>
      <c r="J1155">
        <v>97.17</v>
      </c>
      <c r="K1155">
        <v>118</v>
      </c>
      <c r="L1155">
        <v>3012.27</v>
      </c>
      <c r="M1155">
        <v>-645.73</v>
      </c>
      <c r="N1155" s="1">
        <v>38188</v>
      </c>
      <c r="O1155" t="s">
        <v>25</v>
      </c>
      <c r="P1155">
        <v>3</v>
      </c>
      <c r="Q1155">
        <v>7</v>
      </c>
      <c r="R1155">
        <v>2004</v>
      </c>
      <c r="S1155" t="s">
        <v>202</v>
      </c>
    </row>
    <row r="1156" spans="1:19" x14ac:dyDescent="0.25">
      <c r="A1156">
        <v>10305</v>
      </c>
      <c r="B1156" t="s">
        <v>211</v>
      </c>
      <c r="C1156" t="s">
        <v>58</v>
      </c>
      <c r="D1156" t="s">
        <v>59</v>
      </c>
      <c r="E1156" t="s">
        <v>22</v>
      </c>
      <c r="F1156" t="s">
        <v>23</v>
      </c>
      <c r="G1156" t="s">
        <v>33</v>
      </c>
      <c r="H1156">
        <v>5</v>
      </c>
      <c r="I1156">
        <v>38</v>
      </c>
      <c r="J1156">
        <v>100</v>
      </c>
      <c r="K1156">
        <v>118</v>
      </c>
      <c r="L1156">
        <v>4773.18</v>
      </c>
      <c r="M1156">
        <v>289.18</v>
      </c>
      <c r="N1156" s="1">
        <v>38273</v>
      </c>
      <c r="O1156" t="s">
        <v>25</v>
      </c>
      <c r="P1156">
        <v>4</v>
      </c>
      <c r="Q1156">
        <v>10</v>
      </c>
      <c r="R1156">
        <v>2004</v>
      </c>
      <c r="S1156" t="s">
        <v>202</v>
      </c>
    </row>
    <row r="1157" spans="1:19" x14ac:dyDescent="0.25">
      <c r="A1157">
        <v>10412</v>
      </c>
      <c r="B1157" t="s">
        <v>211</v>
      </c>
      <c r="C1157" t="s">
        <v>78</v>
      </c>
      <c r="D1157" t="s">
        <v>79</v>
      </c>
      <c r="E1157" t="s">
        <v>80</v>
      </c>
      <c r="F1157" t="s">
        <v>30</v>
      </c>
      <c r="G1157" t="s">
        <v>33</v>
      </c>
      <c r="H1157">
        <v>5</v>
      </c>
      <c r="I1157">
        <v>54</v>
      </c>
      <c r="J1157">
        <v>100</v>
      </c>
      <c r="K1157">
        <v>118</v>
      </c>
      <c r="L1157">
        <v>5951.34</v>
      </c>
      <c r="M1157">
        <v>-420.66</v>
      </c>
      <c r="N1157" s="1">
        <v>38475</v>
      </c>
      <c r="O1157" t="s">
        <v>25</v>
      </c>
      <c r="P1157">
        <v>2</v>
      </c>
      <c r="Q1157">
        <v>5</v>
      </c>
      <c r="R1157">
        <v>2005</v>
      </c>
      <c r="S1157" t="s">
        <v>202</v>
      </c>
    </row>
    <row r="1158" spans="1:19" x14ac:dyDescent="0.25">
      <c r="A1158">
        <v>10160</v>
      </c>
      <c r="B1158" t="s">
        <v>216</v>
      </c>
      <c r="C1158" t="s">
        <v>147</v>
      </c>
      <c r="D1158" t="s">
        <v>148</v>
      </c>
      <c r="E1158" t="s">
        <v>22</v>
      </c>
      <c r="F1158" t="s">
        <v>23</v>
      </c>
      <c r="G1158" t="s">
        <v>33</v>
      </c>
      <c r="H1158">
        <v>5</v>
      </c>
      <c r="I1158">
        <v>50</v>
      </c>
      <c r="J1158">
        <v>100</v>
      </c>
      <c r="K1158">
        <v>115</v>
      </c>
      <c r="L1158">
        <v>5182</v>
      </c>
      <c r="M1158">
        <v>-568</v>
      </c>
      <c r="N1158" s="1">
        <v>37905</v>
      </c>
      <c r="O1158" t="s">
        <v>25</v>
      </c>
      <c r="P1158">
        <v>4</v>
      </c>
      <c r="Q1158">
        <v>10</v>
      </c>
      <c r="R1158">
        <v>2003</v>
      </c>
      <c r="S1158" t="s">
        <v>83</v>
      </c>
    </row>
    <row r="1159" spans="1:19" x14ac:dyDescent="0.25">
      <c r="A1159">
        <v>10203</v>
      </c>
      <c r="B1159" t="s">
        <v>216</v>
      </c>
      <c r="C1159" t="s">
        <v>78</v>
      </c>
      <c r="D1159" t="s">
        <v>79</v>
      </c>
      <c r="E1159" t="s">
        <v>80</v>
      </c>
      <c r="F1159" t="s">
        <v>30</v>
      </c>
      <c r="G1159" t="s">
        <v>33</v>
      </c>
      <c r="H1159">
        <v>5</v>
      </c>
      <c r="I1159">
        <v>47</v>
      </c>
      <c r="J1159">
        <v>100</v>
      </c>
      <c r="K1159">
        <v>115</v>
      </c>
      <c r="L1159">
        <v>5195.8500000000004</v>
      </c>
      <c r="M1159">
        <v>-209.15</v>
      </c>
      <c r="N1159" s="1">
        <v>37957</v>
      </c>
      <c r="O1159" t="s">
        <v>25</v>
      </c>
      <c r="P1159">
        <v>4</v>
      </c>
      <c r="Q1159">
        <v>12</v>
      </c>
      <c r="R1159">
        <v>2003</v>
      </c>
      <c r="S1159" t="s">
        <v>83</v>
      </c>
    </row>
    <row r="1160" spans="1:19" x14ac:dyDescent="0.25">
      <c r="A1160">
        <v>10239</v>
      </c>
      <c r="B1160" t="s">
        <v>216</v>
      </c>
      <c r="C1160" t="s">
        <v>160</v>
      </c>
      <c r="D1160" t="s">
        <v>161</v>
      </c>
      <c r="E1160" t="s">
        <v>62</v>
      </c>
      <c r="F1160" t="s">
        <v>30</v>
      </c>
      <c r="G1160" t="s">
        <v>24</v>
      </c>
      <c r="H1160">
        <v>5</v>
      </c>
      <c r="I1160">
        <v>21</v>
      </c>
      <c r="J1160">
        <v>93.28</v>
      </c>
      <c r="K1160">
        <v>115</v>
      </c>
      <c r="L1160">
        <v>1958.88</v>
      </c>
      <c r="M1160">
        <v>-456.12</v>
      </c>
      <c r="N1160" s="1">
        <v>38089</v>
      </c>
      <c r="O1160" t="s">
        <v>25</v>
      </c>
      <c r="P1160">
        <v>2</v>
      </c>
      <c r="Q1160">
        <v>4</v>
      </c>
      <c r="R1160">
        <v>2004</v>
      </c>
      <c r="S1160" t="s">
        <v>83</v>
      </c>
    </row>
    <row r="1161" spans="1:19" x14ac:dyDescent="0.25">
      <c r="A1161">
        <v>10405</v>
      </c>
      <c r="B1161" t="s">
        <v>216</v>
      </c>
      <c r="C1161" t="s">
        <v>217</v>
      </c>
      <c r="D1161" t="s">
        <v>218</v>
      </c>
      <c r="E1161" t="s">
        <v>29</v>
      </c>
      <c r="F1161" t="s">
        <v>30</v>
      </c>
      <c r="G1161" t="s">
        <v>70</v>
      </c>
      <c r="H1161">
        <v>5</v>
      </c>
      <c r="I1161">
        <v>97</v>
      </c>
      <c r="J1161">
        <v>93.28</v>
      </c>
      <c r="K1161">
        <v>115</v>
      </c>
      <c r="L1161">
        <v>9048.16</v>
      </c>
      <c r="M1161">
        <v>-2106.84</v>
      </c>
      <c r="N1161" s="1">
        <v>38456</v>
      </c>
      <c r="O1161" t="s">
        <v>25</v>
      </c>
      <c r="P1161">
        <v>2</v>
      </c>
      <c r="Q1161">
        <v>4</v>
      </c>
      <c r="R1161">
        <v>2005</v>
      </c>
      <c r="S1161" t="s">
        <v>83</v>
      </c>
    </row>
    <row r="1162" spans="1:19" x14ac:dyDescent="0.25">
      <c r="A1162">
        <v>10206</v>
      </c>
      <c r="B1162" t="s">
        <v>219</v>
      </c>
      <c r="C1162" t="s">
        <v>97</v>
      </c>
      <c r="D1162" t="s">
        <v>98</v>
      </c>
      <c r="E1162" t="s">
        <v>99</v>
      </c>
      <c r="F1162" t="s">
        <v>23</v>
      </c>
      <c r="G1162" t="s">
        <v>33</v>
      </c>
      <c r="H1162">
        <v>5</v>
      </c>
      <c r="I1162">
        <v>34</v>
      </c>
      <c r="J1162">
        <v>100</v>
      </c>
      <c r="K1162">
        <v>116</v>
      </c>
      <c r="L1162">
        <v>3966.78</v>
      </c>
      <c r="M1162">
        <v>22.78</v>
      </c>
      <c r="N1162" s="1">
        <v>37960</v>
      </c>
      <c r="O1162" t="s">
        <v>25</v>
      </c>
      <c r="P1162">
        <v>4</v>
      </c>
      <c r="Q1162">
        <v>12</v>
      </c>
      <c r="R1162">
        <v>2003</v>
      </c>
      <c r="S1162" t="s">
        <v>202</v>
      </c>
    </row>
    <row r="1163" spans="1:19" x14ac:dyDescent="0.25">
      <c r="A1163">
        <v>10258</v>
      </c>
      <c r="B1163" t="s">
        <v>219</v>
      </c>
      <c r="C1163" t="s">
        <v>105</v>
      </c>
      <c r="D1163" t="s">
        <v>106</v>
      </c>
      <c r="E1163" t="s">
        <v>107</v>
      </c>
      <c r="F1163" t="s">
        <v>50</v>
      </c>
      <c r="G1163" t="s">
        <v>33</v>
      </c>
      <c r="H1163">
        <v>5</v>
      </c>
      <c r="I1163">
        <v>41</v>
      </c>
      <c r="J1163">
        <v>100</v>
      </c>
      <c r="K1163">
        <v>116</v>
      </c>
      <c r="L1163">
        <v>5453</v>
      </c>
      <c r="M1163">
        <v>697</v>
      </c>
      <c r="N1163" s="1">
        <v>38153</v>
      </c>
      <c r="O1163" t="s">
        <v>25</v>
      </c>
      <c r="P1163">
        <v>2</v>
      </c>
      <c r="Q1163">
        <v>6</v>
      </c>
      <c r="R1163">
        <v>2004</v>
      </c>
      <c r="S1163" t="s">
        <v>202</v>
      </c>
    </row>
    <row r="1164" spans="1:19" x14ac:dyDescent="0.25">
      <c r="A1164">
        <v>10304</v>
      </c>
      <c r="B1164" t="s">
        <v>219</v>
      </c>
      <c r="C1164" t="s">
        <v>113</v>
      </c>
      <c r="D1164" t="s">
        <v>114</v>
      </c>
      <c r="E1164" t="s">
        <v>29</v>
      </c>
      <c r="F1164" t="s">
        <v>30</v>
      </c>
      <c r="G1164" t="s">
        <v>33</v>
      </c>
      <c r="H1164">
        <v>5</v>
      </c>
      <c r="I1164">
        <v>46</v>
      </c>
      <c r="J1164">
        <v>98</v>
      </c>
      <c r="K1164">
        <v>116</v>
      </c>
      <c r="L1164">
        <v>4508</v>
      </c>
      <c r="M1164">
        <v>-828</v>
      </c>
      <c r="N1164" s="1">
        <v>38271</v>
      </c>
      <c r="O1164" t="s">
        <v>25</v>
      </c>
      <c r="P1164">
        <v>4</v>
      </c>
      <c r="Q1164">
        <v>10</v>
      </c>
      <c r="R1164">
        <v>2004</v>
      </c>
      <c r="S1164" t="s">
        <v>202</v>
      </c>
    </row>
    <row r="1165" spans="1:19" x14ac:dyDescent="0.25">
      <c r="A1165">
        <v>10347</v>
      </c>
      <c r="B1165" t="s">
        <v>219</v>
      </c>
      <c r="C1165" t="s">
        <v>47</v>
      </c>
      <c r="D1165" t="s">
        <v>48</v>
      </c>
      <c r="E1165" t="s">
        <v>49</v>
      </c>
      <c r="F1165" t="s">
        <v>50</v>
      </c>
      <c r="G1165" t="s">
        <v>24</v>
      </c>
      <c r="H1165">
        <v>5</v>
      </c>
      <c r="I1165">
        <v>42</v>
      </c>
      <c r="J1165">
        <v>49.6</v>
      </c>
      <c r="K1165">
        <v>116</v>
      </c>
      <c r="L1165">
        <v>2083.1999999999998</v>
      </c>
      <c r="M1165">
        <v>-2788.8</v>
      </c>
      <c r="N1165" s="1">
        <v>38320</v>
      </c>
      <c r="O1165" t="s">
        <v>25</v>
      </c>
      <c r="P1165">
        <v>4</v>
      </c>
      <c r="Q1165">
        <v>11</v>
      </c>
      <c r="R1165">
        <v>2004</v>
      </c>
      <c r="S1165" t="s">
        <v>202</v>
      </c>
    </row>
    <row r="1166" spans="1:19" x14ac:dyDescent="0.25">
      <c r="A1166">
        <v>10424</v>
      </c>
      <c r="B1166" t="s">
        <v>219</v>
      </c>
      <c r="C1166" t="s">
        <v>78</v>
      </c>
      <c r="D1166" t="s">
        <v>79</v>
      </c>
      <c r="E1166" t="s">
        <v>80</v>
      </c>
      <c r="F1166" t="s">
        <v>30</v>
      </c>
      <c r="G1166" t="s">
        <v>70</v>
      </c>
      <c r="H1166">
        <v>5</v>
      </c>
      <c r="I1166">
        <v>54</v>
      </c>
      <c r="J1166">
        <v>100</v>
      </c>
      <c r="K1166">
        <v>116</v>
      </c>
      <c r="L1166">
        <v>7182</v>
      </c>
      <c r="M1166">
        <v>918</v>
      </c>
      <c r="N1166" s="1">
        <v>38503</v>
      </c>
      <c r="O1166" t="s">
        <v>125</v>
      </c>
      <c r="P1166">
        <v>2</v>
      </c>
      <c r="Q1166">
        <v>5</v>
      </c>
      <c r="R1166">
        <v>2005</v>
      </c>
      <c r="S1166" t="s">
        <v>202</v>
      </c>
    </row>
    <row r="1167" spans="1:19" x14ac:dyDescent="0.25">
      <c r="A1167">
        <v>10253</v>
      </c>
      <c r="B1167" t="s">
        <v>220</v>
      </c>
      <c r="C1167" t="s">
        <v>75</v>
      </c>
      <c r="D1167" t="s">
        <v>76</v>
      </c>
      <c r="E1167" t="s">
        <v>77</v>
      </c>
      <c r="F1167" t="s">
        <v>30</v>
      </c>
      <c r="G1167" t="s">
        <v>33</v>
      </c>
      <c r="H1167">
        <v>5</v>
      </c>
      <c r="I1167">
        <v>26</v>
      </c>
      <c r="J1167">
        <v>100</v>
      </c>
      <c r="K1167">
        <v>141</v>
      </c>
      <c r="L1167">
        <v>3054.48</v>
      </c>
      <c r="M1167">
        <v>-611.52</v>
      </c>
      <c r="N1167" s="1">
        <v>38139</v>
      </c>
      <c r="O1167" t="s">
        <v>141</v>
      </c>
      <c r="P1167">
        <v>2</v>
      </c>
      <c r="Q1167">
        <v>6</v>
      </c>
      <c r="R1167">
        <v>2004</v>
      </c>
      <c r="S1167" t="s">
        <v>83</v>
      </c>
    </row>
    <row r="1168" spans="1:19" x14ac:dyDescent="0.25">
      <c r="A1168">
        <v>10419</v>
      </c>
      <c r="B1168" t="s">
        <v>220</v>
      </c>
      <c r="C1168" t="s">
        <v>67</v>
      </c>
      <c r="D1168" t="s">
        <v>68</v>
      </c>
      <c r="E1168" t="s">
        <v>69</v>
      </c>
      <c r="F1168" t="s">
        <v>30</v>
      </c>
      <c r="G1168" t="s">
        <v>33</v>
      </c>
      <c r="H1168">
        <v>5</v>
      </c>
      <c r="I1168">
        <v>38</v>
      </c>
      <c r="J1168">
        <v>100</v>
      </c>
      <c r="K1168">
        <v>141</v>
      </c>
      <c r="L1168">
        <v>4464.24</v>
      </c>
      <c r="M1168">
        <v>-893.76</v>
      </c>
      <c r="N1168" s="1">
        <v>38489</v>
      </c>
      <c r="O1168" t="s">
        <v>25</v>
      </c>
      <c r="P1168">
        <v>2</v>
      </c>
      <c r="Q1168">
        <v>5</v>
      </c>
      <c r="R1168">
        <v>2005</v>
      </c>
      <c r="S1168" t="s">
        <v>83</v>
      </c>
    </row>
    <row r="1169" spans="1:19" x14ac:dyDescent="0.25">
      <c r="A1169">
        <v>10111</v>
      </c>
      <c r="B1169" t="s">
        <v>231</v>
      </c>
      <c r="C1169" t="s">
        <v>45</v>
      </c>
      <c r="D1169" t="s">
        <v>37</v>
      </c>
      <c r="E1169" t="s">
        <v>22</v>
      </c>
      <c r="F1169" t="s">
        <v>23</v>
      </c>
      <c r="G1169" t="s">
        <v>24</v>
      </c>
      <c r="H1169">
        <v>5</v>
      </c>
      <c r="I1169">
        <v>48</v>
      </c>
      <c r="J1169">
        <v>49.06</v>
      </c>
      <c r="K1169">
        <v>53</v>
      </c>
      <c r="L1169">
        <v>2354.88</v>
      </c>
      <c r="M1169">
        <v>-189.12</v>
      </c>
      <c r="N1169" s="1">
        <v>37705</v>
      </c>
      <c r="O1169" t="s">
        <v>25</v>
      </c>
      <c r="P1169">
        <v>1</v>
      </c>
      <c r="Q1169">
        <v>3</v>
      </c>
      <c r="R1169">
        <v>2003</v>
      </c>
      <c r="S1169" t="s">
        <v>226</v>
      </c>
    </row>
    <row r="1170" spans="1:19" x14ac:dyDescent="0.25">
      <c r="A1170">
        <v>10173</v>
      </c>
      <c r="B1170" t="s">
        <v>231</v>
      </c>
      <c r="C1170" t="s">
        <v>227</v>
      </c>
      <c r="D1170" t="s">
        <v>228</v>
      </c>
      <c r="E1170" t="s">
        <v>110</v>
      </c>
      <c r="F1170" t="s">
        <v>30</v>
      </c>
      <c r="G1170" t="s">
        <v>24</v>
      </c>
      <c r="H1170">
        <v>5</v>
      </c>
      <c r="I1170">
        <v>48</v>
      </c>
      <c r="J1170">
        <v>44.21</v>
      </c>
      <c r="K1170">
        <v>53</v>
      </c>
      <c r="L1170">
        <v>2122.08</v>
      </c>
      <c r="M1170">
        <v>-421.92</v>
      </c>
      <c r="N1170" s="1">
        <v>37930</v>
      </c>
      <c r="O1170" t="s">
        <v>25</v>
      </c>
      <c r="P1170">
        <v>4</v>
      </c>
      <c r="Q1170">
        <v>11</v>
      </c>
      <c r="R1170">
        <v>2003</v>
      </c>
      <c r="S1170" t="s">
        <v>226</v>
      </c>
    </row>
    <row r="1171" spans="1:19" x14ac:dyDescent="0.25">
      <c r="A1171">
        <v>10322</v>
      </c>
      <c r="B1171" t="s">
        <v>231</v>
      </c>
      <c r="C1171" t="s">
        <v>117</v>
      </c>
      <c r="D1171" t="s">
        <v>118</v>
      </c>
      <c r="E1171" t="s">
        <v>22</v>
      </c>
      <c r="F1171" t="s">
        <v>23</v>
      </c>
      <c r="G1171" t="s">
        <v>24</v>
      </c>
      <c r="H1171">
        <v>5</v>
      </c>
      <c r="I1171">
        <v>41</v>
      </c>
      <c r="J1171">
        <v>57.68</v>
      </c>
      <c r="K1171">
        <v>53</v>
      </c>
      <c r="L1171">
        <v>2364.88</v>
      </c>
      <c r="M1171">
        <v>191.88</v>
      </c>
      <c r="N1171" s="1">
        <v>38295</v>
      </c>
      <c r="O1171" t="s">
        <v>25</v>
      </c>
      <c r="P1171">
        <v>4</v>
      </c>
      <c r="Q1171">
        <v>11</v>
      </c>
      <c r="R1171">
        <v>2004</v>
      </c>
      <c r="S1171" t="s">
        <v>226</v>
      </c>
    </row>
    <row r="1172" spans="1:19" x14ac:dyDescent="0.25">
      <c r="A1172">
        <v>10378</v>
      </c>
      <c r="B1172" t="s">
        <v>232</v>
      </c>
      <c r="C1172" t="s">
        <v>78</v>
      </c>
      <c r="D1172" t="s">
        <v>79</v>
      </c>
      <c r="E1172" t="s">
        <v>80</v>
      </c>
      <c r="F1172" t="s">
        <v>30</v>
      </c>
      <c r="G1172" t="s">
        <v>24</v>
      </c>
      <c r="H1172">
        <v>5</v>
      </c>
      <c r="I1172">
        <v>34</v>
      </c>
      <c r="J1172">
        <v>42.64</v>
      </c>
      <c r="K1172">
        <v>124</v>
      </c>
      <c r="L1172">
        <v>1449.76</v>
      </c>
      <c r="M1172">
        <v>-2766.24</v>
      </c>
      <c r="N1172" s="1">
        <v>38393</v>
      </c>
      <c r="O1172" t="s">
        <v>25</v>
      </c>
      <c r="P1172">
        <v>1</v>
      </c>
      <c r="Q1172">
        <v>2</v>
      </c>
      <c r="R1172">
        <v>2005</v>
      </c>
      <c r="S1172" t="s">
        <v>83</v>
      </c>
    </row>
    <row r="1173" spans="1:19" x14ac:dyDescent="0.25">
      <c r="A1173">
        <v>10155</v>
      </c>
      <c r="B1173" t="s">
        <v>233</v>
      </c>
      <c r="C1173" t="s">
        <v>60</v>
      </c>
      <c r="D1173" t="s">
        <v>61</v>
      </c>
      <c r="E1173" t="s">
        <v>62</v>
      </c>
      <c r="F1173" t="s">
        <v>30</v>
      </c>
      <c r="G1173" t="s">
        <v>33</v>
      </c>
      <c r="H1173">
        <v>5</v>
      </c>
      <c r="I1173">
        <v>38</v>
      </c>
      <c r="J1173">
        <v>100</v>
      </c>
      <c r="K1173">
        <v>157</v>
      </c>
      <c r="L1173">
        <v>6531.44</v>
      </c>
      <c r="M1173">
        <v>565.44000000000005</v>
      </c>
      <c r="N1173" s="1">
        <v>37900</v>
      </c>
      <c r="O1173" t="s">
        <v>25</v>
      </c>
      <c r="P1173">
        <v>4</v>
      </c>
      <c r="Q1173">
        <v>10</v>
      </c>
      <c r="R1173">
        <v>2003</v>
      </c>
      <c r="S1173" t="s">
        <v>234</v>
      </c>
    </row>
    <row r="1174" spans="1:19" x14ac:dyDescent="0.25">
      <c r="A1174">
        <v>10288</v>
      </c>
      <c r="B1174" t="s">
        <v>240</v>
      </c>
      <c r="C1174" t="s">
        <v>171</v>
      </c>
      <c r="D1174" t="s">
        <v>89</v>
      </c>
      <c r="E1174" t="s">
        <v>89</v>
      </c>
      <c r="F1174" t="s">
        <v>50</v>
      </c>
      <c r="G1174" t="s">
        <v>33</v>
      </c>
      <c r="H1174">
        <v>5</v>
      </c>
      <c r="I1174">
        <v>32</v>
      </c>
      <c r="J1174">
        <v>100</v>
      </c>
      <c r="K1174">
        <v>170</v>
      </c>
      <c r="L1174">
        <v>5875.2</v>
      </c>
      <c r="M1174">
        <v>435.2</v>
      </c>
      <c r="N1174" s="1">
        <v>38231</v>
      </c>
      <c r="O1174" t="s">
        <v>25</v>
      </c>
      <c r="P1174">
        <v>3</v>
      </c>
      <c r="Q1174">
        <v>9</v>
      </c>
      <c r="R1174">
        <v>2004</v>
      </c>
      <c r="S1174" t="s">
        <v>226</v>
      </c>
    </row>
    <row r="1175" spans="1:19" x14ac:dyDescent="0.25">
      <c r="A1175">
        <v>10420</v>
      </c>
      <c r="B1175" t="s">
        <v>240</v>
      </c>
      <c r="C1175" t="s">
        <v>71</v>
      </c>
      <c r="D1175" t="s">
        <v>72</v>
      </c>
      <c r="E1175" t="s">
        <v>49</v>
      </c>
      <c r="F1175" t="s">
        <v>50</v>
      </c>
      <c r="G1175" t="s">
        <v>33</v>
      </c>
      <c r="H1175">
        <v>5</v>
      </c>
      <c r="I1175">
        <v>37</v>
      </c>
      <c r="J1175">
        <v>100</v>
      </c>
      <c r="K1175">
        <v>170</v>
      </c>
      <c r="L1175">
        <v>5283.6</v>
      </c>
      <c r="M1175">
        <v>-1006.4</v>
      </c>
      <c r="N1175" s="1">
        <v>38501</v>
      </c>
      <c r="O1175" t="s">
        <v>125</v>
      </c>
      <c r="P1175">
        <v>2</v>
      </c>
      <c r="Q1175">
        <v>5</v>
      </c>
      <c r="R1175">
        <v>2005</v>
      </c>
      <c r="S1175" t="s">
        <v>226</v>
      </c>
    </row>
    <row r="1176" spans="1:19" x14ac:dyDescent="0.25">
      <c r="A1176">
        <v>10225</v>
      </c>
      <c r="B1176" t="s">
        <v>241</v>
      </c>
      <c r="C1176" t="s">
        <v>181</v>
      </c>
      <c r="D1176" t="s">
        <v>182</v>
      </c>
      <c r="E1176" t="s">
        <v>183</v>
      </c>
      <c r="F1176" t="s">
        <v>30</v>
      </c>
      <c r="G1176" t="s">
        <v>33</v>
      </c>
      <c r="H1176">
        <v>5</v>
      </c>
      <c r="I1176">
        <v>47</v>
      </c>
      <c r="J1176">
        <v>64.680000000000007</v>
      </c>
      <c r="K1176">
        <v>77</v>
      </c>
      <c r="L1176">
        <v>3039.96</v>
      </c>
      <c r="M1176">
        <v>-579.04</v>
      </c>
      <c r="N1176" s="1">
        <v>38039</v>
      </c>
      <c r="O1176" t="s">
        <v>25</v>
      </c>
      <c r="P1176">
        <v>1</v>
      </c>
      <c r="Q1176">
        <v>2</v>
      </c>
      <c r="R1176">
        <v>2004</v>
      </c>
      <c r="S1176" t="s">
        <v>83</v>
      </c>
    </row>
    <row r="1177" spans="1:19" x14ac:dyDescent="0.25">
      <c r="A1177">
        <v>10181</v>
      </c>
      <c r="B1177" t="s">
        <v>242</v>
      </c>
      <c r="C1177" t="s">
        <v>42</v>
      </c>
      <c r="D1177" t="s">
        <v>43</v>
      </c>
      <c r="E1177" t="s">
        <v>44</v>
      </c>
      <c r="F1177" t="s">
        <v>30</v>
      </c>
      <c r="G1177" t="s">
        <v>33</v>
      </c>
      <c r="H1177">
        <v>5</v>
      </c>
      <c r="I1177">
        <v>21</v>
      </c>
      <c r="J1177">
        <v>100</v>
      </c>
      <c r="K1177">
        <v>142</v>
      </c>
      <c r="L1177">
        <v>3286.08</v>
      </c>
      <c r="M1177">
        <v>304.08</v>
      </c>
      <c r="N1177" s="1">
        <v>37937</v>
      </c>
      <c r="O1177" t="s">
        <v>25</v>
      </c>
      <c r="P1177">
        <v>4</v>
      </c>
      <c r="Q1177">
        <v>11</v>
      </c>
      <c r="R1177">
        <v>2003</v>
      </c>
      <c r="S1177" t="s">
        <v>83</v>
      </c>
    </row>
    <row r="1178" spans="1:19" x14ac:dyDescent="0.25">
      <c r="A1178">
        <v>10266</v>
      </c>
      <c r="B1178" t="s">
        <v>242</v>
      </c>
      <c r="C1178" t="s">
        <v>184</v>
      </c>
      <c r="D1178" t="s">
        <v>185</v>
      </c>
      <c r="E1178" t="s">
        <v>110</v>
      </c>
      <c r="F1178" t="s">
        <v>30</v>
      </c>
      <c r="G1178" t="s">
        <v>33</v>
      </c>
      <c r="H1178">
        <v>5</v>
      </c>
      <c r="I1178">
        <v>49</v>
      </c>
      <c r="J1178">
        <v>100</v>
      </c>
      <c r="K1178">
        <v>142</v>
      </c>
      <c r="L1178">
        <v>6203.4</v>
      </c>
      <c r="M1178">
        <v>-754.6</v>
      </c>
      <c r="N1178" s="1">
        <v>38174</v>
      </c>
      <c r="O1178" t="s">
        <v>25</v>
      </c>
      <c r="P1178">
        <v>3</v>
      </c>
      <c r="Q1178">
        <v>7</v>
      </c>
      <c r="R1178">
        <v>2004</v>
      </c>
      <c r="S1178" t="s">
        <v>83</v>
      </c>
    </row>
    <row r="1179" spans="1:19" x14ac:dyDescent="0.25">
      <c r="A1179">
        <v>10278</v>
      </c>
      <c r="B1179" t="s">
        <v>242</v>
      </c>
      <c r="C1179" t="s">
        <v>221</v>
      </c>
      <c r="D1179" t="s">
        <v>222</v>
      </c>
      <c r="E1179" t="s">
        <v>22</v>
      </c>
      <c r="F1179" t="s">
        <v>23</v>
      </c>
      <c r="G1179" t="s">
        <v>33</v>
      </c>
      <c r="H1179">
        <v>5</v>
      </c>
      <c r="I1179">
        <v>29</v>
      </c>
      <c r="J1179">
        <v>100</v>
      </c>
      <c r="K1179">
        <v>142</v>
      </c>
      <c r="L1179">
        <v>3754.05</v>
      </c>
      <c r="M1179">
        <v>-363.95</v>
      </c>
      <c r="N1179" s="1">
        <v>38205</v>
      </c>
      <c r="O1179" t="s">
        <v>25</v>
      </c>
      <c r="P1179">
        <v>3</v>
      </c>
      <c r="Q1179">
        <v>8</v>
      </c>
      <c r="R1179">
        <v>2004</v>
      </c>
      <c r="S1179" t="s">
        <v>83</v>
      </c>
    </row>
    <row r="1180" spans="1:19" x14ac:dyDescent="0.25">
      <c r="A1180">
        <v>10184</v>
      </c>
      <c r="B1180" t="s">
        <v>243</v>
      </c>
      <c r="C1180" t="s">
        <v>212</v>
      </c>
      <c r="D1180" t="s">
        <v>213</v>
      </c>
      <c r="E1180" t="s">
        <v>80</v>
      </c>
      <c r="F1180" t="s">
        <v>30</v>
      </c>
      <c r="G1180" t="s">
        <v>70</v>
      </c>
      <c r="H1180">
        <v>5</v>
      </c>
      <c r="I1180">
        <v>46</v>
      </c>
      <c r="J1180">
        <v>100</v>
      </c>
      <c r="K1180">
        <v>163</v>
      </c>
      <c r="L1180">
        <v>7381.16</v>
      </c>
      <c r="M1180">
        <v>-116.84</v>
      </c>
      <c r="N1180" s="1">
        <v>37939</v>
      </c>
      <c r="O1180" t="s">
        <v>25</v>
      </c>
      <c r="P1180">
        <v>4</v>
      </c>
      <c r="Q1180">
        <v>11</v>
      </c>
      <c r="R1180">
        <v>2003</v>
      </c>
      <c r="S1180" t="s">
        <v>83</v>
      </c>
    </row>
    <row r="1181" spans="1:19" x14ac:dyDescent="0.25">
      <c r="A1181">
        <v>10195</v>
      </c>
      <c r="B1181" t="s">
        <v>243</v>
      </c>
      <c r="C1181" t="s">
        <v>131</v>
      </c>
      <c r="D1181" t="s">
        <v>132</v>
      </c>
      <c r="E1181" t="s">
        <v>22</v>
      </c>
      <c r="F1181" t="s">
        <v>23</v>
      </c>
      <c r="G1181" t="s">
        <v>33</v>
      </c>
      <c r="H1181">
        <v>5</v>
      </c>
      <c r="I1181">
        <v>27</v>
      </c>
      <c r="J1181">
        <v>100</v>
      </c>
      <c r="K1181">
        <v>163</v>
      </c>
      <c r="L1181">
        <v>5128.1099999999997</v>
      </c>
      <c r="M1181">
        <v>727.11</v>
      </c>
      <c r="N1181" s="1">
        <v>37950</v>
      </c>
      <c r="O1181" t="s">
        <v>25</v>
      </c>
      <c r="P1181">
        <v>4</v>
      </c>
      <c r="Q1181">
        <v>11</v>
      </c>
      <c r="R1181">
        <v>2003</v>
      </c>
      <c r="S1181" t="s">
        <v>83</v>
      </c>
    </row>
    <row r="1182" spans="1:19" x14ac:dyDescent="0.25">
      <c r="A1182">
        <v>10382</v>
      </c>
      <c r="B1182" t="s">
        <v>243</v>
      </c>
      <c r="C1182" t="s">
        <v>115</v>
      </c>
      <c r="D1182" t="s">
        <v>116</v>
      </c>
      <c r="E1182" t="s">
        <v>22</v>
      </c>
      <c r="F1182" t="s">
        <v>23</v>
      </c>
      <c r="G1182" t="s">
        <v>24</v>
      </c>
      <c r="H1182">
        <v>5</v>
      </c>
      <c r="I1182">
        <v>25</v>
      </c>
      <c r="J1182">
        <v>88</v>
      </c>
      <c r="K1182">
        <v>163</v>
      </c>
      <c r="L1182">
        <v>2200</v>
      </c>
      <c r="M1182">
        <v>-1875</v>
      </c>
      <c r="N1182" s="1">
        <v>38400</v>
      </c>
      <c r="O1182" t="s">
        <v>25</v>
      </c>
      <c r="P1182">
        <v>1</v>
      </c>
      <c r="Q1182">
        <v>2</v>
      </c>
      <c r="R1182">
        <v>2005</v>
      </c>
      <c r="S1182" t="s">
        <v>83</v>
      </c>
    </row>
    <row r="1183" spans="1:19" x14ac:dyDescent="0.25">
      <c r="A1183">
        <v>10124</v>
      </c>
      <c r="B1183" t="s">
        <v>244</v>
      </c>
      <c r="C1183" t="s">
        <v>221</v>
      </c>
      <c r="D1183" t="s">
        <v>222</v>
      </c>
      <c r="E1183" t="s">
        <v>22</v>
      </c>
      <c r="F1183" t="s">
        <v>23</v>
      </c>
      <c r="G1183" t="s">
        <v>24</v>
      </c>
      <c r="H1183">
        <v>5</v>
      </c>
      <c r="I1183">
        <v>42</v>
      </c>
      <c r="J1183">
        <v>53.88</v>
      </c>
      <c r="K1183">
        <v>60</v>
      </c>
      <c r="L1183">
        <v>2262.96</v>
      </c>
      <c r="M1183">
        <v>-257.04000000000002</v>
      </c>
      <c r="N1183" s="1">
        <v>37762</v>
      </c>
      <c r="O1183" t="s">
        <v>25</v>
      </c>
      <c r="P1183">
        <v>2</v>
      </c>
      <c r="Q1183">
        <v>5</v>
      </c>
      <c r="R1183">
        <v>2003</v>
      </c>
      <c r="S1183" t="s">
        <v>226</v>
      </c>
    </row>
    <row r="1184" spans="1:19" x14ac:dyDescent="0.25">
      <c r="A1184">
        <v>10370</v>
      </c>
      <c r="B1184" t="s">
        <v>245</v>
      </c>
      <c r="C1184" t="s">
        <v>121</v>
      </c>
      <c r="D1184" t="s">
        <v>122</v>
      </c>
      <c r="E1184" t="s">
        <v>49</v>
      </c>
      <c r="F1184" t="s">
        <v>50</v>
      </c>
      <c r="G1184" t="s">
        <v>33</v>
      </c>
      <c r="H1184">
        <v>5</v>
      </c>
      <c r="I1184">
        <v>22</v>
      </c>
      <c r="J1184">
        <v>100</v>
      </c>
      <c r="K1184">
        <v>122</v>
      </c>
      <c r="L1184">
        <v>3949</v>
      </c>
      <c r="M1184">
        <v>1265</v>
      </c>
      <c r="N1184" s="1">
        <v>38372</v>
      </c>
      <c r="O1184" t="s">
        <v>25</v>
      </c>
      <c r="P1184">
        <v>1</v>
      </c>
      <c r="Q1184">
        <v>1</v>
      </c>
      <c r="R1184">
        <v>2005</v>
      </c>
      <c r="S1184" t="s">
        <v>202</v>
      </c>
    </row>
    <row r="1185" spans="1:19" x14ac:dyDescent="0.25">
      <c r="A1185">
        <v>10367</v>
      </c>
      <c r="B1185" t="s">
        <v>246</v>
      </c>
      <c r="C1185" t="s">
        <v>34</v>
      </c>
      <c r="D1185" t="s">
        <v>35</v>
      </c>
      <c r="E1185" t="s">
        <v>22</v>
      </c>
      <c r="F1185" t="s">
        <v>23</v>
      </c>
      <c r="G1185" t="s">
        <v>33</v>
      </c>
      <c r="H1185">
        <v>5</v>
      </c>
      <c r="I1185">
        <v>27</v>
      </c>
      <c r="J1185">
        <v>100</v>
      </c>
      <c r="K1185">
        <v>127</v>
      </c>
      <c r="L1185">
        <v>4196.07</v>
      </c>
      <c r="M1185">
        <v>767.07</v>
      </c>
      <c r="N1185" s="1">
        <v>38364</v>
      </c>
      <c r="O1185" t="s">
        <v>169</v>
      </c>
      <c r="P1185">
        <v>1</v>
      </c>
      <c r="Q1185">
        <v>1</v>
      </c>
      <c r="R1185">
        <v>2005</v>
      </c>
      <c r="S1185" t="s">
        <v>226</v>
      </c>
    </row>
    <row r="1186" spans="1:19" x14ac:dyDescent="0.25">
      <c r="A1186">
        <v>10313</v>
      </c>
      <c r="B1186" t="s">
        <v>247</v>
      </c>
      <c r="C1186" t="s">
        <v>97</v>
      </c>
      <c r="D1186" t="s">
        <v>98</v>
      </c>
      <c r="E1186" t="s">
        <v>99</v>
      </c>
      <c r="F1186" t="s">
        <v>23</v>
      </c>
      <c r="G1186" t="s">
        <v>24</v>
      </c>
      <c r="H1186">
        <v>5</v>
      </c>
      <c r="I1186">
        <v>34</v>
      </c>
      <c r="J1186">
        <v>52.87</v>
      </c>
      <c r="K1186">
        <v>60</v>
      </c>
      <c r="L1186">
        <v>1797.58</v>
      </c>
      <c r="M1186">
        <v>-242.42</v>
      </c>
      <c r="N1186" s="1">
        <v>38282</v>
      </c>
      <c r="O1186" t="s">
        <v>25</v>
      </c>
      <c r="P1186">
        <v>4</v>
      </c>
      <c r="Q1186">
        <v>10</v>
      </c>
      <c r="R1186">
        <v>2004</v>
      </c>
      <c r="S1186" t="s">
        <v>202</v>
      </c>
    </row>
    <row r="1187" spans="1:19" x14ac:dyDescent="0.25">
      <c r="A1187">
        <v>10391</v>
      </c>
      <c r="B1187" t="s">
        <v>247</v>
      </c>
      <c r="C1187" t="s">
        <v>121</v>
      </c>
      <c r="D1187" t="s">
        <v>122</v>
      </c>
      <c r="E1187" t="s">
        <v>49</v>
      </c>
      <c r="F1187" t="s">
        <v>50</v>
      </c>
      <c r="G1187" t="s">
        <v>24</v>
      </c>
      <c r="H1187">
        <v>5</v>
      </c>
      <c r="I1187">
        <v>44</v>
      </c>
      <c r="J1187">
        <v>38.5</v>
      </c>
      <c r="K1187">
        <v>60</v>
      </c>
      <c r="L1187">
        <v>1694</v>
      </c>
      <c r="M1187">
        <v>-946</v>
      </c>
      <c r="N1187" s="1">
        <v>38420</v>
      </c>
      <c r="O1187" t="s">
        <v>25</v>
      </c>
      <c r="P1187">
        <v>1</v>
      </c>
      <c r="Q1187">
        <v>3</v>
      </c>
      <c r="R1187">
        <v>2005</v>
      </c>
      <c r="S1187" t="s">
        <v>202</v>
      </c>
    </row>
    <row r="1188" spans="1:19" x14ac:dyDescent="0.25">
      <c r="A1188">
        <v>10168</v>
      </c>
      <c r="B1188" t="s">
        <v>249</v>
      </c>
      <c r="C1188" t="s">
        <v>38</v>
      </c>
      <c r="D1188" t="s">
        <v>39</v>
      </c>
      <c r="E1188" t="s">
        <v>22</v>
      </c>
      <c r="F1188" t="s">
        <v>23</v>
      </c>
      <c r="G1188" t="s">
        <v>24</v>
      </c>
      <c r="H1188">
        <v>5</v>
      </c>
      <c r="I1188">
        <v>46</v>
      </c>
      <c r="J1188">
        <v>61.18</v>
      </c>
      <c r="K1188">
        <v>60</v>
      </c>
      <c r="L1188">
        <v>2814.28</v>
      </c>
      <c r="M1188">
        <v>54.28</v>
      </c>
      <c r="N1188" s="1">
        <v>37922</v>
      </c>
      <c r="O1188" t="s">
        <v>25</v>
      </c>
      <c r="P1188">
        <v>4</v>
      </c>
      <c r="Q1188">
        <v>10</v>
      </c>
      <c r="R1188">
        <v>2003</v>
      </c>
      <c r="S1188" t="s">
        <v>26</v>
      </c>
    </row>
    <row r="1189" spans="1:19" x14ac:dyDescent="0.25">
      <c r="A1189">
        <v>10188</v>
      </c>
      <c r="B1189" t="s">
        <v>249</v>
      </c>
      <c r="C1189" t="s">
        <v>42</v>
      </c>
      <c r="D1189" t="s">
        <v>43</v>
      </c>
      <c r="E1189" t="s">
        <v>44</v>
      </c>
      <c r="F1189" t="s">
        <v>30</v>
      </c>
      <c r="G1189" t="s">
        <v>24</v>
      </c>
      <c r="H1189">
        <v>5</v>
      </c>
      <c r="I1189">
        <v>32</v>
      </c>
      <c r="J1189">
        <v>65.42</v>
      </c>
      <c r="K1189">
        <v>60</v>
      </c>
      <c r="L1189">
        <v>2093.44</v>
      </c>
      <c r="M1189">
        <v>173.44</v>
      </c>
      <c r="N1189" s="1">
        <v>37943</v>
      </c>
      <c r="O1189" t="s">
        <v>25</v>
      </c>
      <c r="P1189">
        <v>4</v>
      </c>
      <c r="Q1189">
        <v>11</v>
      </c>
      <c r="R1189">
        <v>2003</v>
      </c>
      <c r="S1189" t="s">
        <v>26</v>
      </c>
    </row>
    <row r="1190" spans="1:19" x14ac:dyDescent="0.25">
      <c r="A1190">
        <v>10223</v>
      </c>
      <c r="B1190" t="s">
        <v>249</v>
      </c>
      <c r="C1190" t="s">
        <v>47</v>
      </c>
      <c r="D1190" t="s">
        <v>48</v>
      </c>
      <c r="E1190" t="s">
        <v>49</v>
      </c>
      <c r="F1190" t="s">
        <v>50</v>
      </c>
      <c r="G1190" t="s">
        <v>24</v>
      </c>
      <c r="H1190">
        <v>5</v>
      </c>
      <c r="I1190">
        <v>28</v>
      </c>
      <c r="J1190">
        <v>60.57</v>
      </c>
      <c r="K1190">
        <v>60</v>
      </c>
      <c r="L1190">
        <v>1695.96</v>
      </c>
      <c r="M1190">
        <v>15.96</v>
      </c>
      <c r="N1190" s="1">
        <v>38037</v>
      </c>
      <c r="O1190" t="s">
        <v>25</v>
      </c>
      <c r="P1190">
        <v>1</v>
      </c>
      <c r="Q1190">
        <v>2</v>
      </c>
      <c r="R1190">
        <v>2004</v>
      </c>
      <c r="S1190" t="s">
        <v>26</v>
      </c>
    </row>
    <row r="1191" spans="1:19" x14ac:dyDescent="0.25">
      <c r="A1191">
        <v>10275</v>
      </c>
      <c r="B1191" t="s">
        <v>249</v>
      </c>
      <c r="C1191" t="s">
        <v>56</v>
      </c>
      <c r="D1191" t="s">
        <v>57</v>
      </c>
      <c r="E1191" t="s">
        <v>29</v>
      </c>
      <c r="F1191" t="s">
        <v>30</v>
      </c>
      <c r="G1191" t="s">
        <v>24</v>
      </c>
      <c r="H1191">
        <v>5</v>
      </c>
      <c r="I1191">
        <v>37</v>
      </c>
      <c r="J1191">
        <v>63.6</v>
      </c>
      <c r="K1191">
        <v>60</v>
      </c>
      <c r="L1191">
        <v>2353.1999999999998</v>
      </c>
      <c r="M1191">
        <v>133.19999999999999</v>
      </c>
      <c r="N1191" s="1">
        <v>38191</v>
      </c>
      <c r="O1191" t="s">
        <v>25</v>
      </c>
      <c r="P1191">
        <v>3</v>
      </c>
      <c r="Q1191">
        <v>7</v>
      </c>
      <c r="R1191">
        <v>2004</v>
      </c>
      <c r="S1191" t="s">
        <v>26</v>
      </c>
    </row>
    <row r="1192" spans="1:19" x14ac:dyDescent="0.25">
      <c r="A1192">
        <v>10318</v>
      </c>
      <c r="B1192" t="s">
        <v>249</v>
      </c>
      <c r="C1192" t="s">
        <v>65</v>
      </c>
      <c r="D1192" t="s">
        <v>66</v>
      </c>
      <c r="E1192" t="s">
        <v>22</v>
      </c>
      <c r="F1192" t="s">
        <v>23</v>
      </c>
      <c r="G1192" t="s">
        <v>24</v>
      </c>
      <c r="H1192">
        <v>5</v>
      </c>
      <c r="I1192">
        <v>42</v>
      </c>
      <c r="J1192">
        <v>52.7</v>
      </c>
      <c r="K1192">
        <v>60</v>
      </c>
      <c r="L1192">
        <v>2213.4</v>
      </c>
      <c r="M1192">
        <v>-306.60000000000002</v>
      </c>
      <c r="N1192" s="1">
        <v>38293</v>
      </c>
      <c r="O1192" t="s">
        <v>25</v>
      </c>
      <c r="P1192">
        <v>4</v>
      </c>
      <c r="Q1192">
        <v>11</v>
      </c>
      <c r="R1192">
        <v>2004</v>
      </c>
      <c r="S1192" t="s">
        <v>26</v>
      </c>
    </row>
    <row r="1193" spans="1:19" x14ac:dyDescent="0.25">
      <c r="A1193">
        <v>10389</v>
      </c>
      <c r="B1193" t="s">
        <v>249</v>
      </c>
      <c r="C1193" t="s">
        <v>111</v>
      </c>
      <c r="D1193" t="s">
        <v>112</v>
      </c>
      <c r="E1193" t="s">
        <v>86</v>
      </c>
      <c r="F1193" t="s">
        <v>30</v>
      </c>
      <c r="G1193" t="s">
        <v>33</v>
      </c>
      <c r="H1193">
        <v>5</v>
      </c>
      <c r="I1193">
        <v>39</v>
      </c>
      <c r="J1193">
        <v>100</v>
      </c>
      <c r="K1193">
        <v>60</v>
      </c>
      <c r="L1193">
        <v>6981</v>
      </c>
      <c r="M1193">
        <v>4641</v>
      </c>
      <c r="N1193" s="1">
        <v>38414</v>
      </c>
      <c r="O1193" t="s">
        <v>25</v>
      </c>
      <c r="P1193">
        <v>1</v>
      </c>
      <c r="Q1193">
        <v>3</v>
      </c>
      <c r="R1193">
        <v>2005</v>
      </c>
      <c r="S1193" t="s">
        <v>26</v>
      </c>
    </row>
    <row r="1194" spans="1:19" x14ac:dyDescent="0.25">
      <c r="A1194">
        <v>10149</v>
      </c>
      <c r="B1194" t="s">
        <v>250</v>
      </c>
      <c r="C1194" t="s">
        <v>214</v>
      </c>
      <c r="D1194" t="s">
        <v>215</v>
      </c>
      <c r="E1194" t="s">
        <v>22</v>
      </c>
      <c r="F1194" t="s">
        <v>23</v>
      </c>
      <c r="G1194" t="s">
        <v>33</v>
      </c>
      <c r="H1194">
        <v>5</v>
      </c>
      <c r="I1194">
        <v>23</v>
      </c>
      <c r="J1194">
        <v>100</v>
      </c>
      <c r="K1194">
        <v>168</v>
      </c>
      <c r="L1194">
        <v>4230.62</v>
      </c>
      <c r="M1194">
        <v>366.62</v>
      </c>
      <c r="N1194" s="1">
        <v>37876</v>
      </c>
      <c r="O1194" t="s">
        <v>25</v>
      </c>
      <c r="P1194">
        <v>3</v>
      </c>
      <c r="Q1194">
        <v>9</v>
      </c>
      <c r="R1194">
        <v>2003</v>
      </c>
      <c r="S1194" t="s">
        <v>226</v>
      </c>
    </row>
    <row r="1195" spans="1:19" x14ac:dyDescent="0.25">
      <c r="A1195">
        <v>10226</v>
      </c>
      <c r="B1195" t="s">
        <v>251</v>
      </c>
      <c r="C1195" t="s">
        <v>149</v>
      </c>
      <c r="D1195" t="s">
        <v>150</v>
      </c>
      <c r="E1195" t="s">
        <v>22</v>
      </c>
      <c r="F1195" t="s">
        <v>23</v>
      </c>
      <c r="G1195" t="s">
        <v>33</v>
      </c>
      <c r="H1195">
        <v>5</v>
      </c>
      <c r="I1195">
        <v>24</v>
      </c>
      <c r="J1195">
        <v>100</v>
      </c>
      <c r="K1195">
        <v>132</v>
      </c>
      <c r="L1195">
        <v>3231.36</v>
      </c>
      <c r="M1195">
        <v>63.36</v>
      </c>
      <c r="N1195" s="1">
        <v>38043</v>
      </c>
      <c r="O1195" t="s">
        <v>25</v>
      </c>
      <c r="P1195">
        <v>1</v>
      </c>
      <c r="Q1195">
        <v>2</v>
      </c>
      <c r="R1195">
        <v>2004</v>
      </c>
      <c r="S1195" t="s">
        <v>83</v>
      </c>
    </row>
    <row r="1196" spans="1:19" x14ac:dyDescent="0.25">
      <c r="A1196">
        <v>10301</v>
      </c>
      <c r="B1196" t="s">
        <v>251</v>
      </c>
      <c r="C1196" t="s">
        <v>223</v>
      </c>
      <c r="D1196" t="s">
        <v>224</v>
      </c>
      <c r="E1196" t="s">
        <v>44</v>
      </c>
      <c r="F1196" t="s">
        <v>30</v>
      </c>
      <c r="G1196" t="s">
        <v>33</v>
      </c>
      <c r="H1196">
        <v>5</v>
      </c>
      <c r="I1196">
        <v>22</v>
      </c>
      <c r="J1196">
        <v>100</v>
      </c>
      <c r="K1196">
        <v>132</v>
      </c>
      <c r="L1196">
        <v>3223.44</v>
      </c>
      <c r="M1196">
        <v>319.44</v>
      </c>
      <c r="N1196" s="1">
        <v>37899</v>
      </c>
      <c r="O1196" t="s">
        <v>25</v>
      </c>
      <c r="P1196">
        <v>4</v>
      </c>
      <c r="Q1196">
        <v>10</v>
      </c>
      <c r="R1196">
        <v>2003</v>
      </c>
      <c r="S1196" t="s">
        <v>83</v>
      </c>
    </row>
    <row r="1197" spans="1:19" x14ac:dyDescent="0.25">
      <c r="A1197">
        <v>10379</v>
      </c>
      <c r="B1197" t="s">
        <v>251</v>
      </c>
      <c r="C1197" t="s">
        <v>78</v>
      </c>
      <c r="D1197" t="s">
        <v>79</v>
      </c>
      <c r="E1197" t="s">
        <v>80</v>
      </c>
      <c r="F1197" t="s">
        <v>30</v>
      </c>
      <c r="G1197" t="s">
        <v>33</v>
      </c>
      <c r="H1197">
        <v>5</v>
      </c>
      <c r="I1197">
        <v>29</v>
      </c>
      <c r="J1197">
        <v>100</v>
      </c>
      <c r="K1197">
        <v>132</v>
      </c>
      <c r="L1197">
        <v>5127.2</v>
      </c>
      <c r="M1197">
        <v>1299.2</v>
      </c>
      <c r="N1197" s="1">
        <v>38393</v>
      </c>
      <c r="O1197" t="s">
        <v>25</v>
      </c>
      <c r="P1197">
        <v>1</v>
      </c>
      <c r="Q1197">
        <v>2</v>
      </c>
      <c r="R1197">
        <v>2005</v>
      </c>
      <c r="S1197" t="s">
        <v>83</v>
      </c>
    </row>
    <row r="1198" spans="1:19" x14ac:dyDescent="0.25">
      <c r="A1198">
        <v>10174</v>
      </c>
      <c r="B1198" t="s">
        <v>252</v>
      </c>
      <c r="C1198" t="s">
        <v>91</v>
      </c>
      <c r="D1198" t="s">
        <v>92</v>
      </c>
      <c r="E1198" t="s">
        <v>49</v>
      </c>
      <c r="F1198" t="s">
        <v>50</v>
      </c>
      <c r="G1198" t="s">
        <v>33</v>
      </c>
      <c r="H1198">
        <v>5</v>
      </c>
      <c r="I1198">
        <v>46</v>
      </c>
      <c r="J1198">
        <v>100</v>
      </c>
      <c r="K1198">
        <v>101</v>
      </c>
      <c r="L1198">
        <v>5592.22</v>
      </c>
      <c r="M1198">
        <v>946.22</v>
      </c>
      <c r="N1198" s="1">
        <v>37931</v>
      </c>
      <c r="O1198" t="s">
        <v>25</v>
      </c>
      <c r="P1198">
        <v>4</v>
      </c>
      <c r="Q1198">
        <v>11</v>
      </c>
      <c r="R1198">
        <v>2003</v>
      </c>
      <c r="S1198" t="s">
        <v>226</v>
      </c>
    </row>
    <row r="1199" spans="1:19" x14ac:dyDescent="0.25">
      <c r="A1199">
        <v>10333</v>
      </c>
      <c r="B1199" t="s">
        <v>252</v>
      </c>
      <c r="C1199" t="s">
        <v>45</v>
      </c>
      <c r="D1199" t="s">
        <v>37</v>
      </c>
      <c r="E1199" t="s">
        <v>22</v>
      </c>
      <c r="F1199" t="s">
        <v>23</v>
      </c>
      <c r="G1199" t="s">
        <v>24</v>
      </c>
      <c r="H1199">
        <v>5</v>
      </c>
      <c r="I1199">
        <v>31</v>
      </c>
      <c r="J1199">
        <v>90.17</v>
      </c>
      <c r="K1199">
        <v>101</v>
      </c>
      <c r="L1199">
        <v>2795.27</v>
      </c>
      <c r="M1199">
        <v>-335.73</v>
      </c>
      <c r="N1199" s="1">
        <v>38309</v>
      </c>
      <c r="O1199" t="s">
        <v>25</v>
      </c>
      <c r="P1199">
        <v>4</v>
      </c>
      <c r="Q1199">
        <v>11</v>
      </c>
      <c r="R1199">
        <v>2004</v>
      </c>
      <c r="S1199" t="s">
        <v>226</v>
      </c>
    </row>
    <row r="1200" spans="1:19" x14ac:dyDescent="0.25">
      <c r="A1200">
        <v>10228</v>
      </c>
      <c r="B1200" t="s">
        <v>253</v>
      </c>
      <c r="C1200" t="s">
        <v>102</v>
      </c>
      <c r="D1200" t="s">
        <v>59</v>
      </c>
      <c r="E1200" t="s">
        <v>22</v>
      </c>
      <c r="F1200" t="s">
        <v>23</v>
      </c>
      <c r="G1200" t="s">
        <v>24</v>
      </c>
      <c r="H1200">
        <v>5</v>
      </c>
      <c r="I1200">
        <v>45</v>
      </c>
      <c r="J1200">
        <v>63.71</v>
      </c>
      <c r="K1200">
        <v>62</v>
      </c>
      <c r="L1200">
        <v>2866.95</v>
      </c>
      <c r="M1200">
        <v>76.95</v>
      </c>
      <c r="N1200" s="1">
        <v>38056</v>
      </c>
      <c r="O1200" t="s">
        <v>25</v>
      </c>
      <c r="P1200">
        <v>1</v>
      </c>
      <c r="Q1200">
        <v>3</v>
      </c>
      <c r="R1200">
        <v>2004</v>
      </c>
      <c r="S1200" t="s">
        <v>226</v>
      </c>
    </row>
    <row r="1201" spans="1:19" x14ac:dyDescent="0.25">
      <c r="A1201">
        <v>10280</v>
      </c>
      <c r="B1201" t="s">
        <v>253</v>
      </c>
      <c r="C1201" t="s">
        <v>108</v>
      </c>
      <c r="D1201" t="s">
        <v>109</v>
      </c>
      <c r="E1201" t="s">
        <v>110</v>
      </c>
      <c r="F1201" t="s">
        <v>30</v>
      </c>
      <c r="G1201" t="s">
        <v>24</v>
      </c>
      <c r="H1201">
        <v>5</v>
      </c>
      <c r="I1201">
        <v>43</v>
      </c>
      <c r="J1201">
        <v>68.709999999999994</v>
      </c>
      <c r="K1201">
        <v>62</v>
      </c>
      <c r="L1201">
        <v>2954.53</v>
      </c>
      <c r="M1201">
        <v>288.52999999999997</v>
      </c>
      <c r="N1201" s="1">
        <v>38216</v>
      </c>
      <c r="O1201" t="s">
        <v>25</v>
      </c>
      <c r="P1201">
        <v>3</v>
      </c>
      <c r="Q1201">
        <v>8</v>
      </c>
      <c r="R1201">
        <v>2004</v>
      </c>
      <c r="S1201" t="s">
        <v>226</v>
      </c>
    </row>
    <row r="1202" spans="1:19" x14ac:dyDescent="0.25">
      <c r="A1202">
        <v>10357</v>
      </c>
      <c r="B1202" t="s">
        <v>253</v>
      </c>
      <c r="C1202" t="s">
        <v>115</v>
      </c>
      <c r="D1202" t="s">
        <v>116</v>
      </c>
      <c r="E1202" t="s">
        <v>22</v>
      </c>
      <c r="F1202" t="s">
        <v>23</v>
      </c>
      <c r="G1202" t="s">
        <v>33</v>
      </c>
      <c r="H1202">
        <v>5</v>
      </c>
      <c r="I1202">
        <v>49</v>
      </c>
      <c r="J1202">
        <v>70.58</v>
      </c>
      <c r="K1202">
        <v>62</v>
      </c>
      <c r="L1202">
        <v>3458.42</v>
      </c>
      <c r="M1202">
        <v>420.42</v>
      </c>
      <c r="N1202" s="1">
        <v>38331</v>
      </c>
      <c r="O1202" t="s">
        <v>25</v>
      </c>
      <c r="P1202">
        <v>4</v>
      </c>
      <c r="Q1202">
        <v>12</v>
      </c>
      <c r="R1202">
        <v>2004</v>
      </c>
      <c r="S1202" t="s">
        <v>226</v>
      </c>
    </row>
    <row r="1203" spans="1:19" x14ac:dyDescent="0.25">
      <c r="A1203">
        <v>10327</v>
      </c>
      <c r="B1203" t="s">
        <v>254</v>
      </c>
      <c r="C1203" t="s">
        <v>135</v>
      </c>
      <c r="D1203" t="s">
        <v>136</v>
      </c>
      <c r="E1203" t="s">
        <v>137</v>
      </c>
      <c r="F1203" t="s">
        <v>30</v>
      </c>
      <c r="G1203" t="s">
        <v>24</v>
      </c>
      <c r="H1203">
        <v>5</v>
      </c>
      <c r="I1203">
        <v>25</v>
      </c>
      <c r="J1203">
        <v>45.86</v>
      </c>
      <c r="K1203">
        <v>86</v>
      </c>
      <c r="L1203">
        <v>1146.5</v>
      </c>
      <c r="M1203">
        <v>-1003.5</v>
      </c>
      <c r="N1203" s="1">
        <v>38301</v>
      </c>
      <c r="O1203" t="s">
        <v>169</v>
      </c>
      <c r="P1203">
        <v>4</v>
      </c>
      <c r="Q1203">
        <v>11</v>
      </c>
      <c r="R1203">
        <v>2004</v>
      </c>
      <c r="S1203" t="s">
        <v>255</v>
      </c>
    </row>
    <row r="1204" spans="1:19" x14ac:dyDescent="0.25">
      <c r="A1204">
        <v>10373</v>
      </c>
      <c r="B1204" t="s">
        <v>254</v>
      </c>
      <c r="C1204" t="s">
        <v>160</v>
      </c>
      <c r="D1204" t="s">
        <v>161</v>
      </c>
      <c r="E1204" t="s">
        <v>62</v>
      </c>
      <c r="F1204" t="s">
        <v>30</v>
      </c>
      <c r="G1204" t="s">
        <v>24</v>
      </c>
      <c r="H1204">
        <v>5</v>
      </c>
      <c r="I1204">
        <v>22</v>
      </c>
      <c r="J1204">
        <v>86.74</v>
      </c>
      <c r="K1204">
        <v>86</v>
      </c>
      <c r="L1204">
        <v>1908.28</v>
      </c>
      <c r="M1204">
        <v>16.28</v>
      </c>
      <c r="N1204" s="1">
        <v>38383</v>
      </c>
      <c r="O1204" t="s">
        <v>25</v>
      </c>
      <c r="P1204">
        <v>1</v>
      </c>
      <c r="Q1204">
        <v>1</v>
      </c>
      <c r="R1204">
        <v>2005</v>
      </c>
      <c r="S1204" t="s">
        <v>255</v>
      </c>
    </row>
    <row r="1205" spans="1:19" x14ac:dyDescent="0.25">
      <c r="A1205">
        <v>10386</v>
      </c>
      <c r="B1205" t="s">
        <v>254</v>
      </c>
      <c r="C1205" t="s">
        <v>78</v>
      </c>
      <c r="D1205" t="s">
        <v>79</v>
      </c>
      <c r="E1205" t="s">
        <v>80</v>
      </c>
      <c r="F1205" t="s">
        <v>30</v>
      </c>
      <c r="G1205" t="s">
        <v>33</v>
      </c>
      <c r="H1205">
        <v>5</v>
      </c>
      <c r="I1205">
        <v>37</v>
      </c>
      <c r="J1205">
        <v>93.01</v>
      </c>
      <c r="K1205">
        <v>86</v>
      </c>
      <c r="L1205">
        <v>3441.37</v>
      </c>
      <c r="M1205">
        <v>259.37</v>
      </c>
      <c r="N1205" s="1">
        <v>38412</v>
      </c>
      <c r="O1205" t="s">
        <v>169</v>
      </c>
      <c r="P1205">
        <v>1</v>
      </c>
      <c r="Q1205">
        <v>3</v>
      </c>
      <c r="R1205">
        <v>2005</v>
      </c>
      <c r="S1205" t="s">
        <v>255</v>
      </c>
    </row>
    <row r="1206" spans="1:19" x14ac:dyDescent="0.25">
      <c r="A1206">
        <v>10215</v>
      </c>
      <c r="B1206" t="s">
        <v>257</v>
      </c>
      <c r="C1206" t="s">
        <v>100</v>
      </c>
      <c r="D1206" t="s">
        <v>101</v>
      </c>
      <c r="E1206" t="s">
        <v>22</v>
      </c>
      <c r="F1206" t="s">
        <v>23</v>
      </c>
      <c r="G1206" t="s">
        <v>33</v>
      </c>
      <c r="H1206">
        <v>5</v>
      </c>
      <c r="I1206">
        <v>49</v>
      </c>
      <c r="J1206">
        <v>100</v>
      </c>
      <c r="K1206">
        <v>104</v>
      </c>
      <c r="L1206">
        <v>5285.14</v>
      </c>
      <c r="M1206">
        <v>189.14</v>
      </c>
      <c r="N1206" s="1">
        <v>38015</v>
      </c>
      <c r="O1206" t="s">
        <v>25</v>
      </c>
      <c r="P1206">
        <v>1</v>
      </c>
      <c r="Q1206">
        <v>1</v>
      </c>
      <c r="R1206">
        <v>2004</v>
      </c>
      <c r="S1206" t="s">
        <v>226</v>
      </c>
    </row>
    <row r="1207" spans="1:19" x14ac:dyDescent="0.25">
      <c r="A1207">
        <v>10312</v>
      </c>
      <c r="B1207" t="s">
        <v>257</v>
      </c>
      <c r="C1207" t="s">
        <v>115</v>
      </c>
      <c r="D1207" t="s">
        <v>116</v>
      </c>
      <c r="E1207" t="s">
        <v>22</v>
      </c>
      <c r="F1207" t="s">
        <v>23</v>
      </c>
      <c r="G1207" t="s">
        <v>33</v>
      </c>
      <c r="H1207">
        <v>5</v>
      </c>
      <c r="I1207">
        <v>38</v>
      </c>
      <c r="J1207">
        <v>100</v>
      </c>
      <c r="K1207">
        <v>104</v>
      </c>
      <c r="L1207">
        <v>4457.0200000000004</v>
      </c>
      <c r="M1207">
        <v>505.02</v>
      </c>
      <c r="N1207" s="1">
        <v>38281</v>
      </c>
      <c r="O1207" t="s">
        <v>25</v>
      </c>
      <c r="P1207">
        <v>4</v>
      </c>
      <c r="Q1207">
        <v>10</v>
      </c>
      <c r="R1207">
        <v>2004</v>
      </c>
      <c r="S1207" t="s">
        <v>226</v>
      </c>
    </row>
    <row r="1208" spans="1:19" x14ac:dyDescent="0.25">
      <c r="A1208">
        <v>10369</v>
      </c>
      <c r="B1208" t="s">
        <v>257</v>
      </c>
      <c r="C1208" t="s">
        <v>119</v>
      </c>
      <c r="D1208" t="s">
        <v>120</v>
      </c>
      <c r="E1208" t="s">
        <v>22</v>
      </c>
      <c r="F1208" t="s">
        <v>23</v>
      </c>
      <c r="G1208" t="s">
        <v>24</v>
      </c>
      <c r="H1208">
        <v>5</v>
      </c>
      <c r="I1208">
        <v>21</v>
      </c>
      <c r="J1208">
        <v>94.22</v>
      </c>
      <c r="K1208">
        <v>104</v>
      </c>
      <c r="L1208">
        <v>1978.62</v>
      </c>
      <c r="M1208">
        <v>-205.38</v>
      </c>
      <c r="N1208" s="1">
        <v>38372</v>
      </c>
      <c r="O1208" t="s">
        <v>25</v>
      </c>
      <c r="P1208">
        <v>1</v>
      </c>
      <c r="Q1208">
        <v>1</v>
      </c>
      <c r="R1208">
        <v>2005</v>
      </c>
      <c r="S1208" t="s">
        <v>226</v>
      </c>
    </row>
    <row r="1209" spans="1:19" x14ac:dyDescent="0.25">
      <c r="A1209">
        <v>10381</v>
      </c>
      <c r="B1209" t="s">
        <v>257</v>
      </c>
      <c r="C1209" t="s">
        <v>36</v>
      </c>
      <c r="D1209" t="s">
        <v>37</v>
      </c>
      <c r="E1209" t="s">
        <v>22</v>
      </c>
      <c r="F1209" t="s">
        <v>23</v>
      </c>
      <c r="G1209" t="s">
        <v>33</v>
      </c>
      <c r="H1209">
        <v>5</v>
      </c>
      <c r="I1209">
        <v>35</v>
      </c>
      <c r="J1209">
        <v>100</v>
      </c>
      <c r="K1209">
        <v>104</v>
      </c>
      <c r="L1209">
        <v>4288.2</v>
      </c>
      <c r="M1209">
        <v>648.20000000000005</v>
      </c>
      <c r="N1209" s="1">
        <v>38400</v>
      </c>
      <c r="O1209" t="s">
        <v>25</v>
      </c>
      <c r="P1209">
        <v>1</v>
      </c>
      <c r="Q1209">
        <v>2</v>
      </c>
      <c r="R1209">
        <v>2005</v>
      </c>
      <c r="S1209" t="s">
        <v>226</v>
      </c>
    </row>
    <row r="1210" spans="1:19" x14ac:dyDescent="0.25">
      <c r="A1210">
        <v>10117</v>
      </c>
      <c r="B1210" t="s">
        <v>258</v>
      </c>
      <c r="C1210" t="s">
        <v>88</v>
      </c>
      <c r="D1210" t="s">
        <v>89</v>
      </c>
      <c r="E1210" t="s">
        <v>89</v>
      </c>
      <c r="F1210" t="s">
        <v>50</v>
      </c>
      <c r="G1210" t="s">
        <v>33</v>
      </c>
      <c r="H1210">
        <v>5</v>
      </c>
      <c r="I1210">
        <v>26</v>
      </c>
      <c r="J1210">
        <v>100</v>
      </c>
      <c r="K1210">
        <v>136</v>
      </c>
      <c r="L1210">
        <v>3551.34</v>
      </c>
      <c r="M1210">
        <v>15.34</v>
      </c>
      <c r="N1210" s="1">
        <v>37727</v>
      </c>
      <c r="O1210" t="s">
        <v>25</v>
      </c>
      <c r="P1210">
        <v>2</v>
      </c>
      <c r="Q1210">
        <v>4</v>
      </c>
      <c r="R1210">
        <v>2003</v>
      </c>
      <c r="S1210" t="s">
        <v>226</v>
      </c>
    </row>
    <row r="1211" spans="1:19" x14ac:dyDescent="0.25">
      <c r="A1211">
        <v>10109</v>
      </c>
      <c r="B1211" t="s">
        <v>259</v>
      </c>
      <c r="C1211" t="s">
        <v>129</v>
      </c>
      <c r="D1211" t="s">
        <v>94</v>
      </c>
      <c r="E1211" t="s">
        <v>22</v>
      </c>
      <c r="F1211" t="s">
        <v>23</v>
      </c>
      <c r="G1211" t="s">
        <v>70</v>
      </c>
      <c r="H1211">
        <v>5</v>
      </c>
      <c r="I1211">
        <v>46</v>
      </c>
      <c r="J1211">
        <v>100</v>
      </c>
      <c r="K1211">
        <v>169</v>
      </c>
      <c r="L1211">
        <v>8257</v>
      </c>
      <c r="M1211">
        <v>483</v>
      </c>
      <c r="N1211" s="1">
        <v>37690</v>
      </c>
      <c r="O1211" t="s">
        <v>25</v>
      </c>
      <c r="P1211">
        <v>1</v>
      </c>
      <c r="Q1211">
        <v>3</v>
      </c>
      <c r="R1211">
        <v>2003</v>
      </c>
      <c r="S1211" t="s">
        <v>83</v>
      </c>
    </row>
    <row r="1212" spans="1:19" x14ac:dyDescent="0.25">
      <c r="A1212">
        <v>10175</v>
      </c>
      <c r="B1212" t="s">
        <v>259</v>
      </c>
      <c r="C1212" t="s">
        <v>138</v>
      </c>
      <c r="D1212" t="s">
        <v>139</v>
      </c>
      <c r="E1212" t="s">
        <v>77</v>
      </c>
      <c r="F1212" t="s">
        <v>30</v>
      </c>
      <c r="G1212" t="s">
        <v>33</v>
      </c>
      <c r="H1212">
        <v>5</v>
      </c>
      <c r="I1212">
        <v>29</v>
      </c>
      <c r="J1212">
        <v>100</v>
      </c>
      <c r="K1212">
        <v>169</v>
      </c>
      <c r="L1212">
        <v>4419.8900000000003</v>
      </c>
      <c r="M1212">
        <v>-481.11</v>
      </c>
      <c r="N1212" s="1">
        <v>37931</v>
      </c>
      <c r="O1212" t="s">
        <v>25</v>
      </c>
      <c r="P1212">
        <v>4</v>
      </c>
      <c r="Q1212">
        <v>11</v>
      </c>
      <c r="R1212">
        <v>2003</v>
      </c>
      <c r="S1212" t="s">
        <v>83</v>
      </c>
    </row>
    <row r="1213" spans="1:19" x14ac:dyDescent="0.25">
      <c r="A1213">
        <v>10229</v>
      </c>
      <c r="B1213" t="s">
        <v>259</v>
      </c>
      <c r="C1213" t="s">
        <v>115</v>
      </c>
      <c r="D1213" t="s">
        <v>116</v>
      </c>
      <c r="E1213" t="s">
        <v>22</v>
      </c>
      <c r="F1213" t="s">
        <v>23</v>
      </c>
      <c r="G1213" t="s">
        <v>33</v>
      </c>
      <c r="H1213">
        <v>5</v>
      </c>
      <c r="I1213">
        <v>22</v>
      </c>
      <c r="J1213">
        <v>100</v>
      </c>
      <c r="K1213">
        <v>169</v>
      </c>
      <c r="L1213">
        <v>4172.5200000000004</v>
      </c>
      <c r="M1213">
        <v>454.52</v>
      </c>
      <c r="N1213" s="1">
        <v>38057</v>
      </c>
      <c r="O1213" t="s">
        <v>25</v>
      </c>
      <c r="P1213">
        <v>1</v>
      </c>
      <c r="Q1213">
        <v>3</v>
      </c>
      <c r="R1213">
        <v>2004</v>
      </c>
      <c r="S1213" t="s">
        <v>83</v>
      </c>
    </row>
    <row r="1214" spans="1:19" x14ac:dyDescent="0.25">
      <c r="A1214">
        <v>10281</v>
      </c>
      <c r="B1214" t="s">
        <v>259</v>
      </c>
      <c r="C1214" t="s">
        <v>65</v>
      </c>
      <c r="D1214" t="s">
        <v>66</v>
      </c>
      <c r="E1214" t="s">
        <v>22</v>
      </c>
      <c r="F1214" t="s">
        <v>23</v>
      </c>
      <c r="G1214" t="s">
        <v>33</v>
      </c>
      <c r="H1214">
        <v>5</v>
      </c>
      <c r="I1214">
        <v>25</v>
      </c>
      <c r="J1214">
        <v>100</v>
      </c>
      <c r="K1214">
        <v>169</v>
      </c>
      <c r="L1214">
        <v>4191.25</v>
      </c>
      <c r="M1214">
        <v>-33.75</v>
      </c>
      <c r="N1214" s="1">
        <v>38218</v>
      </c>
      <c r="O1214" t="s">
        <v>25</v>
      </c>
      <c r="P1214">
        <v>3</v>
      </c>
      <c r="Q1214">
        <v>8</v>
      </c>
      <c r="R1214">
        <v>2004</v>
      </c>
      <c r="S1214" t="s">
        <v>83</v>
      </c>
    </row>
    <row r="1215" spans="1:19" x14ac:dyDescent="0.25">
      <c r="A1215">
        <v>10287</v>
      </c>
      <c r="B1215" t="s">
        <v>259</v>
      </c>
      <c r="C1215" t="s">
        <v>181</v>
      </c>
      <c r="D1215" t="s">
        <v>182</v>
      </c>
      <c r="E1215" t="s">
        <v>183</v>
      </c>
      <c r="F1215" t="s">
        <v>30</v>
      </c>
      <c r="G1215" t="s">
        <v>33</v>
      </c>
      <c r="H1215">
        <v>5</v>
      </c>
      <c r="I1215">
        <v>36</v>
      </c>
      <c r="J1215">
        <v>100</v>
      </c>
      <c r="K1215">
        <v>169</v>
      </c>
      <c r="L1215">
        <v>5852.52</v>
      </c>
      <c r="M1215">
        <v>-231.48</v>
      </c>
      <c r="N1215" s="1">
        <v>38229</v>
      </c>
      <c r="O1215" t="s">
        <v>25</v>
      </c>
      <c r="P1215">
        <v>3</v>
      </c>
      <c r="Q1215">
        <v>8</v>
      </c>
      <c r="R1215">
        <v>2004</v>
      </c>
      <c r="S1215" t="s">
        <v>83</v>
      </c>
    </row>
    <row r="1216" spans="1:19" x14ac:dyDescent="0.25">
      <c r="A1216">
        <v>10394</v>
      </c>
      <c r="B1216" t="s">
        <v>259</v>
      </c>
      <c r="C1216" t="s">
        <v>78</v>
      </c>
      <c r="D1216" t="s">
        <v>79</v>
      </c>
      <c r="E1216" t="s">
        <v>80</v>
      </c>
      <c r="F1216" t="s">
        <v>30</v>
      </c>
      <c r="G1216" t="s">
        <v>33</v>
      </c>
      <c r="H1216">
        <v>5</v>
      </c>
      <c r="I1216">
        <v>22</v>
      </c>
      <c r="J1216">
        <v>100</v>
      </c>
      <c r="K1216">
        <v>169</v>
      </c>
      <c r="L1216">
        <v>3353.02</v>
      </c>
      <c r="M1216">
        <v>-364.98</v>
      </c>
      <c r="N1216" s="1">
        <v>38426</v>
      </c>
      <c r="O1216" t="s">
        <v>25</v>
      </c>
      <c r="P1216">
        <v>1</v>
      </c>
      <c r="Q1216">
        <v>3</v>
      </c>
      <c r="R1216">
        <v>2005</v>
      </c>
      <c r="S1216" t="s">
        <v>83</v>
      </c>
    </row>
    <row r="1217" spans="1:19" x14ac:dyDescent="0.25">
      <c r="A1217">
        <v>10221</v>
      </c>
      <c r="B1217" t="s">
        <v>260</v>
      </c>
      <c r="C1217" t="s">
        <v>151</v>
      </c>
      <c r="D1217" t="s">
        <v>152</v>
      </c>
      <c r="E1217" t="s">
        <v>153</v>
      </c>
      <c r="F1217" t="s">
        <v>30</v>
      </c>
      <c r="G1217" t="s">
        <v>24</v>
      </c>
      <c r="H1217">
        <v>5</v>
      </c>
      <c r="I1217">
        <v>23</v>
      </c>
      <c r="J1217">
        <v>80.67</v>
      </c>
      <c r="K1217">
        <v>100</v>
      </c>
      <c r="L1217">
        <v>1855.41</v>
      </c>
      <c r="M1217">
        <v>-444.59</v>
      </c>
      <c r="N1217" s="1">
        <v>38035</v>
      </c>
      <c r="O1217" t="s">
        <v>25</v>
      </c>
      <c r="P1217">
        <v>1</v>
      </c>
      <c r="Q1217">
        <v>2</v>
      </c>
      <c r="R1217">
        <v>2004</v>
      </c>
      <c r="S1217" t="s">
        <v>261</v>
      </c>
    </row>
    <row r="1218" spans="1:19" x14ac:dyDescent="0.25">
      <c r="A1218">
        <v>10372</v>
      </c>
      <c r="B1218" t="s">
        <v>260</v>
      </c>
      <c r="C1218" t="s">
        <v>105</v>
      </c>
      <c r="D1218" t="s">
        <v>106</v>
      </c>
      <c r="E1218" t="s">
        <v>107</v>
      </c>
      <c r="F1218" t="s">
        <v>50</v>
      </c>
      <c r="G1218" t="s">
        <v>24</v>
      </c>
      <c r="H1218">
        <v>5</v>
      </c>
      <c r="I1218">
        <v>25</v>
      </c>
      <c r="J1218">
        <v>84.71</v>
      </c>
      <c r="K1218">
        <v>100</v>
      </c>
      <c r="L1218">
        <v>2117.75</v>
      </c>
      <c r="M1218">
        <v>-382.25</v>
      </c>
      <c r="N1218" s="1">
        <v>38378</v>
      </c>
      <c r="O1218" t="s">
        <v>25</v>
      </c>
      <c r="P1218">
        <v>1</v>
      </c>
      <c r="Q1218">
        <v>1</v>
      </c>
      <c r="R1218">
        <v>2005</v>
      </c>
      <c r="S1218" t="s">
        <v>261</v>
      </c>
    </row>
    <row r="1219" spans="1:19" x14ac:dyDescent="0.25">
      <c r="A1219">
        <v>10159</v>
      </c>
      <c r="B1219" t="s">
        <v>262</v>
      </c>
      <c r="C1219" t="s">
        <v>36</v>
      </c>
      <c r="D1219" t="s">
        <v>37</v>
      </c>
      <c r="E1219" t="s">
        <v>22</v>
      </c>
      <c r="F1219" t="s">
        <v>23</v>
      </c>
      <c r="G1219" t="s">
        <v>24</v>
      </c>
      <c r="H1219">
        <v>5</v>
      </c>
      <c r="I1219">
        <v>21</v>
      </c>
      <c r="J1219">
        <v>81.209999999999994</v>
      </c>
      <c r="K1219">
        <v>80</v>
      </c>
      <c r="L1219">
        <v>1705.41</v>
      </c>
      <c r="M1219">
        <v>25.41</v>
      </c>
      <c r="N1219" s="1">
        <v>37904</v>
      </c>
      <c r="O1219" t="s">
        <v>25</v>
      </c>
      <c r="P1219">
        <v>4</v>
      </c>
      <c r="Q1219">
        <v>10</v>
      </c>
      <c r="R1219">
        <v>2003</v>
      </c>
      <c r="S1219" t="s">
        <v>83</v>
      </c>
    </row>
    <row r="1220" spans="1:19" x14ac:dyDescent="0.25">
      <c r="A1220">
        <v>10169</v>
      </c>
      <c r="B1220" t="s">
        <v>262</v>
      </c>
      <c r="C1220" t="s">
        <v>121</v>
      </c>
      <c r="D1220" t="s">
        <v>122</v>
      </c>
      <c r="E1220" t="s">
        <v>49</v>
      </c>
      <c r="F1220" t="s">
        <v>50</v>
      </c>
      <c r="G1220" t="s">
        <v>24</v>
      </c>
      <c r="H1220">
        <v>5</v>
      </c>
      <c r="I1220">
        <v>32</v>
      </c>
      <c r="J1220">
        <v>70.760000000000005</v>
      </c>
      <c r="K1220">
        <v>80</v>
      </c>
      <c r="L1220">
        <v>2264.3200000000002</v>
      </c>
      <c r="M1220">
        <v>-295.68</v>
      </c>
      <c r="N1220" s="1">
        <v>37929</v>
      </c>
      <c r="O1220" t="s">
        <v>25</v>
      </c>
      <c r="P1220">
        <v>4</v>
      </c>
      <c r="Q1220">
        <v>11</v>
      </c>
      <c r="R1220">
        <v>2003</v>
      </c>
      <c r="S1220" t="s">
        <v>83</v>
      </c>
    </row>
    <row r="1221" spans="1:19" x14ac:dyDescent="0.25">
      <c r="A1221">
        <v>10211</v>
      </c>
      <c r="B1221" t="s">
        <v>262</v>
      </c>
      <c r="C1221" t="s">
        <v>46</v>
      </c>
      <c r="D1221" t="s">
        <v>32</v>
      </c>
      <c r="E1221" t="s">
        <v>29</v>
      </c>
      <c r="F1221" t="s">
        <v>30</v>
      </c>
      <c r="G1221" t="s">
        <v>24</v>
      </c>
      <c r="H1221">
        <v>5</v>
      </c>
      <c r="I1221">
        <v>35</v>
      </c>
      <c r="J1221">
        <v>78</v>
      </c>
      <c r="K1221">
        <v>80</v>
      </c>
      <c r="L1221">
        <v>2730</v>
      </c>
      <c r="M1221">
        <v>-70</v>
      </c>
      <c r="N1221" s="1">
        <v>38001</v>
      </c>
      <c r="O1221" t="s">
        <v>25</v>
      </c>
      <c r="P1221">
        <v>1</v>
      </c>
      <c r="Q1221">
        <v>1</v>
      </c>
      <c r="R1221">
        <v>2004</v>
      </c>
      <c r="S1221" t="s">
        <v>83</v>
      </c>
    </row>
    <row r="1222" spans="1:19" x14ac:dyDescent="0.25">
      <c r="A1222">
        <v>10342</v>
      </c>
      <c r="B1222" t="s">
        <v>262</v>
      </c>
      <c r="C1222" t="s">
        <v>47</v>
      </c>
      <c r="D1222" t="s">
        <v>48</v>
      </c>
      <c r="E1222" t="s">
        <v>49</v>
      </c>
      <c r="F1222" t="s">
        <v>50</v>
      </c>
      <c r="G1222" t="s">
        <v>24</v>
      </c>
      <c r="H1222">
        <v>5</v>
      </c>
      <c r="I1222">
        <v>25</v>
      </c>
      <c r="J1222">
        <v>66.739999999999995</v>
      </c>
      <c r="K1222">
        <v>80</v>
      </c>
      <c r="L1222">
        <v>1668.5</v>
      </c>
      <c r="M1222">
        <v>-331.5</v>
      </c>
      <c r="N1222" s="1">
        <v>38315</v>
      </c>
      <c r="O1222" t="s">
        <v>25</v>
      </c>
      <c r="P1222">
        <v>4</v>
      </c>
      <c r="Q1222">
        <v>11</v>
      </c>
      <c r="R1222">
        <v>2004</v>
      </c>
      <c r="S1222" t="s">
        <v>83</v>
      </c>
    </row>
    <row r="1223" spans="1:19" x14ac:dyDescent="0.25">
      <c r="A1223">
        <v>10139</v>
      </c>
      <c r="B1223" t="s">
        <v>263</v>
      </c>
      <c r="C1223" t="s">
        <v>71</v>
      </c>
      <c r="D1223" t="s">
        <v>72</v>
      </c>
      <c r="E1223" t="s">
        <v>49</v>
      </c>
      <c r="F1223" t="s">
        <v>50</v>
      </c>
      <c r="G1223" t="s">
        <v>33</v>
      </c>
      <c r="H1223">
        <v>5</v>
      </c>
      <c r="I1223">
        <v>30</v>
      </c>
      <c r="J1223">
        <v>100</v>
      </c>
      <c r="K1223">
        <v>99</v>
      </c>
      <c r="L1223">
        <v>3095.4</v>
      </c>
      <c r="M1223">
        <v>125.4</v>
      </c>
      <c r="N1223" s="1">
        <v>37818</v>
      </c>
      <c r="O1223" t="s">
        <v>25</v>
      </c>
      <c r="P1223">
        <v>3</v>
      </c>
      <c r="Q1223">
        <v>7</v>
      </c>
      <c r="R1223">
        <v>2003</v>
      </c>
      <c r="S1223" t="s">
        <v>226</v>
      </c>
    </row>
    <row r="1224" spans="1:19" x14ac:dyDescent="0.25">
      <c r="A1224">
        <v>10193</v>
      </c>
      <c r="B1224" t="s">
        <v>263</v>
      </c>
      <c r="C1224" t="s">
        <v>229</v>
      </c>
      <c r="D1224" t="s">
        <v>230</v>
      </c>
      <c r="E1224" t="s">
        <v>49</v>
      </c>
      <c r="F1224" t="s">
        <v>50</v>
      </c>
      <c r="G1224" t="s">
        <v>24</v>
      </c>
      <c r="H1224">
        <v>5</v>
      </c>
      <c r="I1224">
        <v>32</v>
      </c>
      <c r="J1224">
        <v>79.37</v>
      </c>
      <c r="K1224">
        <v>99</v>
      </c>
      <c r="L1224">
        <v>2539.84</v>
      </c>
      <c r="M1224">
        <v>-628.16</v>
      </c>
      <c r="N1224" s="1">
        <v>37946</v>
      </c>
      <c r="O1224" t="s">
        <v>25</v>
      </c>
      <c r="P1224">
        <v>4</v>
      </c>
      <c r="Q1224">
        <v>11</v>
      </c>
      <c r="R1224">
        <v>2003</v>
      </c>
      <c r="S1224" t="s">
        <v>226</v>
      </c>
    </row>
    <row r="1225" spans="1:19" x14ac:dyDescent="0.25">
      <c r="A1225">
        <v>10244</v>
      </c>
      <c r="B1225" t="s">
        <v>263</v>
      </c>
      <c r="C1225" t="s">
        <v>78</v>
      </c>
      <c r="D1225" t="s">
        <v>79</v>
      </c>
      <c r="E1225" t="s">
        <v>80</v>
      </c>
      <c r="F1225" t="s">
        <v>30</v>
      </c>
      <c r="G1225" t="s">
        <v>33</v>
      </c>
      <c r="H1225">
        <v>5</v>
      </c>
      <c r="I1225">
        <v>36</v>
      </c>
      <c r="J1225">
        <v>84.33</v>
      </c>
      <c r="K1225">
        <v>99</v>
      </c>
      <c r="L1225">
        <v>3035.88</v>
      </c>
      <c r="M1225">
        <v>-528.12</v>
      </c>
      <c r="N1225" s="1">
        <v>38106</v>
      </c>
      <c r="O1225" t="s">
        <v>25</v>
      </c>
      <c r="P1225">
        <v>2</v>
      </c>
      <c r="Q1225">
        <v>4</v>
      </c>
      <c r="R1225">
        <v>2004</v>
      </c>
      <c r="S1225" t="s">
        <v>226</v>
      </c>
    </row>
    <row r="1226" spans="1:19" x14ac:dyDescent="0.25">
      <c r="A1226">
        <v>10257</v>
      </c>
      <c r="B1226" t="s">
        <v>263</v>
      </c>
      <c r="C1226" t="s">
        <v>162</v>
      </c>
      <c r="D1226" t="s">
        <v>163</v>
      </c>
      <c r="E1226" t="s">
        <v>22</v>
      </c>
      <c r="F1226" t="s">
        <v>23</v>
      </c>
      <c r="G1226" t="s">
        <v>24</v>
      </c>
      <c r="H1226">
        <v>5</v>
      </c>
      <c r="I1226">
        <v>26</v>
      </c>
      <c r="J1226">
        <v>89.29</v>
      </c>
      <c r="K1226">
        <v>99</v>
      </c>
      <c r="L1226">
        <v>2321.54</v>
      </c>
      <c r="M1226">
        <v>-252.46</v>
      </c>
      <c r="N1226" s="1">
        <v>38152</v>
      </c>
      <c r="O1226" t="s">
        <v>25</v>
      </c>
      <c r="P1226">
        <v>2</v>
      </c>
      <c r="Q1226">
        <v>6</v>
      </c>
      <c r="R1226">
        <v>2004</v>
      </c>
      <c r="S1226" t="s">
        <v>226</v>
      </c>
    </row>
    <row r="1227" spans="1:19" x14ac:dyDescent="0.25">
      <c r="A1227">
        <v>10423</v>
      </c>
      <c r="B1227" t="s">
        <v>263</v>
      </c>
      <c r="C1227" t="s">
        <v>151</v>
      </c>
      <c r="D1227" t="s">
        <v>152</v>
      </c>
      <c r="E1227" t="s">
        <v>153</v>
      </c>
      <c r="F1227" t="s">
        <v>30</v>
      </c>
      <c r="G1227" t="s">
        <v>24</v>
      </c>
      <c r="H1227">
        <v>5</v>
      </c>
      <c r="I1227">
        <v>21</v>
      </c>
      <c r="J1227">
        <v>89.29</v>
      </c>
      <c r="K1227">
        <v>99</v>
      </c>
      <c r="L1227">
        <v>1875.09</v>
      </c>
      <c r="M1227">
        <v>-203.91</v>
      </c>
      <c r="N1227" s="1">
        <v>38502</v>
      </c>
      <c r="O1227" t="s">
        <v>125</v>
      </c>
      <c r="P1227">
        <v>2</v>
      </c>
      <c r="Q1227">
        <v>5</v>
      </c>
      <c r="R1227">
        <v>2005</v>
      </c>
      <c r="S1227" t="s">
        <v>226</v>
      </c>
    </row>
    <row r="1228" spans="1:19" x14ac:dyDescent="0.25">
      <c r="A1228">
        <v>10191</v>
      </c>
      <c r="B1228" t="s">
        <v>264</v>
      </c>
      <c r="C1228" t="s">
        <v>178</v>
      </c>
      <c r="D1228" t="s">
        <v>179</v>
      </c>
      <c r="E1228" t="s">
        <v>180</v>
      </c>
      <c r="F1228" t="s">
        <v>30</v>
      </c>
      <c r="G1228" t="s">
        <v>33</v>
      </c>
      <c r="H1228">
        <v>5</v>
      </c>
      <c r="I1228">
        <v>23</v>
      </c>
      <c r="J1228">
        <v>100</v>
      </c>
      <c r="K1228">
        <v>146</v>
      </c>
      <c r="L1228">
        <v>3414.58</v>
      </c>
      <c r="M1228">
        <v>56.58</v>
      </c>
      <c r="N1228" s="1">
        <v>37945</v>
      </c>
      <c r="O1228" t="s">
        <v>25</v>
      </c>
      <c r="P1228">
        <v>4</v>
      </c>
      <c r="Q1228">
        <v>11</v>
      </c>
      <c r="R1228">
        <v>2003</v>
      </c>
      <c r="S1228" t="s">
        <v>83</v>
      </c>
    </row>
    <row r="1229" spans="1:19" x14ac:dyDescent="0.25">
      <c r="A1229">
        <v>10238</v>
      </c>
      <c r="B1229" t="s">
        <v>264</v>
      </c>
      <c r="C1229" t="s">
        <v>135</v>
      </c>
      <c r="D1229" t="s">
        <v>136</v>
      </c>
      <c r="E1229" t="s">
        <v>137</v>
      </c>
      <c r="F1229" t="s">
        <v>30</v>
      </c>
      <c r="G1229" t="s">
        <v>33</v>
      </c>
      <c r="H1229">
        <v>5</v>
      </c>
      <c r="I1229">
        <v>49</v>
      </c>
      <c r="J1229">
        <v>100</v>
      </c>
      <c r="K1229">
        <v>146</v>
      </c>
      <c r="L1229">
        <v>6554.24</v>
      </c>
      <c r="M1229">
        <v>-599.76</v>
      </c>
      <c r="N1229" s="1">
        <v>38086</v>
      </c>
      <c r="O1229" t="s">
        <v>25</v>
      </c>
      <c r="P1229">
        <v>2</v>
      </c>
      <c r="Q1229">
        <v>4</v>
      </c>
      <c r="R1229">
        <v>2004</v>
      </c>
      <c r="S1229" t="s">
        <v>83</v>
      </c>
    </row>
    <row r="1230" spans="1:19" x14ac:dyDescent="0.25">
      <c r="A1230">
        <v>10276</v>
      </c>
      <c r="B1230" t="s">
        <v>264</v>
      </c>
      <c r="C1230" t="s">
        <v>186</v>
      </c>
      <c r="D1230" t="s">
        <v>120</v>
      </c>
      <c r="E1230" t="s">
        <v>22</v>
      </c>
      <c r="F1230" t="s">
        <v>23</v>
      </c>
      <c r="G1230" t="s">
        <v>33</v>
      </c>
      <c r="H1230">
        <v>5</v>
      </c>
      <c r="I1230">
        <v>30</v>
      </c>
      <c r="J1230">
        <v>100</v>
      </c>
      <c r="K1230">
        <v>146</v>
      </c>
      <c r="L1230">
        <v>3924.6</v>
      </c>
      <c r="M1230">
        <v>-455.4</v>
      </c>
      <c r="N1230" s="1">
        <v>38201</v>
      </c>
      <c r="O1230" t="s">
        <v>25</v>
      </c>
      <c r="P1230">
        <v>3</v>
      </c>
      <c r="Q1230">
        <v>8</v>
      </c>
      <c r="R1230">
        <v>2004</v>
      </c>
      <c r="S1230" t="s">
        <v>83</v>
      </c>
    </row>
    <row r="1231" spans="1:19" x14ac:dyDescent="0.25">
      <c r="A1231">
        <v>10320</v>
      </c>
      <c r="B1231" t="s">
        <v>264</v>
      </c>
      <c r="C1231" t="s">
        <v>84</v>
      </c>
      <c r="D1231" t="s">
        <v>85</v>
      </c>
      <c r="E1231" t="s">
        <v>86</v>
      </c>
      <c r="F1231" t="s">
        <v>30</v>
      </c>
      <c r="G1231" t="s">
        <v>33</v>
      </c>
      <c r="H1231">
        <v>5</v>
      </c>
      <c r="I1231">
        <v>25</v>
      </c>
      <c r="J1231">
        <v>100</v>
      </c>
      <c r="K1231">
        <v>146</v>
      </c>
      <c r="L1231">
        <v>3491</v>
      </c>
      <c r="M1231">
        <v>-159</v>
      </c>
      <c r="N1231" s="1">
        <v>38294</v>
      </c>
      <c r="O1231" t="s">
        <v>25</v>
      </c>
      <c r="P1231">
        <v>4</v>
      </c>
      <c r="Q1231">
        <v>11</v>
      </c>
      <c r="R1231">
        <v>2004</v>
      </c>
      <c r="S1231" t="s">
        <v>83</v>
      </c>
    </row>
    <row r="1232" spans="1:19" x14ac:dyDescent="0.25">
      <c r="A1232">
        <v>10252</v>
      </c>
      <c r="B1232" t="s">
        <v>266</v>
      </c>
      <c r="C1232" t="s">
        <v>46</v>
      </c>
      <c r="D1232" t="s">
        <v>32</v>
      </c>
      <c r="E1232" t="s">
        <v>29</v>
      </c>
      <c r="F1232" t="s">
        <v>30</v>
      </c>
      <c r="G1232" t="s">
        <v>24</v>
      </c>
      <c r="H1232">
        <v>5</v>
      </c>
      <c r="I1232">
        <v>31</v>
      </c>
      <c r="J1232">
        <v>52.84</v>
      </c>
      <c r="K1232">
        <v>62</v>
      </c>
      <c r="L1232">
        <v>1638.04</v>
      </c>
      <c r="M1232">
        <v>-283.95999999999998</v>
      </c>
      <c r="N1232" s="1">
        <v>38133</v>
      </c>
      <c r="O1232" t="s">
        <v>25</v>
      </c>
      <c r="P1232">
        <v>2</v>
      </c>
      <c r="Q1232">
        <v>5</v>
      </c>
      <c r="R1232">
        <v>2004</v>
      </c>
      <c r="S1232" t="s">
        <v>26</v>
      </c>
    </row>
    <row r="1233" spans="1:19" x14ac:dyDescent="0.25">
      <c r="A1233">
        <v>10209</v>
      </c>
      <c r="B1233" t="s">
        <v>267</v>
      </c>
      <c r="C1233" t="s">
        <v>147</v>
      </c>
      <c r="D1233" t="s">
        <v>148</v>
      </c>
      <c r="E1233" t="s">
        <v>22</v>
      </c>
      <c r="F1233" t="s">
        <v>23</v>
      </c>
      <c r="G1233" t="s">
        <v>24</v>
      </c>
      <c r="H1233">
        <v>5</v>
      </c>
      <c r="I1233">
        <v>20</v>
      </c>
      <c r="J1233">
        <v>100</v>
      </c>
      <c r="K1233">
        <v>105</v>
      </c>
      <c r="L1233">
        <v>2498.6</v>
      </c>
      <c r="M1233">
        <v>398.6</v>
      </c>
      <c r="N1233" s="1">
        <v>37995</v>
      </c>
      <c r="O1233" t="s">
        <v>25</v>
      </c>
      <c r="P1233">
        <v>1</v>
      </c>
      <c r="Q1233">
        <v>1</v>
      </c>
      <c r="R1233">
        <v>2004</v>
      </c>
      <c r="S1233" t="s">
        <v>226</v>
      </c>
    </row>
    <row r="1234" spans="1:19" x14ac:dyDescent="0.25">
      <c r="A1234">
        <v>10249</v>
      </c>
      <c r="B1234" t="s">
        <v>267</v>
      </c>
      <c r="C1234" t="s">
        <v>102</v>
      </c>
      <c r="D1234" t="s">
        <v>59</v>
      </c>
      <c r="E1234" t="s">
        <v>22</v>
      </c>
      <c r="F1234" t="s">
        <v>23</v>
      </c>
      <c r="G1234" t="s">
        <v>33</v>
      </c>
      <c r="H1234">
        <v>5</v>
      </c>
      <c r="I1234">
        <v>46</v>
      </c>
      <c r="J1234">
        <v>100</v>
      </c>
      <c r="K1234">
        <v>105</v>
      </c>
      <c r="L1234">
        <v>5600.5</v>
      </c>
      <c r="M1234">
        <v>770.5</v>
      </c>
      <c r="N1234" s="1">
        <v>38115</v>
      </c>
      <c r="O1234" t="s">
        <v>25</v>
      </c>
      <c r="P1234">
        <v>2</v>
      </c>
      <c r="Q1234">
        <v>5</v>
      </c>
      <c r="R1234">
        <v>2004</v>
      </c>
      <c r="S1234" t="s">
        <v>226</v>
      </c>
    </row>
    <row r="1235" spans="1:19" x14ac:dyDescent="0.25">
      <c r="A1235">
        <v>10415</v>
      </c>
      <c r="B1235" t="s">
        <v>267</v>
      </c>
      <c r="C1235" t="s">
        <v>229</v>
      </c>
      <c r="D1235" t="s">
        <v>230</v>
      </c>
      <c r="E1235" t="s">
        <v>49</v>
      </c>
      <c r="F1235" t="s">
        <v>50</v>
      </c>
      <c r="G1235" t="s">
        <v>33</v>
      </c>
      <c r="H1235">
        <v>5</v>
      </c>
      <c r="I1235">
        <v>51</v>
      </c>
      <c r="J1235">
        <v>100</v>
      </c>
      <c r="K1235">
        <v>105</v>
      </c>
      <c r="L1235">
        <v>6209.25</v>
      </c>
      <c r="M1235">
        <v>854.25</v>
      </c>
      <c r="N1235" s="1">
        <v>38481</v>
      </c>
      <c r="O1235" t="s">
        <v>81</v>
      </c>
      <c r="P1235">
        <v>2</v>
      </c>
      <c r="Q1235">
        <v>5</v>
      </c>
      <c r="R1235">
        <v>2005</v>
      </c>
      <c r="S1235" t="s">
        <v>226</v>
      </c>
    </row>
    <row r="1236" spans="1:19" x14ac:dyDescent="0.25">
      <c r="A1236">
        <v>10127</v>
      </c>
      <c r="B1236" t="s">
        <v>268</v>
      </c>
      <c r="C1236" t="s">
        <v>192</v>
      </c>
      <c r="D1236" t="s">
        <v>21</v>
      </c>
      <c r="E1236" t="s">
        <v>22</v>
      </c>
      <c r="F1236" t="s">
        <v>23</v>
      </c>
      <c r="G1236" t="s">
        <v>33</v>
      </c>
      <c r="H1236">
        <v>5</v>
      </c>
      <c r="I1236">
        <v>25</v>
      </c>
      <c r="J1236">
        <v>100</v>
      </c>
      <c r="K1236">
        <v>143</v>
      </c>
      <c r="L1236">
        <v>3447</v>
      </c>
      <c r="M1236">
        <v>-128</v>
      </c>
      <c r="N1236" s="1">
        <v>37775</v>
      </c>
      <c r="O1236" t="s">
        <v>25</v>
      </c>
      <c r="P1236">
        <v>2</v>
      </c>
      <c r="Q1236">
        <v>6</v>
      </c>
      <c r="R1236">
        <v>2003</v>
      </c>
      <c r="S1236" t="s">
        <v>83</v>
      </c>
    </row>
    <row r="1237" spans="1:19" x14ac:dyDescent="0.25">
      <c r="A1237">
        <v>10176</v>
      </c>
      <c r="B1237" t="s">
        <v>268</v>
      </c>
      <c r="C1237" t="s">
        <v>184</v>
      </c>
      <c r="D1237" t="s">
        <v>185</v>
      </c>
      <c r="E1237" t="s">
        <v>110</v>
      </c>
      <c r="F1237" t="s">
        <v>30</v>
      </c>
      <c r="G1237" t="s">
        <v>33</v>
      </c>
      <c r="H1237">
        <v>5</v>
      </c>
      <c r="I1237">
        <v>36</v>
      </c>
      <c r="J1237">
        <v>100</v>
      </c>
      <c r="K1237">
        <v>143</v>
      </c>
      <c r="L1237">
        <v>5532.12</v>
      </c>
      <c r="M1237">
        <v>384.12</v>
      </c>
      <c r="N1237" s="1">
        <v>37931</v>
      </c>
      <c r="O1237" t="s">
        <v>25</v>
      </c>
      <c r="P1237">
        <v>4</v>
      </c>
      <c r="Q1237">
        <v>11</v>
      </c>
      <c r="R1237">
        <v>2003</v>
      </c>
      <c r="S1237" t="s">
        <v>83</v>
      </c>
    </row>
    <row r="1238" spans="1:19" x14ac:dyDescent="0.25">
      <c r="A1238">
        <v>10220</v>
      </c>
      <c r="B1238" t="s">
        <v>268</v>
      </c>
      <c r="C1238" t="s">
        <v>193</v>
      </c>
      <c r="D1238" t="s">
        <v>194</v>
      </c>
      <c r="E1238" t="s">
        <v>195</v>
      </c>
      <c r="F1238" t="s">
        <v>30</v>
      </c>
      <c r="G1238" t="s">
        <v>70</v>
      </c>
      <c r="H1238">
        <v>5</v>
      </c>
      <c r="I1238">
        <v>50</v>
      </c>
      <c r="J1238">
        <v>100</v>
      </c>
      <c r="K1238">
        <v>143</v>
      </c>
      <c r="L1238">
        <v>8258</v>
      </c>
      <c r="M1238">
        <v>1108</v>
      </c>
      <c r="N1238" s="1">
        <v>38029</v>
      </c>
      <c r="O1238" t="s">
        <v>25</v>
      </c>
      <c r="P1238">
        <v>1</v>
      </c>
      <c r="Q1238">
        <v>2</v>
      </c>
      <c r="R1238">
        <v>2004</v>
      </c>
      <c r="S1238" t="s">
        <v>83</v>
      </c>
    </row>
    <row r="1239" spans="1:19" x14ac:dyDescent="0.25">
      <c r="A1239">
        <v>10247</v>
      </c>
      <c r="B1239" t="s">
        <v>268</v>
      </c>
      <c r="C1239" t="s">
        <v>189</v>
      </c>
      <c r="D1239" t="s">
        <v>190</v>
      </c>
      <c r="E1239" t="s">
        <v>62</v>
      </c>
      <c r="F1239" t="s">
        <v>30</v>
      </c>
      <c r="G1239" t="s">
        <v>33</v>
      </c>
      <c r="H1239">
        <v>5</v>
      </c>
      <c r="I1239">
        <v>48</v>
      </c>
      <c r="J1239">
        <v>100</v>
      </c>
      <c r="K1239">
        <v>143</v>
      </c>
      <c r="L1239">
        <v>6756</v>
      </c>
      <c r="M1239">
        <v>-108</v>
      </c>
      <c r="N1239" s="1">
        <v>38112</v>
      </c>
      <c r="O1239" t="s">
        <v>25</v>
      </c>
      <c r="P1239">
        <v>2</v>
      </c>
      <c r="Q1239">
        <v>5</v>
      </c>
      <c r="R1239">
        <v>2004</v>
      </c>
      <c r="S1239" t="s">
        <v>83</v>
      </c>
    </row>
    <row r="1240" spans="1:19" x14ac:dyDescent="0.25">
      <c r="A1240">
        <v>10272</v>
      </c>
      <c r="B1240" t="s">
        <v>268</v>
      </c>
      <c r="C1240" t="s">
        <v>65</v>
      </c>
      <c r="D1240" t="s">
        <v>66</v>
      </c>
      <c r="E1240" t="s">
        <v>22</v>
      </c>
      <c r="F1240" t="s">
        <v>23</v>
      </c>
      <c r="G1240" t="s">
        <v>33</v>
      </c>
      <c r="H1240">
        <v>5</v>
      </c>
      <c r="I1240">
        <v>25</v>
      </c>
      <c r="J1240">
        <v>100</v>
      </c>
      <c r="K1240">
        <v>143</v>
      </c>
      <c r="L1240">
        <v>3734</v>
      </c>
      <c r="M1240">
        <v>159</v>
      </c>
      <c r="N1240" s="1">
        <v>38188</v>
      </c>
      <c r="O1240" t="s">
        <v>25</v>
      </c>
      <c r="P1240">
        <v>3</v>
      </c>
      <c r="Q1240">
        <v>7</v>
      </c>
      <c r="R1240">
        <v>2004</v>
      </c>
      <c r="S1240" t="s">
        <v>83</v>
      </c>
    </row>
    <row r="1241" spans="1:19" x14ac:dyDescent="0.25">
      <c r="A1241">
        <v>10349</v>
      </c>
      <c r="B1241" t="s">
        <v>268</v>
      </c>
      <c r="C1241" t="s">
        <v>192</v>
      </c>
      <c r="D1241" t="s">
        <v>21</v>
      </c>
      <c r="E1241" t="s">
        <v>22</v>
      </c>
      <c r="F1241" t="s">
        <v>23</v>
      </c>
      <c r="G1241" t="s">
        <v>33</v>
      </c>
      <c r="H1241">
        <v>5</v>
      </c>
      <c r="I1241">
        <v>34</v>
      </c>
      <c r="J1241">
        <v>100</v>
      </c>
      <c r="K1241">
        <v>143</v>
      </c>
      <c r="L1241">
        <v>4394.84</v>
      </c>
      <c r="M1241">
        <v>-467.16</v>
      </c>
      <c r="N1241" s="1">
        <v>38322</v>
      </c>
      <c r="O1241" t="s">
        <v>25</v>
      </c>
      <c r="P1241">
        <v>4</v>
      </c>
      <c r="Q1241">
        <v>12</v>
      </c>
      <c r="R1241">
        <v>2004</v>
      </c>
      <c r="S1241" t="s">
        <v>83</v>
      </c>
    </row>
    <row r="1242" spans="1:19" x14ac:dyDescent="0.25">
      <c r="A1242">
        <v>10413</v>
      </c>
      <c r="B1242" t="s">
        <v>268</v>
      </c>
      <c r="C1242" t="s">
        <v>54</v>
      </c>
      <c r="D1242" t="s">
        <v>55</v>
      </c>
      <c r="E1242" t="s">
        <v>22</v>
      </c>
      <c r="F1242" t="s">
        <v>23</v>
      </c>
      <c r="G1242" t="s">
        <v>33</v>
      </c>
      <c r="H1242">
        <v>5</v>
      </c>
      <c r="I1242">
        <v>49</v>
      </c>
      <c r="J1242">
        <v>100</v>
      </c>
      <c r="K1242">
        <v>143</v>
      </c>
      <c r="L1242">
        <v>6896.75</v>
      </c>
      <c r="M1242">
        <v>-110.25</v>
      </c>
      <c r="N1242" s="1">
        <v>38477</v>
      </c>
      <c r="O1242" t="s">
        <v>25</v>
      </c>
      <c r="P1242">
        <v>2</v>
      </c>
      <c r="Q1242">
        <v>5</v>
      </c>
      <c r="R1242">
        <v>2005</v>
      </c>
      <c r="S1242" t="s">
        <v>83</v>
      </c>
    </row>
    <row r="1243" spans="1:19" x14ac:dyDescent="0.25">
      <c r="A1243">
        <v>10204</v>
      </c>
      <c r="B1243" t="s">
        <v>269</v>
      </c>
      <c r="C1243" t="s">
        <v>192</v>
      </c>
      <c r="D1243" t="s">
        <v>21</v>
      </c>
      <c r="E1243" t="s">
        <v>22</v>
      </c>
      <c r="F1243" t="s">
        <v>23</v>
      </c>
      <c r="G1243" t="s">
        <v>24</v>
      </c>
      <c r="H1243">
        <v>5</v>
      </c>
      <c r="I1243">
        <v>29</v>
      </c>
      <c r="J1243">
        <v>85.59</v>
      </c>
      <c r="K1243">
        <v>92</v>
      </c>
      <c r="L1243">
        <v>2482.11</v>
      </c>
      <c r="M1243">
        <v>-185.89</v>
      </c>
      <c r="N1243" s="1">
        <v>37957</v>
      </c>
      <c r="O1243" t="s">
        <v>25</v>
      </c>
      <c r="P1243">
        <v>4</v>
      </c>
      <c r="Q1243">
        <v>12</v>
      </c>
      <c r="R1243">
        <v>2003</v>
      </c>
      <c r="S1243" t="s">
        <v>226</v>
      </c>
    </row>
    <row r="1244" spans="1:19" x14ac:dyDescent="0.25">
      <c r="A1244">
        <v>10232</v>
      </c>
      <c r="B1244" t="s">
        <v>270</v>
      </c>
      <c r="C1244" t="s">
        <v>158</v>
      </c>
      <c r="D1244" t="s">
        <v>159</v>
      </c>
      <c r="E1244" t="s">
        <v>77</v>
      </c>
      <c r="F1244" t="s">
        <v>30</v>
      </c>
      <c r="G1244" t="s">
        <v>24</v>
      </c>
      <c r="H1244">
        <v>5</v>
      </c>
      <c r="I1244">
        <v>23</v>
      </c>
      <c r="J1244">
        <v>89.53</v>
      </c>
      <c r="K1244">
        <v>87</v>
      </c>
      <c r="L1244">
        <v>2059.19</v>
      </c>
      <c r="M1244">
        <v>58.19</v>
      </c>
      <c r="N1244" s="1">
        <v>38066</v>
      </c>
      <c r="O1244" t="s">
        <v>25</v>
      </c>
      <c r="P1244">
        <v>1</v>
      </c>
      <c r="Q1244">
        <v>3</v>
      </c>
      <c r="R1244">
        <v>2004</v>
      </c>
      <c r="S1244" t="s">
        <v>226</v>
      </c>
    </row>
    <row r="1245" spans="1:19" x14ac:dyDescent="0.25">
      <c r="A1245">
        <v>10326</v>
      </c>
      <c r="B1245" t="s">
        <v>270</v>
      </c>
      <c r="C1245" t="s">
        <v>84</v>
      </c>
      <c r="D1245" t="s">
        <v>85</v>
      </c>
      <c r="E1245" t="s">
        <v>86</v>
      </c>
      <c r="F1245" t="s">
        <v>30</v>
      </c>
      <c r="G1245" t="s">
        <v>33</v>
      </c>
      <c r="H1245">
        <v>5</v>
      </c>
      <c r="I1245">
        <v>50</v>
      </c>
      <c r="J1245">
        <v>86.01</v>
      </c>
      <c r="K1245">
        <v>87</v>
      </c>
      <c r="L1245">
        <v>4300.5</v>
      </c>
      <c r="M1245">
        <v>-49.5</v>
      </c>
      <c r="N1245" s="1">
        <v>38300</v>
      </c>
      <c r="O1245" t="s">
        <v>25</v>
      </c>
      <c r="P1245">
        <v>4</v>
      </c>
      <c r="Q1245">
        <v>11</v>
      </c>
      <c r="R1245">
        <v>2004</v>
      </c>
      <c r="S1245" t="s">
        <v>226</v>
      </c>
    </row>
    <row r="1246" spans="1:19" x14ac:dyDescent="0.25">
      <c r="A1246">
        <v>10396</v>
      </c>
      <c r="B1246" t="s">
        <v>270</v>
      </c>
      <c r="C1246" t="s">
        <v>115</v>
      </c>
      <c r="D1246" t="s">
        <v>116</v>
      </c>
      <c r="E1246" t="s">
        <v>22</v>
      </c>
      <c r="F1246" t="s">
        <v>23</v>
      </c>
      <c r="G1246" t="s">
        <v>33</v>
      </c>
      <c r="H1246">
        <v>5</v>
      </c>
      <c r="I1246">
        <v>45</v>
      </c>
      <c r="J1246">
        <v>100</v>
      </c>
      <c r="K1246">
        <v>87</v>
      </c>
      <c r="L1246">
        <v>4739.3999999999996</v>
      </c>
      <c r="M1246">
        <v>824.4</v>
      </c>
      <c r="N1246" s="1">
        <v>38434</v>
      </c>
      <c r="O1246" t="s">
        <v>25</v>
      </c>
      <c r="P1246">
        <v>1</v>
      </c>
      <c r="Q1246">
        <v>3</v>
      </c>
      <c r="R1246">
        <v>2005</v>
      </c>
      <c r="S1246" t="s">
        <v>226</v>
      </c>
    </row>
    <row r="1247" spans="1:19" x14ac:dyDescent="0.25">
      <c r="A1247">
        <v>10103</v>
      </c>
      <c r="B1247" t="s">
        <v>271</v>
      </c>
      <c r="C1247" t="s">
        <v>63</v>
      </c>
      <c r="D1247" t="s">
        <v>64</v>
      </c>
      <c r="E1247" t="s">
        <v>44</v>
      </c>
      <c r="F1247" t="s">
        <v>30</v>
      </c>
      <c r="G1247" t="s">
        <v>33</v>
      </c>
      <c r="H1247">
        <v>5</v>
      </c>
      <c r="I1247">
        <v>36</v>
      </c>
      <c r="J1247">
        <v>100</v>
      </c>
      <c r="K1247">
        <v>121</v>
      </c>
      <c r="L1247">
        <v>4228.2</v>
      </c>
      <c r="M1247">
        <v>-127.8</v>
      </c>
      <c r="N1247" s="1">
        <v>37650</v>
      </c>
      <c r="O1247" t="s">
        <v>25</v>
      </c>
      <c r="P1247">
        <v>1</v>
      </c>
      <c r="Q1247">
        <v>1</v>
      </c>
      <c r="R1247">
        <v>2003</v>
      </c>
      <c r="S1247" t="s">
        <v>202</v>
      </c>
    </row>
    <row r="1248" spans="1:19" x14ac:dyDescent="0.25">
      <c r="A1248">
        <v>10126</v>
      </c>
      <c r="B1248" t="s">
        <v>271</v>
      </c>
      <c r="C1248" t="s">
        <v>87</v>
      </c>
      <c r="D1248" t="s">
        <v>79</v>
      </c>
      <c r="E1248" t="s">
        <v>80</v>
      </c>
      <c r="F1248" t="s">
        <v>30</v>
      </c>
      <c r="G1248" t="s">
        <v>70</v>
      </c>
      <c r="H1248">
        <v>5</v>
      </c>
      <c r="I1248">
        <v>50</v>
      </c>
      <c r="J1248">
        <v>100</v>
      </c>
      <c r="K1248">
        <v>121</v>
      </c>
      <c r="L1248">
        <v>7083</v>
      </c>
      <c r="M1248">
        <v>1033</v>
      </c>
      <c r="N1248" s="1">
        <v>37769</v>
      </c>
      <c r="O1248" t="s">
        <v>25</v>
      </c>
      <c r="P1248">
        <v>2</v>
      </c>
      <c r="Q1248">
        <v>5</v>
      </c>
      <c r="R1248">
        <v>2003</v>
      </c>
      <c r="S1248" t="s">
        <v>202</v>
      </c>
    </row>
    <row r="1249" spans="1:19" x14ac:dyDescent="0.25">
      <c r="A1249">
        <v>10140</v>
      </c>
      <c r="B1249" t="s">
        <v>271</v>
      </c>
      <c r="C1249" t="s">
        <v>38</v>
      </c>
      <c r="D1249" t="s">
        <v>39</v>
      </c>
      <c r="E1249" t="s">
        <v>22</v>
      </c>
      <c r="F1249" t="s">
        <v>23</v>
      </c>
      <c r="G1249" t="s">
        <v>33</v>
      </c>
      <c r="H1249">
        <v>5</v>
      </c>
      <c r="I1249">
        <v>40</v>
      </c>
      <c r="J1249">
        <v>100</v>
      </c>
      <c r="K1249">
        <v>121</v>
      </c>
      <c r="L1249">
        <v>4601.2</v>
      </c>
      <c r="M1249">
        <v>-238.8</v>
      </c>
      <c r="N1249" s="1">
        <v>37826</v>
      </c>
      <c r="O1249" t="s">
        <v>25</v>
      </c>
      <c r="P1249">
        <v>3</v>
      </c>
      <c r="Q1249">
        <v>7</v>
      </c>
      <c r="R1249">
        <v>2003</v>
      </c>
      <c r="S1249" t="s">
        <v>202</v>
      </c>
    </row>
    <row r="1250" spans="1:19" x14ac:dyDescent="0.25">
      <c r="A1250">
        <v>10194</v>
      </c>
      <c r="B1250" t="s">
        <v>271</v>
      </c>
      <c r="C1250" t="s">
        <v>95</v>
      </c>
      <c r="D1250" t="s">
        <v>96</v>
      </c>
      <c r="E1250" t="s">
        <v>29</v>
      </c>
      <c r="F1250" t="s">
        <v>30</v>
      </c>
      <c r="G1250" t="s">
        <v>33</v>
      </c>
      <c r="H1250">
        <v>5</v>
      </c>
      <c r="I1250">
        <v>32</v>
      </c>
      <c r="J1250">
        <v>100</v>
      </c>
      <c r="K1250">
        <v>121</v>
      </c>
      <c r="L1250">
        <v>4262.08</v>
      </c>
      <c r="M1250">
        <v>390.08</v>
      </c>
      <c r="N1250" s="1">
        <v>37950</v>
      </c>
      <c r="O1250" t="s">
        <v>25</v>
      </c>
      <c r="P1250">
        <v>4</v>
      </c>
      <c r="Q1250">
        <v>11</v>
      </c>
      <c r="R1250">
        <v>2003</v>
      </c>
      <c r="S1250" t="s">
        <v>202</v>
      </c>
    </row>
    <row r="1251" spans="1:19" x14ac:dyDescent="0.25">
      <c r="A1251">
        <v>10217</v>
      </c>
      <c r="B1251" t="s">
        <v>271</v>
      </c>
      <c r="C1251" t="s">
        <v>171</v>
      </c>
      <c r="D1251" t="s">
        <v>89</v>
      </c>
      <c r="E1251" t="s">
        <v>89</v>
      </c>
      <c r="F1251" t="s">
        <v>50</v>
      </c>
      <c r="G1251" t="s">
        <v>33</v>
      </c>
      <c r="H1251">
        <v>5</v>
      </c>
      <c r="I1251">
        <v>38</v>
      </c>
      <c r="J1251">
        <v>100</v>
      </c>
      <c r="K1251">
        <v>121</v>
      </c>
      <c r="L1251">
        <v>4509.08</v>
      </c>
      <c r="M1251">
        <v>-88.92</v>
      </c>
      <c r="N1251" s="1">
        <v>38021</v>
      </c>
      <c r="O1251" t="s">
        <v>25</v>
      </c>
      <c r="P1251">
        <v>1</v>
      </c>
      <c r="Q1251">
        <v>2</v>
      </c>
      <c r="R1251">
        <v>2004</v>
      </c>
      <c r="S1251" t="s">
        <v>202</v>
      </c>
    </row>
    <row r="1252" spans="1:19" x14ac:dyDescent="0.25">
      <c r="A1252">
        <v>10291</v>
      </c>
      <c r="B1252" t="s">
        <v>271</v>
      </c>
      <c r="C1252" t="s">
        <v>111</v>
      </c>
      <c r="D1252" t="s">
        <v>112</v>
      </c>
      <c r="E1252" t="s">
        <v>86</v>
      </c>
      <c r="F1252" t="s">
        <v>30</v>
      </c>
      <c r="G1252" t="s">
        <v>33</v>
      </c>
      <c r="H1252">
        <v>5</v>
      </c>
      <c r="I1252">
        <v>48</v>
      </c>
      <c r="J1252">
        <v>100</v>
      </c>
      <c r="K1252">
        <v>121</v>
      </c>
      <c r="L1252">
        <v>5288.64</v>
      </c>
      <c r="M1252">
        <v>-519.36</v>
      </c>
      <c r="N1252" s="1">
        <v>38238</v>
      </c>
      <c r="O1252" t="s">
        <v>25</v>
      </c>
      <c r="P1252">
        <v>3</v>
      </c>
      <c r="Q1252">
        <v>9</v>
      </c>
      <c r="R1252">
        <v>2004</v>
      </c>
      <c r="S1252" t="s">
        <v>202</v>
      </c>
    </row>
    <row r="1253" spans="1:19" x14ac:dyDescent="0.25">
      <c r="A1253">
        <v>10344</v>
      </c>
      <c r="B1253" t="s">
        <v>274</v>
      </c>
      <c r="C1253" t="s">
        <v>176</v>
      </c>
      <c r="D1253" t="s">
        <v>177</v>
      </c>
      <c r="E1253" t="s">
        <v>29</v>
      </c>
      <c r="F1253" t="s">
        <v>30</v>
      </c>
      <c r="G1253" t="s">
        <v>24</v>
      </c>
      <c r="H1253">
        <v>5</v>
      </c>
      <c r="I1253">
        <v>26</v>
      </c>
      <c r="J1253">
        <v>63.43</v>
      </c>
      <c r="K1253">
        <v>71</v>
      </c>
      <c r="L1253">
        <v>1649.18</v>
      </c>
      <c r="M1253">
        <v>-196.82</v>
      </c>
      <c r="N1253" s="1">
        <v>38316</v>
      </c>
      <c r="O1253" t="s">
        <v>25</v>
      </c>
      <c r="P1253">
        <v>4</v>
      </c>
      <c r="Q1253">
        <v>11</v>
      </c>
      <c r="R1253">
        <v>2004</v>
      </c>
      <c r="S1253" t="s">
        <v>83</v>
      </c>
    </row>
    <row r="1254" spans="1:19" x14ac:dyDescent="0.25">
      <c r="A1254">
        <v>10161</v>
      </c>
      <c r="B1254" t="s">
        <v>275</v>
      </c>
      <c r="C1254" t="s">
        <v>199</v>
      </c>
      <c r="D1254" t="s">
        <v>200</v>
      </c>
      <c r="E1254" t="s">
        <v>137</v>
      </c>
      <c r="F1254" t="s">
        <v>30</v>
      </c>
      <c r="G1254" t="s">
        <v>24</v>
      </c>
      <c r="H1254">
        <v>5</v>
      </c>
      <c r="I1254">
        <v>37</v>
      </c>
      <c r="J1254">
        <v>72.760000000000005</v>
      </c>
      <c r="K1254">
        <v>73</v>
      </c>
      <c r="L1254">
        <v>2692.12</v>
      </c>
      <c r="M1254">
        <v>-8.8800000000000008</v>
      </c>
      <c r="N1254" s="1">
        <v>37911</v>
      </c>
      <c r="O1254" t="s">
        <v>25</v>
      </c>
      <c r="P1254">
        <v>4</v>
      </c>
      <c r="Q1254">
        <v>10</v>
      </c>
      <c r="R1254">
        <v>2003</v>
      </c>
      <c r="S1254" t="s">
        <v>83</v>
      </c>
    </row>
    <row r="1255" spans="1:19" x14ac:dyDescent="0.25">
      <c r="A1255">
        <v>10267</v>
      </c>
      <c r="B1255" t="s">
        <v>275</v>
      </c>
      <c r="C1255" t="s">
        <v>192</v>
      </c>
      <c r="D1255" t="s">
        <v>21</v>
      </c>
      <c r="E1255" t="s">
        <v>22</v>
      </c>
      <c r="F1255" t="s">
        <v>23</v>
      </c>
      <c r="G1255" t="s">
        <v>33</v>
      </c>
      <c r="H1255">
        <v>5</v>
      </c>
      <c r="I1255">
        <v>40</v>
      </c>
      <c r="J1255">
        <v>80.099999999999994</v>
      </c>
      <c r="K1255">
        <v>73</v>
      </c>
      <c r="L1255">
        <v>3204</v>
      </c>
      <c r="M1255">
        <v>284</v>
      </c>
      <c r="N1255" s="1">
        <v>38175</v>
      </c>
      <c r="O1255" t="s">
        <v>25</v>
      </c>
      <c r="P1255">
        <v>3</v>
      </c>
      <c r="Q1255">
        <v>7</v>
      </c>
      <c r="R1255">
        <v>2004</v>
      </c>
      <c r="S1255" t="s">
        <v>83</v>
      </c>
    </row>
    <row r="1256" spans="1:19" x14ac:dyDescent="0.25">
      <c r="A1256">
        <v>10279</v>
      </c>
      <c r="B1256" t="s">
        <v>275</v>
      </c>
      <c r="C1256" t="s">
        <v>78</v>
      </c>
      <c r="D1256" t="s">
        <v>79</v>
      </c>
      <c r="E1256" t="s">
        <v>80</v>
      </c>
      <c r="F1256" t="s">
        <v>30</v>
      </c>
      <c r="G1256" t="s">
        <v>24</v>
      </c>
      <c r="H1256">
        <v>5</v>
      </c>
      <c r="I1256">
        <v>32</v>
      </c>
      <c r="J1256">
        <v>74.959999999999994</v>
      </c>
      <c r="K1256">
        <v>73</v>
      </c>
      <c r="L1256">
        <v>2398.7199999999998</v>
      </c>
      <c r="M1256">
        <v>62.72</v>
      </c>
      <c r="N1256" s="1">
        <v>38208</v>
      </c>
      <c r="O1256" t="s">
        <v>25</v>
      </c>
      <c r="P1256">
        <v>3</v>
      </c>
      <c r="Q1256">
        <v>8</v>
      </c>
      <c r="R1256">
        <v>2004</v>
      </c>
      <c r="S1256" t="s">
        <v>83</v>
      </c>
    </row>
    <row r="1257" spans="1:19" x14ac:dyDescent="0.25">
      <c r="A1257">
        <v>10292</v>
      </c>
      <c r="B1257" t="s">
        <v>276</v>
      </c>
      <c r="C1257" t="s">
        <v>20</v>
      </c>
      <c r="D1257" t="s">
        <v>21</v>
      </c>
      <c r="E1257" t="s">
        <v>22</v>
      </c>
      <c r="F1257" t="s">
        <v>23</v>
      </c>
      <c r="G1257" t="s">
        <v>24</v>
      </c>
      <c r="H1257">
        <v>5</v>
      </c>
      <c r="I1257">
        <v>40</v>
      </c>
      <c r="J1257">
        <v>53.75</v>
      </c>
      <c r="K1257">
        <v>57</v>
      </c>
      <c r="L1257">
        <v>2150</v>
      </c>
      <c r="M1257">
        <v>-130</v>
      </c>
      <c r="N1257" s="1">
        <v>38238</v>
      </c>
      <c r="O1257" t="s">
        <v>25</v>
      </c>
      <c r="P1257">
        <v>3</v>
      </c>
      <c r="Q1257">
        <v>9</v>
      </c>
      <c r="R1257">
        <v>2004</v>
      </c>
      <c r="S1257" t="s">
        <v>83</v>
      </c>
    </row>
    <row r="1258" spans="1:19" x14ac:dyDescent="0.25">
      <c r="A1258">
        <v>10172</v>
      </c>
      <c r="B1258" t="s">
        <v>278</v>
      </c>
      <c r="C1258" t="s">
        <v>54</v>
      </c>
      <c r="D1258" t="s">
        <v>55</v>
      </c>
      <c r="E1258" t="s">
        <v>22</v>
      </c>
      <c r="F1258" t="s">
        <v>23</v>
      </c>
      <c r="G1258" t="s">
        <v>24</v>
      </c>
      <c r="H1258">
        <v>5</v>
      </c>
      <c r="I1258">
        <v>34</v>
      </c>
      <c r="J1258">
        <v>42.76</v>
      </c>
      <c r="K1258">
        <v>50</v>
      </c>
      <c r="L1258">
        <v>1453.84</v>
      </c>
      <c r="M1258">
        <v>-246.16</v>
      </c>
      <c r="N1258" s="1">
        <v>37930</v>
      </c>
      <c r="O1258" t="s">
        <v>25</v>
      </c>
      <c r="P1258">
        <v>4</v>
      </c>
      <c r="Q1258">
        <v>11</v>
      </c>
      <c r="R1258">
        <v>2003</v>
      </c>
      <c r="S1258" t="s">
        <v>83</v>
      </c>
    </row>
    <row r="1259" spans="1:19" x14ac:dyDescent="0.25">
      <c r="A1259">
        <v>10212</v>
      </c>
      <c r="B1259" t="s">
        <v>278</v>
      </c>
      <c r="C1259" t="s">
        <v>78</v>
      </c>
      <c r="D1259" t="s">
        <v>79</v>
      </c>
      <c r="E1259" t="s">
        <v>80</v>
      </c>
      <c r="F1259" t="s">
        <v>30</v>
      </c>
      <c r="G1259" t="s">
        <v>24</v>
      </c>
      <c r="H1259">
        <v>5</v>
      </c>
      <c r="I1259">
        <v>45</v>
      </c>
      <c r="J1259">
        <v>53.33</v>
      </c>
      <c r="K1259">
        <v>50</v>
      </c>
      <c r="L1259">
        <v>2399.85</v>
      </c>
      <c r="M1259">
        <v>149.85</v>
      </c>
      <c r="N1259" s="1">
        <v>38002</v>
      </c>
      <c r="O1259" t="s">
        <v>25</v>
      </c>
      <c r="P1259">
        <v>1</v>
      </c>
      <c r="Q1259">
        <v>1</v>
      </c>
      <c r="R1259">
        <v>2004</v>
      </c>
      <c r="S1259" t="s">
        <v>83</v>
      </c>
    </row>
    <row r="1260" spans="1:19" x14ac:dyDescent="0.25">
      <c r="A1260">
        <v>10321</v>
      </c>
      <c r="B1260" t="s">
        <v>278</v>
      </c>
      <c r="C1260" t="s">
        <v>73</v>
      </c>
      <c r="D1260" t="s">
        <v>74</v>
      </c>
      <c r="E1260" t="s">
        <v>22</v>
      </c>
      <c r="F1260" t="s">
        <v>23</v>
      </c>
      <c r="G1260" t="s">
        <v>24</v>
      </c>
      <c r="H1260">
        <v>5</v>
      </c>
      <c r="I1260">
        <v>48</v>
      </c>
      <c r="J1260">
        <v>42.26</v>
      </c>
      <c r="K1260">
        <v>50</v>
      </c>
      <c r="L1260">
        <v>2028.48</v>
      </c>
      <c r="M1260">
        <v>-371.52</v>
      </c>
      <c r="N1260" s="1">
        <v>38295</v>
      </c>
      <c r="O1260" t="s">
        <v>25</v>
      </c>
      <c r="P1260">
        <v>4</v>
      </c>
      <c r="Q1260">
        <v>11</v>
      </c>
      <c r="R1260">
        <v>2004</v>
      </c>
      <c r="S1260" t="s">
        <v>83</v>
      </c>
    </row>
    <row r="1261" spans="1:19" x14ac:dyDescent="0.25">
      <c r="A1261">
        <v>10332</v>
      </c>
      <c r="B1261" t="s">
        <v>278</v>
      </c>
      <c r="C1261" t="s">
        <v>197</v>
      </c>
      <c r="D1261" t="s">
        <v>198</v>
      </c>
      <c r="E1261" t="s">
        <v>77</v>
      </c>
      <c r="F1261" t="s">
        <v>30</v>
      </c>
      <c r="G1261" t="s">
        <v>24</v>
      </c>
      <c r="H1261">
        <v>5</v>
      </c>
      <c r="I1261">
        <v>20</v>
      </c>
      <c r="J1261">
        <v>87.96</v>
      </c>
      <c r="K1261">
        <v>50</v>
      </c>
      <c r="L1261">
        <v>1759.2</v>
      </c>
      <c r="M1261">
        <v>759.2</v>
      </c>
      <c r="N1261" s="1">
        <v>38308</v>
      </c>
      <c r="O1261" t="s">
        <v>25</v>
      </c>
      <c r="P1261">
        <v>4</v>
      </c>
      <c r="Q1261">
        <v>11</v>
      </c>
      <c r="R1261">
        <v>2004</v>
      </c>
      <c r="S1261" t="s">
        <v>83</v>
      </c>
    </row>
    <row r="1262" spans="1:19" x14ac:dyDescent="0.25">
      <c r="A1262">
        <v>10133</v>
      </c>
      <c r="B1262" t="s">
        <v>279</v>
      </c>
      <c r="C1262" t="s">
        <v>78</v>
      </c>
      <c r="D1262" t="s">
        <v>79</v>
      </c>
      <c r="E1262" t="s">
        <v>80</v>
      </c>
      <c r="F1262" t="s">
        <v>30</v>
      </c>
      <c r="G1262" t="s">
        <v>33</v>
      </c>
      <c r="H1262">
        <v>5</v>
      </c>
      <c r="I1262">
        <v>41</v>
      </c>
      <c r="J1262">
        <v>94.1</v>
      </c>
      <c r="K1262">
        <v>109</v>
      </c>
      <c r="L1262">
        <v>3858.1</v>
      </c>
      <c r="M1262">
        <v>-610.9</v>
      </c>
      <c r="N1262" s="1">
        <v>37799</v>
      </c>
      <c r="O1262" t="s">
        <v>25</v>
      </c>
      <c r="P1262">
        <v>2</v>
      </c>
      <c r="Q1262">
        <v>6</v>
      </c>
      <c r="R1262">
        <v>2003</v>
      </c>
      <c r="S1262" t="s">
        <v>234</v>
      </c>
    </row>
    <row r="1263" spans="1:19" x14ac:dyDescent="0.25">
      <c r="A1263">
        <v>10235</v>
      </c>
      <c r="B1263" t="s">
        <v>279</v>
      </c>
      <c r="C1263" t="s">
        <v>154</v>
      </c>
      <c r="D1263" t="s">
        <v>155</v>
      </c>
      <c r="E1263" t="s">
        <v>99</v>
      </c>
      <c r="F1263" t="s">
        <v>23</v>
      </c>
      <c r="G1263" t="s">
        <v>24</v>
      </c>
      <c r="H1263">
        <v>5</v>
      </c>
      <c r="I1263">
        <v>23</v>
      </c>
      <c r="J1263">
        <v>96.29</v>
      </c>
      <c r="K1263">
        <v>109</v>
      </c>
      <c r="L1263">
        <v>2214.67</v>
      </c>
      <c r="M1263">
        <v>-292.33</v>
      </c>
      <c r="N1263" s="1">
        <v>38079</v>
      </c>
      <c r="O1263" t="s">
        <v>25</v>
      </c>
      <c r="P1263">
        <v>2</v>
      </c>
      <c r="Q1263">
        <v>4</v>
      </c>
      <c r="R1263">
        <v>2004</v>
      </c>
      <c r="S1263" t="s">
        <v>234</v>
      </c>
    </row>
    <row r="1264" spans="1:19" x14ac:dyDescent="0.25">
      <c r="A1264">
        <v>10401</v>
      </c>
      <c r="B1264" t="s">
        <v>279</v>
      </c>
      <c r="C1264" t="s">
        <v>52</v>
      </c>
      <c r="D1264" t="s">
        <v>53</v>
      </c>
      <c r="E1264" t="s">
        <v>22</v>
      </c>
      <c r="F1264" t="s">
        <v>23</v>
      </c>
      <c r="G1264" t="s">
        <v>33</v>
      </c>
      <c r="H1264">
        <v>5</v>
      </c>
      <c r="I1264">
        <v>38</v>
      </c>
      <c r="J1264">
        <v>96.29</v>
      </c>
      <c r="K1264">
        <v>109</v>
      </c>
      <c r="L1264">
        <v>3659.02</v>
      </c>
      <c r="M1264">
        <v>-482.98</v>
      </c>
      <c r="N1264" s="1">
        <v>38445</v>
      </c>
      <c r="O1264" t="s">
        <v>164</v>
      </c>
      <c r="P1264">
        <v>2</v>
      </c>
      <c r="Q1264">
        <v>4</v>
      </c>
      <c r="R1264">
        <v>2005</v>
      </c>
      <c r="S1264" t="s">
        <v>234</v>
      </c>
    </row>
    <row r="1265" spans="1:19" x14ac:dyDescent="0.25">
      <c r="A1265">
        <v>10162</v>
      </c>
      <c r="B1265" t="s">
        <v>280</v>
      </c>
      <c r="C1265" t="s">
        <v>36</v>
      </c>
      <c r="D1265" t="s">
        <v>37</v>
      </c>
      <c r="E1265" t="s">
        <v>22</v>
      </c>
      <c r="F1265" t="s">
        <v>23</v>
      </c>
      <c r="G1265" t="s">
        <v>24</v>
      </c>
      <c r="H1265">
        <v>5</v>
      </c>
      <c r="I1265">
        <v>37</v>
      </c>
      <c r="J1265">
        <v>27.22</v>
      </c>
      <c r="K1265">
        <v>33</v>
      </c>
      <c r="L1265">
        <v>1007.14</v>
      </c>
      <c r="M1265">
        <v>-213.86</v>
      </c>
      <c r="N1265" s="1">
        <v>37912</v>
      </c>
      <c r="O1265" t="s">
        <v>25</v>
      </c>
      <c r="P1265">
        <v>4</v>
      </c>
      <c r="Q1265">
        <v>10</v>
      </c>
      <c r="R1265">
        <v>2003</v>
      </c>
      <c r="S1265" t="s">
        <v>226</v>
      </c>
    </row>
    <row r="1266" spans="1:19" x14ac:dyDescent="0.25">
      <c r="A1266">
        <v>10205</v>
      </c>
      <c r="B1266" t="s">
        <v>280</v>
      </c>
      <c r="C1266" t="s">
        <v>78</v>
      </c>
      <c r="D1266" t="s">
        <v>79</v>
      </c>
      <c r="E1266" t="s">
        <v>80</v>
      </c>
      <c r="F1266" t="s">
        <v>30</v>
      </c>
      <c r="G1266" t="s">
        <v>24</v>
      </c>
      <c r="H1266">
        <v>5</v>
      </c>
      <c r="I1266">
        <v>32</v>
      </c>
      <c r="J1266">
        <v>37.17</v>
      </c>
      <c r="K1266">
        <v>33</v>
      </c>
      <c r="L1266">
        <v>1189.44</v>
      </c>
      <c r="M1266">
        <v>133.44</v>
      </c>
      <c r="N1266" s="1">
        <v>37958</v>
      </c>
      <c r="O1266" t="s">
        <v>25</v>
      </c>
      <c r="P1266">
        <v>4</v>
      </c>
      <c r="Q1266">
        <v>12</v>
      </c>
      <c r="R1266">
        <v>2003</v>
      </c>
      <c r="S1266" t="s">
        <v>226</v>
      </c>
    </row>
    <row r="1267" spans="1:19" x14ac:dyDescent="0.25">
      <c r="A1267">
        <v>10356</v>
      </c>
      <c r="B1267" t="s">
        <v>280</v>
      </c>
      <c r="C1267" t="s">
        <v>31</v>
      </c>
      <c r="D1267" t="s">
        <v>32</v>
      </c>
      <c r="E1267" t="s">
        <v>29</v>
      </c>
      <c r="F1267" t="s">
        <v>30</v>
      </c>
      <c r="G1267" t="s">
        <v>70</v>
      </c>
      <c r="H1267">
        <v>5</v>
      </c>
      <c r="I1267">
        <v>48</v>
      </c>
      <c r="J1267">
        <v>100</v>
      </c>
      <c r="K1267">
        <v>33</v>
      </c>
      <c r="L1267">
        <v>9720</v>
      </c>
      <c r="M1267">
        <v>8136</v>
      </c>
      <c r="N1267" s="1">
        <v>38330</v>
      </c>
      <c r="O1267" t="s">
        <v>25</v>
      </c>
      <c r="P1267">
        <v>4</v>
      </c>
      <c r="Q1267">
        <v>12</v>
      </c>
      <c r="R1267">
        <v>2004</v>
      </c>
      <c r="S1267" t="s">
        <v>226</v>
      </c>
    </row>
    <row r="1268" spans="1:19" x14ac:dyDescent="0.25">
      <c r="A1268">
        <v>10120</v>
      </c>
      <c r="B1268" t="s">
        <v>281</v>
      </c>
      <c r="C1268" t="s">
        <v>47</v>
      </c>
      <c r="D1268" t="s">
        <v>48</v>
      </c>
      <c r="E1268" t="s">
        <v>49</v>
      </c>
      <c r="F1268" t="s">
        <v>50</v>
      </c>
      <c r="G1268" t="s">
        <v>24</v>
      </c>
      <c r="H1268">
        <v>5</v>
      </c>
      <c r="I1268">
        <v>34</v>
      </c>
      <c r="J1268">
        <v>83.79</v>
      </c>
      <c r="K1268">
        <v>76</v>
      </c>
      <c r="L1268">
        <v>2848.86</v>
      </c>
      <c r="M1268">
        <v>264.86</v>
      </c>
      <c r="N1268" s="1">
        <v>37740</v>
      </c>
      <c r="O1268" t="s">
        <v>25</v>
      </c>
      <c r="P1268">
        <v>2</v>
      </c>
      <c r="Q1268">
        <v>4</v>
      </c>
      <c r="R1268">
        <v>2003</v>
      </c>
      <c r="S1268" t="s">
        <v>26</v>
      </c>
    </row>
    <row r="1269" spans="1:19" x14ac:dyDescent="0.25">
      <c r="A1269">
        <v>10153</v>
      </c>
      <c r="B1269" t="s">
        <v>282</v>
      </c>
      <c r="C1269" t="s">
        <v>78</v>
      </c>
      <c r="D1269" t="s">
        <v>79</v>
      </c>
      <c r="E1269" t="s">
        <v>80</v>
      </c>
      <c r="F1269" t="s">
        <v>30</v>
      </c>
      <c r="G1269" t="s">
        <v>33</v>
      </c>
      <c r="H1269">
        <v>5</v>
      </c>
      <c r="I1269">
        <v>40</v>
      </c>
      <c r="J1269">
        <v>100</v>
      </c>
      <c r="K1269">
        <v>122</v>
      </c>
      <c r="L1269">
        <v>5456.4</v>
      </c>
      <c r="M1269">
        <v>576.4</v>
      </c>
      <c r="N1269" s="1">
        <v>37892</v>
      </c>
      <c r="O1269" t="s">
        <v>25</v>
      </c>
      <c r="P1269">
        <v>3</v>
      </c>
      <c r="Q1269">
        <v>9</v>
      </c>
      <c r="R1269">
        <v>2003</v>
      </c>
      <c r="S1269" t="s">
        <v>255</v>
      </c>
    </row>
    <row r="1270" spans="1:19" x14ac:dyDescent="0.25">
      <c r="A1270">
        <v>10182</v>
      </c>
      <c r="B1270" t="s">
        <v>283</v>
      </c>
      <c r="C1270" t="s">
        <v>115</v>
      </c>
      <c r="D1270" t="s">
        <v>116</v>
      </c>
      <c r="E1270" t="s">
        <v>22</v>
      </c>
      <c r="F1270" t="s">
        <v>23</v>
      </c>
      <c r="G1270" t="s">
        <v>24</v>
      </c>
      <c r="H1270">
        <v>5</v>
      </c>
      <c r="I1270">
        <v>31</v>
      </c>
      <c r="J1270">
        <v>36.74</v>
      </c>
      <c r="K1270">
        <v>44</v>
      </c>
      <c r="L1270">
        <v>1138.94</v>
      </c>
      <c r="M1270">
        <v>-225.06</v>
      </c>
      <c r="N1270" s="1">
        <v>37937</v>
      </c>
      <c r="O1270" t="s">
        <v>25</v>
      </c>
      <c r="P1270">
        <v>4</v>
      </c>
      <c r="Q1270">
        <v>11</v>
      </c>
      <c r="R1270">
        <v>2003</v>
      </c>
      <c r="S1270" t="s">
        <v>226</v>
      </c>
    </row>
    <row r="1271" spans="1:19" x14ac:dyDescent="0.25">
      <c r="A1271">
        <v>10227</v>
      </c>
      <c r="B1271" t="s">
        <v>283</v>
      </c>
      <c r="C1271" t="s">
        <v>95</v>
      </c>
      <c r="D1271" t="s">
        <v>96</v>
      </c>
      <c r="E1271" t="s">
        <v>29</v>
      </c>
      <c r="F1271" t="s">
        <v>30</v>
      </c>
      <c r="G1271" t="s">
        <v>24</v>
      </c>
      <c r="H1271">
        <v>5</v>
      </c>
      <c r="I1271">
        <v>24</v>
      </c>
      <c r="J1271">
        <v>48.38</v>
      </c>
      <c r="K1271">
        <v>44</v>
      </c>
      <c r="L1271">
        <v>1161.1199999999999</v>
      </c>
      <c r="M1271">
        <v>105.12</v>
      </c>
      <c r="N1271" s="1">
        <v>38048</v>
      </c>
      <c r="O1271" t="s">
        <v>25</v>
      </c>
      <c r="P1271">
        <v>1</v>
      </c>
      <c r="Q1271">
        <v>3</v>
      </c>
      <c r="R1271">
        <v>2004</v>
      </c>
      <c r="S1271" t="s">
        <v>226</v>
      </c>
    </row>
    <row r="1272" spans="1:19" x14ac:dyDescent="0.25">
      <c r="A1272">
        <v>10380</v>
      </c>
      <c r="B1272" t="s">
        <v>283</v>
      </c>
      <c r="C1272" t="s">
        <v>78</v>
      </c>
      <c r="D1272" t="s">
        <v>79</v>
      </c>
      <c r="E1272" t="s">
        <v>80</v>
      </c>
      <c r="F1272" t="s">
        <v>30</v>
      </c>
      <c r="G1272" t="s">
        <v>24</v>
      </c>
      <c r="H1272">
        <v>5</v>
      </c>
      <c r="I1272">
        <v>27</v>
      </c>
      <c r="J1272">
        <v>68.349999999999994</v>
      </c>
      <c r="K1272">
        <v>44</v>
      </c>
      <c r="L1272">
        <v>1845.45</v>
      </c>
      <c r="M1272">
        <v>657.45</v>
      </c>
      <c r="N1272" s="1">
        <v>38399</v>
      </c>
      <c r="O1272" t="s">
        <v>25</v>
      </c>
      <c r="P1272">
        <v>1</v>
      </c>
      <c r="Q1272">
        <v>2</v>
      </c>
      <c r="R1272">
        <v>2005</v>
      </c>
      <c r="S1272" t="s">
        <v>226</v>
      </c>
    </row>
    <row r="1273" spans="1:19" x14ac:dyDescent="0.25">
      <c r="A1273">
        <v>10114</v>
      </c>
      <c r="B1273" t="s">
        <v>284</v>
      </c>
      <c r="C1273" t="s">
        <v>166</v>
      </c>
      <c r="D1273" t="s">
        <v>32</v>
      </c>
      <c r="E1273" t="s">
        <v>29</v>
      </c>
      <c r="F1273" t="s">
        <v>30</v>
      </c>
      <c r="G1273" t="s">
        <v>24</v>
      </c>
      <c r="H1273">
        <v>5</v>
      </c>
      <c r="I1273">
        <v>21</v>
      </c>
      <c r="J1273">
        <v>100</v>
      </c>
      <c r="K1273">
        <v>127</v>
      </c>
      <c r="L1273">
        <v>2925.09</v>
      </c>
      <c r="M1273">
        <v>258.08999999999997</v>
      </c>
      <c r="N1273" s="1">
        <v>37712</v>
      </c>
      <c r="O1273" t="s">
        <v>25</v>
      </c>
      <c r="P1273">
        <v>2</v>
      </c>
      <c r="Q1273">
        <v>4</v>
      </c>
      <c r="R1273">
        <v>2003</v>
      </c>
      <c r="S1273" t="s">
        <v>202</v>
      </c>
    </row>
    <row r="1274" spans="1:19" x14ac:dyDescent="0.25">
      <c r="A1274">
        <v>10334</v>
      </c>
      <c r="B1274" t="s">
        <v>284</v>
      </c>
      <c r="C1274" t="s">
        <v>84</v>
      </c>
      <c r="D1274" t="s">
        <v>85</v>
      </c>
      <c r="E1274" t="s">
        <v>86</v>
      </c>
      <c r="F1274" t="s">
        <v>30</v>
      </c>
      <c r="G1274" t="s">
        <v>33</v>
      </c>
      <c r="H1274">
        <v>5</v>
      </c>
      <c r="I1274">
        <v>42</v>
      </c>
      <c r="J1274">
        <v>100</v>
      </c>
      <c r="K1274">
        <v>127</v>
      </c>
      <c r="L1274">
        <v>5528.04</v>
      </c>
      <c r="M1274">
        <v>194.04</v>
      </c>
      <c r="N1274" s="1">
        <v>38310</v>
      </c>
      <c r="O1274" t="s">
        <v>164</v>
      </c>
      <c r="P1274">
        <v>4</v>
      </c>
      <c r="Q1274">
        <v>11</v>
      </c>
      <c r="R1274">
        <v>2004</v>
      </c>
      <c r="S1274" t="s">
        <v>202</v>
      </c>
    </row>
    <row r="1275" spans="1:19" x14ac:dyDescent="0.25">
      <c r="A1275">
        <v>10371</v>
      </c>
      <c r="B1275" t="s">
        <v>284</v>
      </c>
      <c r="C1275" t="s">
        <v>115</v>
      </c>
      <c r="D1275" t="s">
        <v>116</v>
      </c>
      <c r="E1275" t="s">
        <v>22</v>
      </c>
      <c r="F1275" t="s">
        <v>23</v>
      </c>
      <c r="G1275" t="s">
        <v>33</v>
      </c>
      <c r="H1275">
        <v>5</v>
      </c>
      <c r="I1275">
        <v>20</v>
      </c>
      <c r="J1275">
        <v>100</v>
      </c>
      <c r="K1275">
        <v>127</v>
      </c>
      <c r="L1275">
        <v>3449.4</v>
      </c>
      <c r="M1275">
        <v>909.4</v>
      </c>
      <c r="N1275" s="1">
        <v>38375</v>
      </c>
      <c r="O1275" t="s">
        <v>25</v>
      </c>
      <c r="P1275">
        <v>1</v>
      </c>
      <c r="Q1275">
        <v>1</v>
      </c>
      <c r="R1275">
        <v>2005</v>
      </c>
      <c r="S1275" t="s">
        <v>202</v>
      </c>
    </row>
    <row r="1276" spans="1:19" x14ac:dyDescent="0.25">
      <c r="A1276">
        <v>10302</v>
      </c>
      <c r="B1276" t="s">
        <v>286</v>
      </c>
      <c r="C1276" t="s">
        <v>75</v>
      </c>
      <c r="D1276" t="s">
        <v>76</v>
      </c>
      <c r="E1276" t="s">
        <v>77</v>
      </c>
      <c r="F1276" t="s">
        <v>30</v>
      </c>
      <c r="G1276" t="s">
        <v>33</v>
      </c>
      <c r="H1276">
        <v>5</v>
      </c>
      <c r="I1276">
        <v>49</v>
      </c>
      <c r="J1276">
        <v>100</v>
      </c>
      <c r="K1276">
        <v>90</v>
      </c>
      <c r="L1276">
        <v>5298.86</v>
      </c>
      <c r="M1276">
        <v>888.86</v>
      </c>
      <c r="N1276" s="1">
        <v>37900</v>
      </c>
      <c r="O1276" t="s">
        <v>25</v>
      </c>
      <c r="P1276">
        <v>4</v>
      </c>
      <c r="Q1276">
        <v>10</v>
      </c>
      <c r="R1276">
        <v>2003</v>
      </c>
      <c r="S1276" t="s">
        <v>83</v>
      </c>
    </row>
    <row r="1277" spans="1:19" x14ac:dyDescent="0.25">
      <c r="A1277">
        <v>10259</v>
      </c>
      <c r="B1277" t="s">
        <v>287</v>
      </c>
      <c r="C1277" t="s">
        <v>171</v>
      </c>
      <c r="D1277" t="s">
        <v>89</v>
      </c>
      <c r="E1277" t="s">
        <v>89</v>
      </c>
      <c r="F1277" t="s">
        <v>50</v>
      </c>
      <c r="G1277" t="s">
        <v>24</v>
      </c>
      <c r="H1277">
        <v>5</v>
      </c>
      <c r="I1277">
        <v>31</v>
      </c>
      <c r="J1277">
        <v>33.24</v>
      </c>
      <c r="K1277">
        <v>35</v>
      </c>
      <c r="L1277">
        <v>1030.44</v>
      </c>
      <c r="M1277">
        <v>-54.56</v>
      </c>
      <c r="N1277" s="1">
        <v>38153</v>
      </c>
      <c r="O1277" t="s">
        <v>25</v>
      </c>
      <c r="P1277">
        <v>2</v>
      </c>
      <c r="Q1277">
        <v>6</v>
      </c>
      <c r="R1277">
        <v>2004</v>
      </c>
      <c r="S1277" t="s">
        <v>83</v>
      </c>
    </row>
    <row r="1278" spans="1:19" x14ac:dyDescent="0.25">
      <c r="A1278">
        <v>10425</v>
      </c>
      <c r="B1278" t="s">
        <v>287</v>
      </c>
      <c r="C1278" t="s">
        <v>56</v>
      </c>
      <c r="D1278" t="s">
        <v>57</v>
      </c>
      <c r="E1278" t="s">
        <v>29</v>
      </c>
      <c r="F1278" t="s">
        <v>30</v>
      </c>
      <c r="G1278" t="s">
        <v>24</v>
      </c>
      <c r="H1278">
        <v>5</v>
      </c>
      <c r="I1278">
        <v>31</v>
      </c>
      <c r="J1278">
        <v>33.24</v>
      </c>
      <c r="K1278">
        <v>35</v>
      </c>
      <c r="L1278">
        <v>1030.44</v>
      </c>
      <c r="M1278">
        <v>-54.56</v>
      </c>
      <c r="N1278" s="1">
        <v>38503</v>
      </c>
      <c r="O1278" t="s">
        <v>125</v>
      </c>
      <c r="P1278">
        <v>2</v>
      </c>
      <c r="Q1278">
        <v>5</v>
      </c>
      <c r="R1278">
        <v>2005</v>
      </c>
      <c r="S1278" t="s">
        <v>83</v>
      </c>
    </row>
    <row r="1279" spans="1:19" x14ac:dyDescent="0.25">
      <c r="A1279">
        <v>10131</v>
      </c>
      <c r="B1279" t="s">
        <v>288</v>
      </c>
      <c r="C1279" t="s">
        <v>235</v>
      </c>
      <c r="D1279" t="s">
        <v>208</v>
      </c>
      <c r="E1279" t="s">
        <v>22</v>
      </c>
      <c r="F1279" t="s">
        <v>23</v>
      </c>
      <c r="G1279" t="s">
        <v>24</v>
      </c>
      <c r="H1279">
        <v>5</v>
      </c>
      <c r="I1279">
        <v>35</v>
      </c>
      <c r="J1279">
        <v>67.14</v>
      </c>
      <c r="K1279">
        <v>68</v>
      </c>
      <c r="L1279">
        <v>2349.9</v>
      </c>
      <c r="M1279">
        <v>-30.1</v>
      </c>
      <c r="N1279" s="1">
        <v>37788</v>
      </c>
      <c r="O1279" t="s">
        <v>25</v>
      </c>
      <c r="P1279">
        <v>2</v>
      </c>
      <c r="Q1279">
        <v>6</v>
      </c>
      <c r="R1279">
        <v>2003</v>
      </c>
      <c r="S1279" t="s">
        <v>234</v>
      </c>
    </row>
    <row r="1280" spans="1:19" x14ac:dyDescent="0.25">
      <c r="A1280">
        <v>10178</v>
      </c>
      <c r="B1280" t="s">
        <v>288</v>
      </c>
      <c r="C1280" t="s">
        <v>142</v>
      </c>
      <c r="D1280" t="s">
        <v>143</v>
      </c>
      <c r="E1280" t="s">
        <v>29</v>
      </c>
      <c r="F1280" t="s">
        <v>30</v>
      </c>
      <c r="G1280" t="s">
        <v>24</v>
      </c>
      <c r="H1280">
        <v>5</v>
      </c>
      <c r="I1280">
        <v>34</v>
      </c>
      <c r="J1280">
        <v>80.84</v>
      </c>
      <c r="K1280">
        <v>68</v>
      </c>
      <c r="L1280">
        <v>2748.56</v>
      </c>
      <c r="M1280">
        <v>436.56</v>
      </c>
      <c r="N1280" s="1">
        <v>37933</v>
      </c>
      <c r="O1280" t="s">
        <v>25</v>
      </c>
      <c r="P1280">
        <v>4</v>
      </c>
      <c r="Q1280">
        <v>11</v>
      </c>
      <c r="R1280">
        <v>2003</v>
      </c>
      <c r="S1280" t="s">
        <v>234</v>
      </c>
    </row>
    <row r="1281" spans="1:19" x14ac:dyDescent="0.25">
      <c r="A1281">
        <v>10198</v>
      </c>
      <c r="B1281" t="s">
        <v>288</v>
      </c>
      <c r="C1281" t="s">
        <v>173</v>
      </c>
      <c r="D1281" t="s">
        <v>174</v>
      </c>
      <c r="E1281" t="s">
        <v>175</v>
      </c>
      <c r="F1281" t="s">
        <v>50</v>
      </c>
      <c r="G1281" t="s">
        <v>33</v>
      </c>
      <c r="H1281">
        <v>5</v>
      </c>
      <c r="I1281">
        <v>48</v>
      </c>
      <c r="J1281">
        <v>67.819999999999993</v>
      </c>
      <c r="K1281">
        <v>68</v>
      </c>
      <c r="L1281">
        <v>3255.36</v>
      </c>
      <c r="M1281">
        <v>-8.64</v>
      </c>
      <c r="N1281" s="1">
        <v>37952</v>
      </c>
      <c r="O1281" t="s">
        <v>25</v>
      </c>
      <c r="P1281">
        <v>4</v>
      </c>
      <c r="Q1281">
        <v>11</v>
      </c>
      <c r="R1281">
        <v>2003</v>
      </c>
      <c r="S1281" t="s">
        <v>234</v>
      </c>
    </row>
    <row r="1282" spans="1:19" x14ac:dyDescent="0.25">
      <c r="A1282">
        <v>10222</v>
      </c>
      <c r="B1282" t="s">
        <v>288</v>
      </c>
      <c r="C1282" t="s">
        <v>149</v>
      </c>
      <c r="D1282" t="s">
        <v>150</v>
      </c>
      <c r="E1282" t="s">
        <v>22</v>
      </c>
      <c r="F1282" t="s">
        <v>23</v>
      </c>
      <c r="G1282" t="s">
        <v>24</v>
      </c>
      <c r="H1282">
        <v>5</v>
      </c>
      <c r="I1282">
        <v>32</v>
      </c>
      <c r="J1282">
        <v>81.53</v>
      </c>
      <c r="K1282">
        <v>68</v>
      </c>
      <c r="L1282">
        <v>2608.96</v>
      </c>
      <c r="M1282">
        <v>432.96</v>
      </c>
      <c r="N1282" s="1">
        <v>38036</v>
      </c>
      <c r="O1282" t="s">
        <v>25</v>
      </c>
      <c r="P1282">
        <v>1</v>
      </c>
      <c r="Q1282">
        <v>2</v>
      </c>
      <c r="R1282">
        <v>2004</v>
      </c>
      <c r="S1282" t="s">
        <v>234</v>
      </c>
    </row>
    <row r="1283" spans="1:19" x14ac:dyDescent="0.25">
      <c r="A1283">
        <v>10351</v>
      </c>
      <c r="B1283" t="s">
        <v>288</v>
      </c>
      <c r="C1283" t="s">
        <v>138</v>
      </c>
      <c r="D1283" t="s">
        <v>139</v>
      </c>
      <c r="E1283" t="s">
        <v>77</v>
      </c>
      <c r="F1283" t="s">
        <v>30</v>
      </c>
      <c r="G1283" t="s">
        <v>24</v>
      </c>
      <c r="H1283">
        <v>5</v>
      </c>
      <c r="I1283">
        <v>25</v>
      </c>
      <c r="J1283">
        <v>74.680000000000007</v>
      </c>
      <c r="K1283">
        <v>68</v>
      </c>
      <c r="L1283">
        <v>1867</v>
      </c>
      <c r="M1283">
        <v>167</v>
      </c>
      <c r="N1283" s="1">
        <v>38324</v>
      </c>
      <c r="O1283" t="s">
        <v>25</v>
      </c>
      <c r="P1283">
        <v>4</v>
      </c>
      <c r="Q1283">
        <v>12</v>
      </c>
      <c r="R1283">
        <v>2004</v>
      </c>
      <c r="S1283" t="s">
        <v>234</v>
      </c>
    </row>
    <row r="1284" spans="1:19" x14ac:dyDescent="0.25">
      <c r="A1284">
        <v>10241</v>
      </c>
      <c r="B1284" t="s">
        <v>289</v>
      </c>
      <c r="C1284" t="s">
        <v>217</v>
      </c>
      <c r="D1284" t="s">
        <v>218</v>
      </c>
      <c r="E1284" t="s">
        <v>29</v>
      </c>
      <c r="F1284" t="s">
        <v>30</v>
      </c>
      <c r="G1284" t="s">
        <v>24</v>
      </c>
      <c r="H1284">
        <v>5</v>
      </c>
      <c r="I1284">
        <v>28</v>
      </c>
      <c r="J1284">
        <v>98.65</v>
      </c>
      <c r="K1284">
        <v>117</v>
      </c>
      <c r="L1284">
        <v>2762.2</v>
      </c>
      <c r="M1284">
        <v>-513.79999999999995</v>
      </c>
      <c r="N1284" s="1">
        <v>38090</v>
      </c>
      <c r="O1284" t="s">
        <v>25</v>
      </c>
      <c r="P1284">
        <v>2</v>
      </c>
      <c r="Q1284">
        <v>4</v>
      </c>
      <c r="R1284">
        <v>2004</v>
      </c>
      <c r="S1284" t="s">
        <v>83</v>
      </c>
    </row>
    <row r="1285" spans="1:19" x14ac:dyDescent="0.25">
      <c r="A1285">
        <v>10346</v>
      </c>
      <c r="B1285" t="s">
        <v>289</v>
      </c>
      <c r="C1285" t="s">
        <v>221</v>
      </c>
      <c r="D1285" t="s">
        <v>222</v>
      </c>
      <c r="E1285" t="s">
        <v>22</v>
      </c>
      <c r="F1285" t="s">
        <v>23</v>
      </c>
      <c r="G1285" t="s">
        <v>24</v>
      </c>
      <c r="H1285">
        <v>5</v>
      </c>
      <c r="I1285">
        <v>24</v>
      </c>
      <c r="J1285">
        <v>87.24</v>
      </c>
      <c r="K1285">
        <v>117</v>
      </c>
      <c r="L1285">
        <v>2093.7600000000002</v>
      </c>
      <c r="M1285">
        <v>-714.24</v>
      </c>
      <c r="N1285" s="1">
        <v>38320</v>
      </c>
      <c r="O1285" t="s">
        <v>25</v>
      </c>
      <c r="P1285">
        <v>4</v>
      </c>
      <c r="Q1285">
        <v>11</v>
      </c>
      <c r="R1285">
        <v>2004</v>
      </c>
      <c r="S1285" t="s">
        <v>83</v>
      </c>
    </row>
    <row r="1286" spans="1:19" x14ac:dyDescent="0.25">
      <c r="A1286">
        <v>10368</v>
      </c>
      <c r="B1286" t="s">
        <v>289</v>
      </c>
      <c r="C1286" t="s">
        <v>115</v>
      </c>
      <c r="D1286" t="s">
        <v>116</v>
      </c>
      <c r="E1286" t="s">
        <v>22</v>
      </c>
      <c r="F1286" t="s">
        <v>23</v>
      </c>
      <c r="G1286" t="s">
        <v>33</v>
      </c>
      <c r="H1286">
        <v>5</v>
      </c>
      <c r="I1286">
        <v>31</v>
      </c>
      <c r="J1286">
        <v>100</v>
      </c>
      <c r="K1286">
        <v>117</v>
      </c>
      <c r="L1286">
        <v>4223.13</v>
      </c>
      <c r="M1286">
        <v>596.13</v>
      </c>
      <c r="N1286" s="1">
        <v>38371</v>
      </c>
      <c r="O1286" t="s">
        <v>25</v>
      </c>
      <c r="P1286">
        <v>1</v>
      </c>
      <c r="Q1286">
        <v>1</v>
      </c>
      <c r="R1286">
        <v>2005</v>
      </c>
      <c r="S1286" t="s">
        <v>83</v>
      </c>
    </row>
    <row r="1287" spans="1:19" x14ac:dyDescent="0.25">
      <c r="A1287">
        <v>10407</v>
      </c>
      <c r="B1287" t="s">
        <v>289</v>
      </c>
      <c r="C1287" t="s">
        <v>162</v>
      </c>
      <c r="D1287" t="s">
        <v>163</v>
      </c>
      <c r="E1287" t="s">
        <v>22</v>
      </c>
      <c r="F1287" t="s">
        <v>23</v>
      </c>
      <c r="G1287" t="s">
        <v>33</v>
      </c>
      <c r="H1287">
        <v>5</v>
      </c>
      <c r="I1287">
        <v>59</v>
      </c>
      <c r="J1287">
        <v>98.65</v>
      </c>
      <c r="K1287">
        <v>117</v>
      </c>
      <c r="L1287">
        <v>5820.35</v>
      </c>
      <c r="M1287">
        <v>-1082.6500000000001</v>
      </c>
      <c r="N1287" s="1">
        <v>38464</v>
      </c>
      <c r="O1287" t="s">
        <v>164</v>
      </c>
      <c r="P1287">
        <v>2</v>
      </c>
      <c r="Q1287">
        <v>4</v>
      </c>
      <c r="R1287">
        <v>2005</v>
      </c>
      <c r="S1287" t="s">
        <v>83</v>
      </c>
    </row>
    <row r="1288" spans="1:19" x14ac:dyDescent="0.25">
      <c r="A1288">
        <v>10390</v>
      </c>
      <c r="B1288" t="s">
        <v>290</v>
      </c>
      <c r="C1288" t="s">
        <v>115</v>
      </c>
      <c r="D1288" t="s">
        <v>116</v>
      </c>
      <c r="E1288" t="s">
        <v>22</v>
      </c>
      <c r="F1288" t="s">
        <v>23</v>
      </c>
      <c r="G1288" t="s">
        <v>33</v>
      </c>
      <c r="H1288">
        <v>5</v>
      </c>
      <c r="I1288">
        <v>37</v>
      </c>
      <c r="J1288">
        <v>100</v>
      </c>
      <c r="K1288">
        <v>37</v>
      </c>
      <c r="L1288">
        <v>4894.7299999999996</v>
      </c>
      <c r="M1288">
        <v>3525.73</v>
      </c>
      <c r="N1288" s="1">
        <v>38415</v>
      </c>
      <c r="O1288" t="s">
        <v>25</v>
      </c>
      <c r="P1288">
        <v>1</v>
      </c>
      <c r="Q1288">
        <v>3</v>
      </c>
      <c r="R1288">
        <v>2005</v>
      </c>
      <c r="S1288" t="s">
        <v>83</v>
      </c>
    </row>
    <row r="1289" spans="1:19" x14ac:dyDescent="0.25">
      <c r="A1289">
        <v>10248</v>
      </c>
      <c r="B1289" t="s">
        <v>291</v>
      </c>
      <c r="C1289" t="s">
        <v>20</v>
      </c>
      <c r="D1289" t="s">
        <v>21</v>
      </c>
      <c r="E1289" t="s">
        <v>22</v>
      </c>
      <c r="F1289" t="s">
        <v>23</v>
      </c>
      <c r="G1289" t="s">
        <v>33</v>
      </c>
      <c r="H1289">
        <v>5</v>
      </c>
      <c r="I1289">
        <v>30</v>
      </c>
      <c r="J1289">
        <v>100</v>
      </c>
      <c r="K1289">
        <v>88</v>
      </c>
      <c r="L1289">
        <v>3053.7</v>
      </c>
      <c r="M1289">
        <v>413.7</v>
      </c>
      <c r="N1289" s="1">
        <v>38114</v>
      </c>
      <c r="O1289" t="s">
        <v>141</v>
      </c>
      <c r="P1289">
        <v>2</v>
      </c>
      <c r="Q1289">
        <v>5</v>
      </c>
      <c r="R1289">
        <v>2004</v>
      </c>
      <c r="S1289" t="s">
        <v>226</v>
      </c>
    </row>
    <row r="1290" spans="1:19" x14ac:dyDescent="0.25">
      <c r="A1290">
        <v>10414</v>
      </c>
      <c r="B1290" t="s">
        <v>291</v>
      </c>
      <c r="C1290" t="s">
        <v>156</v>
      </c>
      <c r="D1290" t="s">
        <v>157</v>
      </c>
      <c r="E1290" t="s">
        <v>22</v>
      </c>
      <c r="F1290" t="s">
        <v>23</v>
      </c>
      <c r="G1290" t="s">
        <v>33</v>
      </c>
      <c r="H1290">
        <v>5</v>
      </c>
      <c r="I1290">
        <v>60</v>
      </c>
      <c r="J1290">
        <v>100</v>
      </c>
      <c r="K1290">
        <v>88</v>
      </c>
      <c r="L1290">
        <v>6107.4</v>
      </c>
      <c r="M1290">
        <v>827.4</v>
      </c>
      <c r="N1290" s="1">
        <v>38478</v>
      </c>
      <c r="O1290" t="s">
        <v>164</v>
      </c>
      <c r="P1290">
        <v>2</v>
      </c>
      <c r="Q1290">
        <v>5</v>
      </c>
      <c r="R1290">
        <v>2005</v>
      </c>
      <c r="S1290" t="s">
        <v>226</v>
      </c>
    </row>
    <row r="1291" spans="1:19" x14ac:dyDescent="0.25">
      <c r="A1291">
        <v>10148</v>
      </c>
      <c r="B1291" t="s">
        <v>292</v>
      </c>
      <c r="C1291" t="s">
        <v>121</v>
      </c>
      <c r="D1291" t="s">
        <v>122</v>
      </c>
      <c r="E1291" t="s">
        <v>49</v>
      </c>
      <c r="F1291" t="s">
        <v>50</v>
      </c>
      <c r="G1291" t="s">
        <v>24</v>
      </c>
      <c r="H1291">
        <v>5</v>
      </c>
      <c r="I1291">
        <v>31</v>
      </c>
      <c r="J1291">
        <v>73.62</v>
      </c>
      <c r="K1291">
        <v>85</v>
      </c>
      <c r="L1291">
        <v>2282.2199999999998</v>
      </c>
      <c r="M1291">
        <v>-352.78</v>
      </c>
      <c r="N1291" s="1">
        <v>37875</v>
      </c>
      <c r="O1291" t="s">
        <v>25</v>
      </c>
      <c r="P1291">
        <v>3</v>
      </c>
      <c r="Q1291">
        <v>9</v>
      </c>
      <c r="R1291">
        <v>2003</v>
      </c>
      <c r="S1291" t="s">
        <v>83</v>
      </c>
    </row>
    <row r="1292" spans="1:19" x14ac:dyDescent="0.25">
      <c r="A1292">
        <v>10311</v>
      </c>
      <c r="B1292" t="s">
        <v>292</v>
      </c>
      <c r="C1292" t="s">
        <v>78</v>
      </c>
      <c r="D1292" t="s">
        <v>79</v>
      </c>
      <c r="E1292" t="s">
        <v>80</v>
      </c>
      <c r="F1292" t="s">
        <v>30</v>
      </c>
      <c r="G1292" t="s">
        <v>24</v>
      </c>
      <c r="H1292">
        <v>5</v>
      </c>
      <c r="I1292">
        <v>25</v>
      </c>
      <c r="J1292">
        <v>83.04</v>
      </c>
      <c r="K1292">
        <v>85</v>
      </c>
      <c r="L1292">
        <v>2076</v>
      </c>
      <c r="M1292">
        <v>-49</v>
      </c>
      <c r="N1292" s="1">
        <v>38276</v>
      </c>
      <c r="O1292" t="s">
        <v>25</v>
      </c>
      <c r="P1292">
        <v>4</v>
      </c>
      <c r="Q1292">
        <v>10</v>
      </c>
      <c r="R1292">
        <v>2004</v>
      </c>
      <c r="S1292" t="s">
        <v>83</v>
      </c>
    </row>
    <row r="1293" spans="1:19" x14ac:dyDescent="0.25">
      <c r="A1293">
        <v>10108</v>
      </c>
      <c r="B1293" t="s">
        <v>293</v>
      </c>
      <c r="C1293" t="s">
        <v>173</v>
      </c>
      <c r="D1293" t="s">
        <v>174</v>
      </c>
      <c r="E1293" t="s">
        <v>175</v>
      </c>
      <c r="F1293" t="s">
        <v>50</v>
      </c>
      <c r="G1293" t="s">
        <v>24</v>
      </c>
      <c r="H1293">
        <v>5</v>
      </c>
      <c r="I1293">
        <v>30</v>
      </c>
      <c r="J1293">
        <v>63.07</v>
      </c>
      <c r="K1293">
        <v>61</v>
      </c>
      <c r="L1293">
        <v>1892.1</v>
      </c>
      <c r="M1293">
        <v>62.1</v>
      </c>
      <c r="N1293" s="1">
        <v>37683</v>
      </c>
      <c r="O1293" t="s">
        <v>25</v>
      </c>
      <c r="P1293">
        <v>1</v>
      </c>
      <c r="Q1293">
        <v>3</v>
      </c>
      <c r="R1293">
        <v>2003</v>
      </c>
      <c r="S1293" t="s">
        <v>83</v>
      </c>
    </row>
    <row r="1294" spans="1:19" x14ac:dyDescent="0.25">
      <c r="A1294">
        <v>10119</v>
      </c>
      <c r="B1294" t="s">
        <v>294</v>
      </c>
      <c r="C1294" t="s">
        <v>67</v>
      </c>
      <c r="D1294" t="s">
        <v>68</v>
      </c>
      <c r="E1294" t="s">
        <v>69</v>
      </c>
      <c r="F1294" t="s">
        <v>30</v>
      </c>
      <c r="G1294" t="s">
        <v>24</v>
      </c>
      <c r="H1294">
        <v>5</v>
      </c>
      <c r="I1294">
        <v>20</v>
      </c>
      <c r="J1294">
        <v>72.98</v>
      </c>
      <c r="K1294">
        <v>65</v>
      </c>
      <c r="L1294">
        <v>1459.6</v>
      </c>
      <c r="M1294">
        <v>159.6</v>
      </c>
      <c r="N1294" s="1">
        <v>37739</v>
      </c>
      <c r="O1294" t="s">
        <v>25</v>
      </c>
      <c r="P1294">
        <v>2</v>
      </c>
      <c r="Q1294">
        <v>4</v>
      </c>
      <c r="R1294">
        <v>2003</v>
      </c>
      <c r="S1294" t="s">
        <v>226</v>
      </c>
    </row>
    <row r="1295" spans="1:19" x14ac:dyDescent="0.25">
      <c r="A1295">
        <v>10192</v>
      </c>
      <c r="B1295" t="s">
        <v>295</v>
      </c>
      <c r="C1295" t="s">
        <v>117</v>
      </c>
      <c r="D1295" t="s">
        <v>118</v>
      </c>
      <c r="E1295" t="s">
        <v>22</v>
      </c>
      <c r="F1295" t="s">
        <v>23</v>
      </c>
      <c r="G1295" t="s">
        <v>33</v>
      </c>
      <c r="H1295">
        <v>5</v>
      </c>
      <c r="I1295">
        <v>46</v>
      </c>
      <c r="J1295">
        <v>100</v>
      </c>
      <c r="K1295">
        <v>107</v>
      </c>
      <c r="L1295">
        <v>5566</v>
      </c>
      <c r="M1295">
        <v>644</v>
      </c>
      <c r="N1295" s="1">
        <v>37945</v>
      </c>
      <c r="O1295" t="s">
        <v>25</v>
      </c>
      <c r="P1295">
        <v>4</v>
      </c>
      <c r="Q1295">
        <v>11</v>
      </c>
      <c r="R1295">
        <v>2003</v>
      </c>
      <c r="S1295" t="s">
        <v>83</v>
      </c>
    </row>
    <row r="1296" spans="1:19" x14ac:dyDescent="0.25">
      <c r="A1296">
        <v>10197</v>
      </c>
      <c r="B1296" t="s">
        <v>296</v>
      </c>
      <c r="C1296" t="s">
        <v>145</v>
      </c>
      <c r="D1296" t="s">
        <v>146</v>
      </c>
      <c r="E1296" t="s">
        <v>80</v>
      </c>
      <c r="F1296" t="s">
        <v>30</v>
      </c>
      <c r="G1296" t="s">
        <v>24</v>
      </c>
      <c r="H1296">
        <v>5</v>
      </c>
      <c r="I1296">
        <v>22</v>
      </c>
      <c r="J1296">
        <v>86.38</v>
      </c>
      <c r="K1296">
        <v>83</v>
      </c>
      <c r="L1296">
        <v>1900.36</v>
      </c>
      <c r="M1296">
        <v>74.36</v>
      </c>
      <c r="N1296" s="1">
        <v>37951</v>
      </c>
      <c r="O1296" t="s">
        <v>25</v>
      </c>
      <c r="P1296">
        <v>4</v>
      </c>
      <c r="Q1296">
        <v>11</v>
      </c>
      <c r="R1296">
        <v>2003</v>
      </c>
      <c r="S1296" t="s">
        <v>226</v>
      </c>
    </row>
    <row r="1297" spans="1:19" x14ac:dyDescent="0.25">
      <c r="A1297">
        <v>10283</v>
      </c>
      <c r="B1297" t="s">
        <v>296</v>
      </c>
      <c r="C1297" t="s">
        <v>154</v>
      </c>
      <c r="D1297" t="s">
        <v>155</v>
      </c>
      <c r="E1297" t="s">
        <v>99</v>
      </c>
      <c r="F1297" t="s">
        <v>23</v>
      </c>
      <c r="G1297" t="s">
        <v>24</v>
      </c>
      <c r="H1297">
        <v>5</v>
      </c>
      <c r="I1297">
        <v>33</v>
      </c>
      <c r="J1297">
        <v>72.959999999999994</v>
      </c>
      <c r="K1297">
        <v>83</v>
      </c>
      <c r="L1297">
        <v>2407.6799999999998</v>
      </c>
      <c r="M1297">
        <v>-331.32</v>
      </c>
      <c r="N1297" s="1">
        <v>38219</v>
      </c>
      <c r="O1297" t="s">
        <v>25</v>
      </c>
      <c r="P1297">
        <v>3</v>
      </c>
      <c r="Q1297">
        <v>8</v>
      </c>
      <c r="R1297">
        <v>2004</v>
      </c>
      <c r="S1297" t="s">
        <v>226</v>
      </c>
    </row>
    <row r="1298" spans="1:19" x14ac:dyDescent="0.25">
      <c r="A1298">
        <v>10122</v>
      </c>
      <c r="B1298" t="s">
        <v>297</v>
      </c>
      <c r="C1298" t="s">
        <v>176</v>
      </c>
      <c r="D1298" t="s">
        <v>177</v>
      </c>
      <c r="E1298" t="s">
        <v>29</v>
      </c>
      <c r="F1298" t="s">
        <v>30</v>
      </c>
      <c r="G1298" t="s">
        <v>33</v>
      </c>
      <c r="H1298">
        <v>5</v>
      </c>
      <c r="I1298">
        <v>43</v>
      </c>
      <c r="J1298">
        <v>100</v>
      </c>
      <c r="K1298">
        <v>140</v>
      </c>
      <c r="L1298">
        <v>5494.97</v>
      </c>
      <c r="M1298">
        <v>-525.03</v>
      </c>
      <c r="N1298" s="1">
        <v>37749</v>
      </c>
      <c r="O1298" t="s">
        <v>25</v>
      </c>
      <c r="P1298">
        <v>2</v>
      </c>
      <c r="Q1298">
        <v>5</v>
      </c>
      <c r="R1298">
        <v>2003</v>
      </c>
      <c r="S1298" t="s">
        <v>83</v>
      </c>
    </row>
    <row r="1299" spans="1:19" x14ac:dyDescent="0.25">
      <c r="A1299">
        <v>10310</v>
      </c>
      <c r="B1299" t="s">
        <v>297</v>
      </c>
      <c r="C1299" t="s">
        <v>178</v>
      </c>
      <c r="D1299" t="s">
        <v>179</v>
      </c>
      <c r="E1299" t="s">
        <v>180</v>
      </c>
      <c r="F1299" t="s">
        <v>30</v>
      </c>
      <c r="G1299" t="s">
        <v>33</v>
      </c>
      <c r="H1299">
        <v>5</v>
      </c>
      <c r="I1299">
        <v>45</v>
      </c>
      <c r="J1299">
        <v>100</v>
      </c>
      <c r="K1299">
        <v>140</v>
      </c>
      <c r="L1299">
        <v>5497.65</v>
      </c>
      <c r="M1299">
        <v>-802.35</v>
      </c>
      <c r="N1299" s="1">
        <v>38276</v>
      </c>
      <c r="O1299" t="s">
        <v>25</v>
      </c>
      <c r="P1299">
        <v>4</v>
      </c>
      <c r="Q1299">
        <v>10</v>
      </c>
      <c r="R1299">
        <v>2004</v>
      </c>
      <c r="S1299" t="s">
        <v>83</v>
      </c>
    </row>
    <row r="1300" spans="1:19" x14ac:dyDescent="0.25">
      <c r="A1300">
        <v>10110</v>
      </c>
      <c r="B1300" t="s">
        <v>299</v>
      </c>
      <c r="C1300" t="s">
        <v>197</v>
      </c>
      <c r="D1300" t="s">
        <v>198</v>
      </c>
      <c r="E1300" t="s">
        <v>77</v>
      </c>
      <c r="F1300" t="s">
        <v>30</v>
      </c>
      <c r="G1300" t="s">
        <v>24</v>
      </c>
      <c r="H1300">
        <v>5</v>
      </c>
      <c r="I1300">
        <v>48</v>
      </c>
      <c r="J1300">
        <v>34.47</v>
      </c>
      <c r="K1300">
        <v>41</v>
      </c>
      <c r="L1300">
        <v>1654.56</v>
      </c>
      <c r="M1300">
        <v>-313.44</v>
      </c>
      <c r="N1300" s="1">
        <v>37698</v>
      </c>
      <c r="O1300" t="s">
        <v>25</v>
      </c>
      <c r="P1300">
        <v>1</v>
      </c>
      <c r="Q1300">
        <v>3</v>
      </c>
      <c r="R1300">
        <v>2003</v>
      </c>
      <c r="S1300" t="s">
        <v>226</v>
      </c>
    </row>
    <row r="1301" spans="1:19" x14ac:dyDescent="0.25">
      <c r="A1301">
        <v>10214</v>
      </c>
      <c r="B1301" t="s">
        <v>299</v>
      </c>
      <c r="C1301" t="s">
        <v>87</v>
      </c>
      <c r="D1301" t="s">
        <v>79</v>
      </c>
      <c r="E1301" t="s">
        <v>80</v>
      </c>
      <c r="F1301" t="s">
        <v>30</v>
      </c>
      <c r="G1301" t="s">
        <v>24</v>
      </c>
      <c r="H1301">
        <v>5</v>
      </c>
      <c r="I1301">
        <v>44</v>
      </c>
      <c r="J1301">
        <v>34.880000000000003</v>
      </c>
      <c r="K1301">
        <v>41</v>
      </c>
      <c r="L1301">
        <v>1534.72</v>
      </c>
      <c r="M1301">
        <v>-269.27999999999997</v>
      </c>
      <c r="N1301" s="1">
        <v>38012</v>
      </c>
      <c r="O1301" t="s">
        <v>25</v>
      </c>
      <c r="P1301">
        <v>1</v>
      </c>
      <c r="Q1301">
        <v>1</v>
      </c>
      <c r="R1301">
        <v>2004</v>
      </c>
      <c r="S1301" t="s">
        <v>226</v>
      </c>
    </row>
    <row r="1302" spans="1:19" x14ac:dyDescent="0.25">
      <c r="A1302">
        <v>10104</v>
      </c>
      <c r="B1302" t="s">
        <v>300</v>
      </c>
      <c r="C1302" t="s">
        <v>78</v>
      </c>
      <c r="D1302" t="s">
        <v>79</v>
      </c>
      <c r="E1302" t="s">
        <v>80</v>
      </c>
      <c r="F1302" t="s">
        <v>30</v>
      </c>
      <c r="G1302" t="s">
        <v>24</v>
      </c>
      <c r="H1302">
        <v>5</v>
      </c>
      <c r="I1302">
        <v>26</v>
      </c>
      <c r="J1302">
        <v>100</v>
      </c>
      <c r="K1302">
        <v>118</v>
      </c>
      <c r="L1302">
        <v>2921.62</v>
      </c>
      <c r="M1302">
        <v>-146.38</v>
      </c>
      <c r="N1302" s="1">
        <v>37652</v>
      </c>
      <c r="O1302" t="s">
        <v>25</v>
      </c>
      <c r="P1302">
        <v>1</v>
      </c>
      <c r="Q1302">
        <v>1</v>
      </c>
      <c r="R1302">
        <v>2003</v>
      </c>
      <c r="S1302" t="s">
        <v>83</v>
      </c>
    </row>
    <row r="1303" spans="1:19" x14ac:dyDescent="0.25">
      <c r="A1303">
        <v>10230</v>
      </c>
      <c r="B1303" t="s">
        <v>300</v>
      </c>
      <c r="C1303" t="s">
        <v>187</v>
      </c>
      <c r="D1303" t="s">
        <v>188</v>
      </c>
      <c r="E1303" t="s">
        <v>180</v>
      </c>
      <c r="F1303" t="s">
        <v>30</v>
      </c>
      <c r="G1303" t="s">
        <v>33</v>
      </c>
      <c r="H1303">
        <v>5</v>
      </c>
      <c r="I1303">
        <v>45</v>
      </c>
      <c r="J1303">
        <v>100</v>
      </c>
      <c r="K1303">
        <v>118</v>
      </c>
      <c r="L1303">
        <v>4737.1499999999996</v>
      </c>
      <c r="M1303">
        <v>-572.85</v>
      </c>
      <c r="N1303" s="1">
        <v>38061</v>
      </c>
      <c r="O1303" t="s">
        <v>25</v>
      </c>
      <c r="P1303">
        <v>1</v>
      </c>
      <c r="Q1303">
        <v>3</v>
      </c>
      <c r="R1303">
        <v>2004</v>
      </c>
      <c r="S1303" t="s">
        <v>83</v>
      </c>
    </row>
    <row r="1304" spans="1:19" x14ac:dyDescent="0.25">
      <c r="A1304">
        <v>10325</v>
      </c>
      <c r="B1304" t="s">
        <v>300</v>
      </c>
      <c r="C1304" t="s">
        <v>63</v>
      </c>
      <c r="D1304" t="s">
        <v>64</v>
      </c>
      <c r="E1304" t="s">
        <v>44</v>
      </c>
      <c r="F1304" t="s">
        <v>30</v>
      </c>
      <c r="G1304" t="s">
        <v>33</v>
      </c>
      <c r="H1304">
        <v>5</v>
      </c>
      <c r="I1304">
        <v>44</v>
      </c>
      <c r="J1304">
        <v>100</v>
      </c>
      <c r="K1304">
        <v>118</v>
      </c>
      <c r="L1304">
        <v>5325.76</v>
      </c>
      <c r="M1304">
        <v>133.76</v>
      </c>
      <c r="N1304" s="1">
        <v>38296</v>
      </c>
      <c r="O1304" t="s">
        <v>25</v>
      </c>
      <c r="P1304">
        <v>4</v>
      </c>
      <c r="Q1304">
        <v>11</v>
      </c>
      <c r="R1304">
        <v>2004</v>
      </c>
      <c r="S1304" t="s">
        <v>83</v>
      </c>
    </row>
    <row r="1305" spans="1:19" x14ac:dyDescent="0.25">
      <c r="A1305">
        <v>10336</v>
      </c>
      <c r="B1305" t="s">
        <v>300</v>
      </c>
      <c r="C1305" t="s">
        <v>166</v>
      </c>
      <c r="D1305" t="s">
        <v>32</v>
      </c>
      <c r="E1305" t="s">
        <v>29</v>
      </c>
      <c r="F1305" t="s">
        <v>30</v>
      </c>
      <c r="G1305" t="s">
        <v>33</v>
      </c>
      <c r="H1305">
        <v>5</v>
      </c>
      <c r="I1305">
        <v>31</v>
      </c>
      <c r="J1305">
        <v>100</v>
      </c>
      <c r="K1305">
        <v>118</v>
      </c>
      <c r="L1305">
        <v>4618.6899999999996</v>
      </c>
      <c r="M1305">
        <v>960.69</v>
      </c>
      <c r="N1305" s="1">
        <v>38311</v>
      </c>
      <c r="O1305" t="s">
        <v>25</v>
      </c>
      <c r="P1305">
        <v>4</v>
      </c>
      <c r="Q1305">
        <v>11</v>
      </c>
      <c r="R1305">
        <v>2004</v>
      </c>
      <c r="S1305" t="s">
        <v>83</v>
      </c>
    </row>
    <row r="1306" spans="1:19" x14ac:dyDescent="0.25">
      <c r="A1306">
        <v>10163</v>
      </c>
      <c r="B1306" t="s">
        <v>301</v>
      </c>
      <c r="C1306" t="s">
        <v>90</v>
      </c>
      <c r="D1306" t="s">
        <v>21</v>
      </c>
      <c r="E1306" t="s">
        <v>22</v>
      </c>
      <c r="F1306" t="s">
        <v>23</v>
      </c>
      <c r="G1306" t="s">
        <v>33</v>
      </c>
      <c r="H1306">
        <v>5</v>
      </c>
      <c r="I1306">
        <v>42</v>
      </c>
      <c r="J1306">
        <v>91.55</v>
      </c>
      <c r="K1306">
        <v>97</v>
      </c>
      <c r="L1306">
        <v>3845.1</v>
      </c>
      <c r="M1306">
        <v>-228.9</v>
      </c>
      <c r="N1306" s="1">
        <v>37914</v>
      </c>
      <c r="O1306" t="s">
        <v>25</v>
      </c>
      <c r="P1306">
        <v>4</v>
      </c>
      <c r="Q1306">
        <v>10</v>
      </c>
      <c r="R1306">
        <v>2003</v>
      </c>
      <c r="S1306" t="s">
        <v>226</v>
      </c>
    </row>
    <row r="1307" spans="1:19" x14ac:dyDescent="0.25">
      <c r="A1307">
        <v>10250</v>
      </c>
      <c r="B1307" t="s">
        <v>302</v>
      </c>
      <c r="C1307" t="s">
        <v>162</v>
      </c>
      <c r="D1307" t="s">
        <v>163</v>
      </c>
      <c r="E1307" t="s">
        <v>22</v>
      </c>
      <c r="F1307" t="s">
        <v>23</v>
      </c>
      <c r="G1307" t="s">
        <v>24</v>
      </c>
      <c r="H1307">
        <v>5</v>
      </c>
      <c r="I1307">
        <v>37</v>
      </c>
      <c r="J1307">
        <v>74.62</v>
      </c>
      <c r="K1307">
        <v>72</v>
      </c>
      <c r="L1307">
        <v>2760.94</v>
      </c>
      <c r="M1307">
        <v>96.94</v>
      </c>
      <c r="N1307" s="1">
        <v>38118</v>
      </c>
      <c r="O1307" t="s">
        <v>25</v>
      </c>
      <c r="P1307">
        <v>2</v>
      </c>
      <c r="Q1307">
        <v>5</v>
      </c>
      <c r="R1307">
        <v>2004</v>
      </c>
      <c r="S1307" t="s">
        <v>234</v>
      </c>
    </row>
    <row r="1308" spans="1:19" x14ac:dyDescent="0.25">
      <c r="A1308">
        <v>10297</v>
      </c>
      <c r="B1308" t="s">
        <v>302</v>
      </c>
      <c r="C1308" t="s">
        <v>193</v>
      </c>
      <c r="D1308" t="s">
        <v>194</v>
      </c>
      <c r="E1308" t="s">
        <v>195</v>
      </c>
      <c r="F1308" t="s">
        <v>30</v>
      </c>
      <c r="G1308" t="s">
        <v>24</v>
      </c>
      <c r="H1308">
        <v>5</v>
      </c>
      <c r="I1308">
        <v>23</v>
      </c>
      <c r="J1308">
        <v>72.45</v>
      </c>
      <c r="K1308">
        <v>72</v>
      </c>
      <c r="L1308">
        <v>1666.35</v>
      </c>
      <c r="M1308">
        <v>10.35</v>
      </c>
      <c r="N1308" s="1">
        <v>38246</v>
      </c>
      <c r="O1308" t="s">
        <v>25</v>
      </c>
      <c r="P1308">
        <v>3</v>
      </c>
      <c r="Q1308">
        <v>9</v>
      </c>
      <c r="R1308">
        <v>2004</v>
      </c>
      <c r="S1308" t="s">
        <v>234</v>
      </c>
    </row>
    <row r="1309" spans="1:19" x14ac:dyDescent="0.25">
      <c r="A1309">
        <v>10416</v>
      </c>
      <c r="B1309" t="s">
        <v>302</v>
      </c>
      <c r="C1309" t="s">
        <v>184</v>
      </c>
      <c r="D1309" t="s">
        <v>185</v>
      </c>
      <c r="E1309" t="s">
        <v>110</v>
      </c>
      <c r="F1309" t="s">
        <v>30</v>
      </c>
      <c r="G1309" t="s">
        <v>33</v>
      </c>
      <c r="H1309">
        <v>5</v>
      </c>
      <c r="I1309">
        <v>48</v>
      </c>
      <c r="J1309">
        <v>74.62</v>
      </c>
      <c r="K1309">
        <v>72</v>
      </c>
      <c r="L1309">
        <v>3581.76</v>
      </c>
      <c r="M1309">
        <v>125.76</v>
      </c>
      <c r="N1309" s="1">
        <v>38482</v>
      </c>
      <c r="O1309" t="s">
        <v>25</v>
      </c>
      <c r="P1309">
        <v>2</v>
      </c>
      <c r="Q1309">
        <v>5</v>
      </c>
      <c r="R1309">
        <v>2005</v>
      </c>
      <c r="S1309" t="s">
        <v>234</v>
      </c>
    </row>
    <row r="1310" spans="1:19" x14ac:dyDescent="0.25">
      <c r="A1310">
        <v>10210</v>
      </c>
      <c r="B1310" t="s">
        <v>305</v>
      </c>
      <c r="C1310" t="s">
        <v>127</v>
      </c>
      <c r="D1310" t="s">
        <v>128</v>
      </c>
      <c r="E1310" t="s">
        <v>107</v>
      </c>
      <c r="F1310" t="s">
        <v>50</v>
      </c>
      <c r="G1310" t="s">
        <v>33</v>
      </c>
      <c r="H1310">
        <v>5</v>
      </c>
      <c r="I1310">
        <v>46</v>
      </c>
      <c r="J1310">
        <v>79.91</v>
      </c>
      <c r="K1310">
        <v>99</v>
      </c>
      <c r="L1310">
        <v>3675.86</v>
      </c>
      <c r="M1310">
        <v>-878.14</v>
      </c>
      <c r="N1310" s="1">
        <v>37998</v>
      </c>
      <c r="O1310" t="s">
        <v>25</v>
      </c>
      <c r="P1310">
        <v>1</v>
      </c>
      <c r="Q1310">
        <v>1</v>
      </c>
      <c r="R1310">
        <v>2004</v>
      </c>
      <c r="S1310" t="s">
        <v>26</v>
      </c>
    </row>
    <row r="1311" spans="1:19" x14ac:dyDescent="0.25">
      <c r="A1311">
        <v>10308</v>
      </c>
      <c r="B1311" t="s">
        <v>305</v>
      </c>
      <c r="C1311" t="s">
        <v>131</v>
      </c>
      <c r="D1311" t="s">
        <v>132</v>
      </c>
      <c r="E1311" t="s">
        <v>22</v>
      </c>
      <c r="F1311" t="s">
        <v>23</v>
      </c>
      <c r="G1311" t="s">
        <v>24</v>
      </c>
      <c r="H1311">
        <v>5</v>
      </c>
      <c r="I1311">
        <v>24</v>
      </c>
      <c r="J1311">
        <v>79.91</v>
      </c>
      <c r="K1311">
        <v>99</v>
      </c>
      <c r="L1311">
        <v>1917.84</v>
      </c>
      <c r="M1311">
        <v>-458.16</v>
      </c>
      <c r="N1311" s="1">
        <v>38275</v>
      </c>
      <c r="O1311" t="s">
        <v>25</v>
      </c>
      <c r="P1311">
        <v>4</v>
      </c>
      <c r="Q1311">
        <v>10</v>
      </c>
      <c r="R1311">
        <v>2004</v>
      </c>
      <c r="S1311" t="s">
        <v>26</v>
      </c>
    </row>
    <row r="1312" spans="1:19" x14ac:dyDescent="0.25">
      <c r="A1312">
        <v>10353</v>
      </c>
      <c r="B1312" t="s">
        <v>305</v>
      </c>
      <c r="C1312" t="s">
        <v>235</v>
      </c>
      <c r="D1312" t="s">
        <v>208</v>
      </c>
      <c r="E1312" t="s">
        <v>22</v>
      </c>
      <c r="F1312" t="s">
        <v>23</v>
      </c>
      <c r="G1312" t="s">
        <v>33</v>
      </c>
      <c r="H1312">
        <v>5</v>
      </c>
      <c r="I1312">
        <v>46</v>
      </c>
      <c r="J1312">
        <v>81.17</v>
      </c>
      <c r="K1312">
        <v>99</v>
      </c>
      <c r="L1312">
        <v>3733.82</v>
      </c>
      <c r="M1312">
        <v>-820.18</v>
      </c>
      <c r="N1312" s="1">
        <v>38325</v>
      </c>
      <c r="O1312" t="s">
        <v>25</v>
      </c>
      <c r="P1312">
        <v>4</v>
      </c>
      <c r="Q1312">
        <v>12</v>
      </c>
      <c r="R1312">
        <v>2004</v>
      </c>
      <c r="S1312" t="s">
        <v>26</v>
      </c>
    </row>
    <row r="1313" spans="1:19" x14ac:dyDescent="0.25">
      <c r="A1313">
        <v>10319</v>
      </c>
      <c r="B1313" t="s">
        <v>306</v>
      </c>
      <c r="C1313" t="s">
        <v>204</v>
      </c>
      <c r="D1313" t="s">
        <v>21</v>
      </c>
      <c r="E1313" t="s">
        <v>22</v>
      </c>
      <c r="F1313" t="s">
        <v>23</v>
      </c>
      <c r="G1313" t="s">
        <v>24</v>
      </c>
      <c r="H1313">
        <v>5</v>
      </c>
      <c r="I1313">
        <v>29</v>
      </c>
      <c r="J1313">
        <v>38.22</v>
      </c>
      <c r="K1313">
        <v>40</v>
      </c>
      <c r="L1313">
        <v>1108.3800000000001</v>
      </c>
      <c r="M1313">
        <v>-51.62</v>
      </c>
      <c r="N1313" s="1">
        <v>38294</v>
      </c>
      <c r="O1313" t="s">
        <v>25</v>
      </c>
      <c r="P1313">
        <v>4</v>
      </c>
      <c r="Q1313">
        <v>11</v>
      </c>
      <c r="R1313">
        <v>2004</v>
      </c>
      <c r="S1313" t="s">
        <v>26</v>
      </c>
    </row>
    <row r="1314" spans="1:19" x14ac:dyDescent="0.25">
      <c r="A1314">
        <v>10343</v>
      </c>
      <c r="B1314" t="s">
        <v>306</v>
      </c>
      <c r="C1314" t="s">
        <v>27</v>
      </c>
      <c r="D1314" t="s">
        <v>28</v>
      </c>
      <c r="E1314" t="s">
        <v>29</v>
      </c>
      <c r="F1314" t="s">
        <v>30</v>
      </c>
      <c r="G1314" t="s">
        <v>33</v>
      </c>
      <c r="H1314">
        <v>5</v>
      </c>
      <c r="I1314">
        <v>29</v>
      </c>
      <c r="J1314">
        <v>100</v>
      </c>
      <c r="K1314">
        <v>40</v>
      </c>
      <c r="L1314">
        <v>3713.16</v>
      </c>
      <c r="M1314">
        <v>2553.16</v>
      </c>
      <c r="N1314" s="1">
        <v>38315</v>
      </c>
      <c r="O1314" t="s">
        <v>25</v>
      </c>
      <c r="P1314">
        <v>4</v>
      </c>
      <c r="Q1314">
        <v>11</v>
      </c>
      <c r="R1314">
        <v>2004</v>
      </c>
      <c r="S1314" t="s">
        <v>26</v>
      </c>
    </row>
    <row r="1315" spans="1:19" x14ac:dyDescent="0.25">
      <c r="A1315">
        <v>10151</v>
      </c>
      <c r="B1315" t="s">
        <v>307</v>
      </c>
      <c r="C1315" t="s">
        <v>160</v>
      </c>
      <c r="D1315" t="s">
        <v>161</v>
      </c>
      <c r="E1315" t="s">
        <v>62</v>
      </c>
      <c r="F1315" t="s">
        <v>30</v>
      </c>
      <c r="G1315" t="s">
        <v>24</v>
      </c>
      <c r="H1315">
        <v>5</v>
      </c>
      <c r="I1315">
        <v>41</v>
      </c>
      <c r="J1315">
        <v>63.85</v>
      </c>
      <c r="K1315">
        <v>54</v>
      </c>
      <c r="L1315">
        <v>2617.85</v>
      </c>
      <c r="M1315">
        <v>403.85</v>
      </c>
      <c r="N1315" s="1">
        <v>37885</v>
      </c>
      <c r="O1315" t="s">
        <v>25</v>
      </c>
      <c r="P1315">
        <v>3</v>
      </c>
      <c r="Q1315">
        <v>9</v>
      </c>
      <c r="R1315">
        <v>2003</v>
      </c>
      <c r="S1315" t="s">
        <v>202</v>
      </c>
    </row>
    <row r="1316" spans="1:19" x14ac:dyDescent="0.25">
      <c r="A1316">
        <v>10383</v>
      </c>
      <c r="B1316" t="s">
        <v>307</v>
      </c>
      <c r="C1316" t="s">
        <v>78</v>
      </c>
      <c r="D1316" t="s">
        <v>79</v>
      </c>
      <c r="E1316" t="s">
        <v>80</v>
      </c>
      <c r="F1316" t="s">
        <v>30</v>
      </c>
      <c r="G1316" t="s">
        <v>24</v>
      </c>
      <c r="H1316">
        <v>5</v>
      </c>
      <c r="I1316">
        <v>32</v>
      </c>
      <c r="J1316">
        <v>53.18</v>
      </c>
      <c r="K1316">
        <v>54</v>
      </c>
      <c r="L1316">
        <v>1701.76</v>
      </c>
      <c r="M1316">
        <v>-26.24</v>
      </c>
      <c r="N1316" s="1">
        <v>38405</v>
      </c>
      <c r="O1316" t="s">
        <v>25</v>
      </c>
      <c r="P1316">
        <v>1</v>
      </c>
      <c r="Q1316">
        <v>2</v>
      </c>
      <c r="R1316">
        <v>2005</v>
      </c>
      <c r="S1316" t="s">
        <v>202</v>
      </c>
    </row>
    <row r="1317" spans="1:19" x14ac:dyDescent="0.25">
      <c r="A1317">
        <v>10164</v>
      </c>
      <c r="B1317" t="s">
        <v>309</v>
      </c>
      <c r="C1317" t="s">
        <v>167</v>
      </c>
      <c r="D1317" t="s">
        <v>168</v>
      </c>
      <c r="E1317" t="s">
        <v>69</v>
      </c>
      <c r="F1317" t="s">
        <v>30</v>
      </c>
      <c r="G1317" t="s">
        <v>24</v>
      </c>
      <c r="H1317">
        <v>5</v>
      </c>
      <c r="I1317">
        <v>49</v>
      </c>
      <c r="J1317">
        <v>54.94</v>
      </c>
      <c r="K1317">
        <v>64</v>
      </c>
      <c r="L1317">
        <v>2692.06</v>
      </c>
      <c r="M1317">
        <v>-443.94</v>
      </c>
      <c r="N1317" s="1">
        <v>37915</v>
      </c>
      <c r="O1317" t="s">
        <v>169</v>
      </c>
      <c r="P1317">
        <v>4</v>
      </c>
      <c r="Q1317">
        <v>10</v>
      </c>
      <c r="R1317">
        <v>2003</v>
      </c>
      <c r="S1317" t="s">
        <v>202</v>
      </c>
    </row>
    <row r="1318" spans="1:19" x14ac:dyDescent="0.25">
      <c r="A1318">
        <v>10245</v>
      </c>
      <c r="B1318" t="s">
        <v>309</v>
      </c>
      <c r="C1318" t="s">
        <v>103</v>
      </c>
      <c r="D1318" t="s">
        <v>104</v>
      </c>
      <c r="E1318" t="s">
        <v>22</v>
      </c>
      <c r="F1318" t="s">
        <v>23</v>
      </c>
      <c r="G1318" t="s">
        <v>33</v>
      </c>
      <c r="H1318">
        <v>5</v>
      </c>
      <c r="I1318">
        <v>44</v>
      </c>
      <c r="J1318">
        <v>69.16</v>
      </c>
      <c r="K1318">
        <v>64</v>
      </c>
      <c r="L1318">
        <v>3043.04</v>
      </c>
      <c r="M1318">
        <v>227.04</v>
      </c>
      <c r="N1318" s="1">
        <v>38111</v>
      </c>
      <c r="O1318" t="s">
        <v>25</v>
      </c>
      <c r="P1318">
        <v>2</v>
      </c>
      <c r="Q1318">
        <v>5</v>
      </c>
      <c r="R1318">
        <v>2004</v>
      </c>
      <c r="S1318" t="s">
        <v>202</v>
      </c>
    </row>
    <row r="1319" spans="1:19" x14ac:dyDescent="0.25">
      <c r="A1319">
        <v>10270</v>
      </c>
      <c r="B1319" t="s">
        <v>309</v>
      </c>
      <c r="C1319" t="s">
        <v>71</v>
      </c>
      <c r="D1319" t="s">
        <v>72</v>
      </c>
      <c r="E1319" t="s">
        <v>49</v>
      </c>
      <c r="F1319" t="s">
        <v>50</v>
      </c>
      <c r="G1319" t="s">
        <v>24</v>
      </c>
      <c r="H1319">
        <v>5</v>
      </c>
      <c r="I1319">
        <v>21</v>
      </c>
      <c r="J1319">
        <v>63.35</v>
      </c>
      <c r="K1319">
        <v>64</v>
      </c>
      <c r="L1319">
        <v>1330.35</v>
      </c>
      <c r="M1319">
        <v>-13.65</v>
      </c>
      <c r="N1319" s="1">
        <v>38187</v>
      </c>
      <c r="O1319" t="s">
        <v>25</v>
      </c>
      <c r="P1319">
        <v>3</v>
      </c>
      <c r="Q1319">
        <v>7</v>
      </c>
      <c r="R1319">
        <v>2004</v>
      </c>
      <c r="S1319" t="s">
        <v>202</v>
      </c>
    </row>
    <row r="1320" spans="1:19" x14ac:dyDescent="0.25">
      <c r="A1320">
        <v>10348</v>
      </c>
      <c r="B1320" t="s">
        <v>309</v>
      </c>
      <c r="C1320" t="s">
        <v>87</v>
      </c>
      <c r="D1320" t="s">
        <v>79</v>
      </c>
      <c r="E1320" t="s">
        <v>80</v>
      </c>
      <c r="F1320" t="s">
        <v>30</v>
      </c>
      <c r="G1320" t="s">
        <v>33</v>
      </c>
      <c r="H1320">
        <v>5</v>
      </c>
      <c r="I1320">
        <v>31</v>
      </c>
      <c r="J1320">
        <v>100</v>
      </c>
      <c r="K1320">
        <v>64</v>
      </c>
      <c r="L1320">
        <v>3139.99</v>
      </c>
      <c r="M1320">
        <v>1155.99</v>
      </c>
      <c r="N1320" s="1">
        <v>38292</v>
      </c>
      <c r="O1320" t="s">
        <v>25</v>
      </c>
      <c r="P1320">
        <v>4</v>
      </c>
      <c r="Q1320">
        <v>11</v>
      </c>
      <c r="R1320">
        <v>2004</v>
      </c>
      <c r="S1320" t="s">
        <v>202</v>
      </c>
    </row>
    <row r="1321" spans="1:19" x14ac:dyDescent="0.25">
      <c r="A1321">
        <v>10411</v>
      </c>
      <c r="B1321" t="s">
        <v>309</v>
      </c>
      <c r="C1321" t="s">
        <v>123</v>
      </c>
      <c r="D1321" t="s">
        <v>124</v>
      </c>
      <c r="E1321" t="s">
        <v>99</v>
      </c>
      <c r="F1321" t="s">
        <v>23</v>
      </c>
      <c r="G1321" t="s">
        <v>24</v>
      </c>
      <c r="H1321">
        <v>5</v>
      </c>
      <c r="I1321">
        <v>27</v>
      </c>
      <c r="J1321">
        <v>69.16</v>
      </c>
      <c r="K1321">
        <v>64</v>
      </c>
      <c r="L1321">
        <v>1867.32</v>
      </c>
      <c r="M1321">
        <v>139.32</v>
      </c>
      <c r="N1321" s="1">
        <v>38473</v>
      </c>
      <c r="O1321" t="s">
        <v>25</v>
      </c>
      <c r="P1321">
        <v>2</v>
      </c>
      <c r="Q1321">
        <v>5</v>
      </c>
      <c r="R1321">
        <v>2005</v>
      </c>
      <c r="S1321" t="s">
        <v>202</v>
      </c>
    </row>
    <row r="1322" spans="1:19" x14ac:dyDescent="0.25">
      <c r="A1322">
        <v>10106</v>
      </c>
      <c r="B1322" t="s">
        <v>310</v>
      </c>
      <c r="C1322" t="s">
        <v>227</v>
      </c>
      <c r="D1322" t="s">
        <v>228</v>
      </c>
      <c r="E1322" t="s">
        <v>110</v>
      </c>
      <c r="F1322" t="s">
        <v>30</v>
      </c>
      <c r="G1322" t="s">
        <v>24</v>
      </c>
      <c r="H1322">
        <v>5</v>
      </c>
      <c r="I1322">
        <v>33</v>
      </c>
      <c r="J1322">
        <v>72.92</v>
      </c>
      <c r="K1322">
        <v>68</v>
      </c>
      <c r="L1322">
        <v>2406.36</v>
      </c>
      <c r="M1322">
        <v>162.36000000000001</v>
      </c>
      <c r="N1322" s="1">
        <v>37669</v>
      </c>
      <c r="O1322" t="s">
        <v>25</v>
      </c>
      <c r="P1322">
        <v>1</v>
      </c>
      <c r="Q1322">
        <v>2</v>
      </c>
      <c r="R1322">
        <v>2003</v>
      </c>
      <c r="S1322" t="s">
        <v>226</v>
      </c>
    </row>
    <row r="1323" spans="1:19" x14ac:dyDescent="0.25">
      <c r="A1323">
        <v>10328</v>
      </c>
      <c r="B1323" t="s">
        <v>310</v>
      </c>
      <c r="C1323" t="s">
        <v>227</v>
      </c>
      <c r="D1323" t="s">
        <v>228</v>
      </c>
      <c r="E1323" t="s">
        <v>110</v>
      </c>
      <c r="F1323" t="s">
        <v>30</v>
      </c>
      <c r="G1323" t="s">
        <v>24</v>
      </c>
      <c r="H1323">
        <v>5</v>
      </c>
      <c r="I1323">
        <v>24</v>
      </c>
      <c r="J1323">
        <v>81.17</v>
      </c>
      <c r="K1323">
        <v>68</v>
      </c>
      <c r="L1323">
        <v>1948.08</v>
      </c>
      <c r="M1323">
        <v>316.08</v>
      </c>
      <c r="N1323" s="1">
        <v>38303</v>
      </c>
      <c r="O1323" t="s">
        <v>25</v>
      </c>
      <c r="P1323">
        <v>4</v>
      </c>
      <c r="Q1323">
        <v>11</v>
      </c>
      <c r="R1323">
        <v>2004</v>
      </c>
      <c r="S1323" t="s">
        <v>226</v>
      </c>
    </row>
    <row r="1324" spans="1:19" x14ac:dyDescent="0.25">
      <c r="A1324">
        <v>10224</v>
      </c>
      <c r="B1324" t="s">
        <v>311</v>
      </c>
      <c r="C1324" t="s">
        <v>40</v>
      </c>
      <c r="D1324" t="s">
        <v>41</v>
      </c>
      <c r="E1324" t="s">
        <v>29</v>
      </c>
      <c r="F1324" t="s">
        <v>30</v>
      </c>
      <c r="G1324" t="s">
        <v>33</v>
      </c>
      <c r="H1324">
        <v>5</v>
      </c>
      <c r="I1324">
        <v>30</v>
      </c>
      <c r="J1324">
        <v>100</v>
      </c>
      <c r="K1324">
        <v>102</v>
      </c>
      <c r="L1324">
        <v>3336.9</v>
      </c>
      <c r="M1324">
        <v>276.89999999999998</v>
      </c>
      <c r="N1324" s="1">
        <v>38038</v>
      </c>
      <c r="O1324" t="s">
        <v>25</v>
      </c>
      <c r="P1324">
        <v>1</v>
      </c>
      <c r="Q1324">
        <v>2</v>
      </c>
      <c r="R1324">
        <v>2004</v>
      </c>
      <c r="S1324" t="s">
        <v>26</v>
      </c>
    </row>
    <row r="1325" spans="1:19" x14ac:dyDescent="0.25">
      <c r="A1325">
        <v>10237</v>
      </c>
      <c r="B1325" t="s">
        <v>311</v>
      </c>
      <c r="C1325" t="s">
        <v>51</v>
      </c>
      <c r="D1325" t="s">
        <v>21</v>
      </c>
      <c r="E1325" t="s">
        <v>22</v>
      </c>
      <c r="F1325" t="s">
        <v>23</v>
      </c>
      <c r="G1325" t="s">
        <v>33</v>
      </c>
      <c r="H1325">
        <v>5</v>
      </c>
      <c r="I1325">
        <v>27</v>
      </c>
      <c r="J1325">
        <v>100</v>
      </c>
      <c r="K1325">
        <v>102</v>
      </c>
      <c r="L1325">
        <v>3113.64</v>
      </c>
      <c r="M1325">
        <v>359.64</v>
      </c>
      <c r="N1325" s="1">
        <v>38082</v>
      </c>
      <c r="O1325" t="s">
        <v>25</v>
      </c>
      <c r="P1325">
        <v>2</v>
      </c>
      <c r="Q1325">
        <v>4</v>
      </c>
      <c r="R1325">
        <v>2004</v>
      </c>
      <c r="S1325" t="s">
        <v>26</v>
      </c>
    </row>
    <row r="1326" spans="1:19" x14ac:dyDescent="0.25">
      <c r="A1326">
        <v>10355</v>
      </c>
      <c r="B1326" t="s">
        <v>311</v>
      </c>
      <c r="C1326" t="s">
        <v>78</v>
      </c>
      <c r="D1326" t="s">
        <v>79</v>
      </c>
      <c r="E1326" t="s">
        <v>80</v>
      </c>
      <c r="F1326" t="s">
        <v>30</v>
      </c>
      <c r="G1326" t="s">
        <v>33</v>
      </c>
      <c r="H1326">
        <v>5</v>
      </c>
      <c r="I1326">
        <v>40</v>
      </c>
      <c r="J1326">
        <v>100</v>
      </c>
      <c r="K1326">
        <v>102</v>
      </c>
      <c r="L1326">
        <v>4326.8</v>
      </c>
      <c r="M1326">
        <v>246.8</v>
      </c>
      <c r="N1326" s="1">
        <v>38328</v>
      </c>
      <c r="O1326" t="s">
        <v>25</v>
      </c>
      <c r="P1326">
        <v>4</v>
      </c>
      <c r="Q1326">
        <v>12</v>
      </c>
      <c r="R1326">
        <v>2004</v>
      </c>
      <c r="S1326" t="s">
        <v>26</v>
      </c>
    </row>
    <row r="1327" spans="1:19" x14ac:dyDescent="0.25">
      <c r="A1327">
        <v>10403</v>
      </c>
      <c r="B1327" t="s">
        <v>311</v>
      </c>
      <c r="C1327" t="s">
        <v>75</v>
      </c>
      <c r="D1327" t="s">
        <v>76</v>
      </c>
      <c r="E1327" t="s">
        <v>77</v>
      </c>
      <c r="F1327" t="s">
        <v>30</v>
      </c>
      <c r="G1327" t="s">
        <v>33</v>
      </c>
      <c r="H1327">
        <v>5</v>
      </c>
      <c r="I1327">
        <v>45</v>
      </c>
      <c r="J1327">
        <v>100</v>
      </c>
      <c r="K1327">
        <v>102</v>
      </c>
      <c r="L1327">
        <v>5189.3999999999996</v>
      </c>
      <c r="M1327">
        <v>599.4</v>
      </c>
      <c r="N1327" s="1">
        <v>38450</v>
      </c>
      <c r="O1327" t="s">
        <v>25</v>
      </c>
      <c r="P1327">
        <v>2</v>
      </c>
      <c r="Q1327">
        <v>4</v>
      </c>
      <c r="R1327">
        <v>2005</v>
      </c>
      <c r="S1327" t="s">
        <v>26</v>
      </c>
    </row>
    <row r="1328" spans="1:19" x14ac:dyDescent="0.25">
      <c r="A1328">
        <v>10284</v>
      </c>
      <c r="B1328" t="s">
        <v>312</v>
      </c>
      <c r="C1328" t="s">
        <v>223</v>
      </c>
      <c r="D1328" t="s">
        <v>224</v>
      </c>
      <c r="E1328" t="s">
        <v>44</v>
      </c>
      <c r="F1328" t="s">
        <v>30</v>
      </c>
      <c r="G1328" t="s">
        <v>24</v>
      </c>
      <c r="H1328">
        <v>5</v>
      </c>
      <c r="I1328">
        <v>33</v>
      </c>
      <c r="J1328">
        <v>51.93</v>
      </c>
      <c r="K1328">
        <v>43</v>
      </c>
      <c r="L1328">
        <v>1713.69</v>
      </c>
      <c r="M1328">
        <v>294.69</v>
      </c>
      <c r="N1328" s="1">
        <v>38220</v>
      </c>
      <c r="O1328" t="s">
        <v>25</v>
      </c>
      <c r="P1328">
        <v>3</v>
      </c>
      <c r="Q1328">
        <v>8</v>
      </c>
      <c r="R1328">
        <v>2004</v>
      </c>
      <c r="S1328" t="s">
        <v>226</v>
      </c>
    </row>
    <row r="1329" spans="1:19" x14ac:dyDescent="0.25">
      <c r="A1329">
        <v>10375</v>
      </c>
      <c r="B1329" t="s">
        <v>312</v>
      </c>
      <c r="C1329" t="s">
        <v>56</v>
      </c>
      <c r="D1329" t="s">
        <v>57</v>
      </c>
      <c r="E1329" t="s">
        <v>29</v>
      </c>
      <c r="F1329" t="s">
        <v>30</v>
      </c>
      <c r="G1329" t="s">
        <v>33</v>
      </c>
      <c r="H1329">
        <v>5</v>
      </c>
      <c r="I1329">
        <v>49</v>
      </c>
      <c r="J1329">
        <v>65.8</v>
      </c>
      <c r="K1329">
        <v>43</v>
      </c>
      <c r="L1329">
        <v>3224.2</v>
      </c>
      <c r="M1329">
        <v>1117.2</v>
      </c>
      <c r="N1329" s="1">
        <v>38386</v>
      </c>
      <c r="O1329" t="s">
        <v>25</v>
      </c>
      <c r="P1329">
        <v>1</v>
      </c>
      <c r="Q1329">
        <v>2</v>
      </c>
      <c r="R1329">
        <v>2005</v>
      </c>
      <c r="S1329" t="s">
        <v>226</v>
      </c>
    </row>
    <row r="1330" spans="1:19" x14ac:dyDescent="0.25">
      <c r="A1330">
        <v>10398</v>
      </c>
      <c r="B1330" t="s">
        <v>312</v>
      </c>
      <c r="C1330" t="s">
        <v>27</v>
      </c>
      <c r="D1330" t="s">
        <v>28</v>
      </c>
      <c r="E1330" t="s">
        <v>29</v>
      </c>
      <c r="F1330" t="s">
        <v>30</v>
      </c>
      <c r="G1330" t="s">
        <v>24</v>
      </c>
      <c r="H1330">
        <v>5</v>
      </c>
      <c r="I1330">
        <v>49</v>
      </c>
      <c r="J1330">
        <v>36.659999999999997</v>
      </c>
      <c r="K1330">
        <v>43</v>
      </c>
      <c r="L1330">
        <v>1796.34</v>
      </c>
      <c r="M1330">
        <v>-310.66000000000003</v>
      </c>
      <c r="N1330" s="1">
        <v>38441</v>
      </c>
      <c r="O1330" t="s">
        <v>25</v>
      </c>
      <c r="P1330">
        <v>1</v>
      </c>
      <c r="Q1330">
        <v>3</v>
      </c>
      <c r="R1330">
        <v>2005</v>
      </c>
      <c r="S1330" t="s">
        <v>226</v>
      </c>
    </row>
    <row r="1331" spans="1:19" x14ac:dyDescent="0.25">
      <c r="A1331">
        <v>10207</v>
      </c>
      <c r="B1331" t="s">
        <v>313</v>
      </c>
      <c r="C1331" t="s">
        <v>170</v>
      </c>
      <c r="D1331" t="s">
        <v>157</v>
      </c>
      <c r="E1331" t="s">
        <v>22</v>
      </c>
      <c r="F1331" t="s">
        <v>23</v>
      </c>
      <c r="G1331" t="s">
        <v>24</v>
      </c>
      <c r="H1331">
        <v>5</v>
      </c>
      <c r="I1331">
        <v>28</v>
      </c>
      <c r="J1331">
        <v>94.92</v>
      </c>
      <c r="K1331">
        <v>115</v>
      </c>
      <c r="L1331">
        <v>2657.76</v>
      </c>
      <c r="M1331">
        <v>-562.24</v>
      </c>
      <c r="N1331" s="1">
        <v>37964</v>
      </c>
      <c r="O1331" t="s">
        <v>25</v>
      </c>
      <c r="P1331">
        <v>4</v>
      </c>
      <c r="Q1331">
        <v>12</v>
      </c>
      <c r="R1331">
        <v>2003</v>
      </c>
      <c r="S1331" t="s">
        <v>202</v>
      </c>
    </row>
    <row r="1332" spans="1:19" x14ac:dyDescent="0.25">
      <c r="A1332">
        <v>10165</v>
      </c>
      <c r="B1332" t="s">
        <v>314</v>
      </c>
      <c r="C1332" t="s">
        <v>88</v>
      </c>
      <c r="D1332" t="s">
        <v>89</v>
      </c>
      <c r="E1332" t="s">
        <v>89</v>
      </c>
      <c r="F1332" t="s">
        <v>50</v>
      </c>
      <c r="G1332" t="s">
        <v>24</v>
      </c>
      <c r="H1332">
        <v>5</v>
      </c>
      <c r="I1332">
        <v>38</v>
      </c>
      <c r="J1332">
        <v>66.78</v>
      </c>
      <c r="K1332">
        <v>58</v>
      </c>
      <c r="L1332">
        <v>2537.64</v>
      </c>
      <c r="M1332">
        <v>333.64</v>
      </c>
      <c r="N1332" s="1">
        <v>37916</v>
      </c>
      <c r="O1332" t="s">
        <v>25</v>
      </c>
      <c r="P1332">
        <v>4</v>
      </c>
      <c r="Q1332">
        <v>10</v>
      </c>
      <c r="R1332">
        <v>2003</v>
      </c>
      <c r="S1332" t="s">
        <v>261</v>
      </c>
    </row>
    <row r="1333" spans="1:19" x14ac:dyDescent="0.25">
      <c r="A1333">
        <v>10180</v>
      </c>
      <c r="B1333" t="s">
        <v>315</v>
      </c>
      <c r="C1333" t="s">
        <v>40</v>
      </c>
      <c r="D1333" t="s">
        <v>41</v>
      </c>
      <c r="E1333" t="s">
        <v>29</v>
      </c>
      <c r="F1333" t="s">
        <v>30</v>
      </c>
      <c r="G1333" t="s">
        <v>24</v>
      </c>
      <c r="H1333">
        <v>5</v>
      </c>
      <c r="I1333">
        <v>21</v>
      </c>
      <c r="J1333">
        <v>93.56</v>
      </c>
      <c r="K1333">
        <v>81</v>
      </c>
      <c r="L1333">
        <v>1964.76</v>
      </c>
      <c r="M1333">
        <v>263.76</v>
      </c>
      <c r="N1333" s="1">
        <v>37936</v>
      </c>
      <c r="O1333" t="s">
        <v>25</v>
      </c>
      <c r="P1333">
        <v>4</v>
      </c>
      <c r="Q1333">
        <v>11</v>
      </c>
      <c r="R1333">
        <v>2003</v>
      </c>
      <c r="S1333" t="s">
        <v>26</v>
      </c>
    </row>
    <row r="1334" spans="1:19" x14ac:dyDescent="0.25">
      <c r="A1334">
        <v>10264</v>
      </c>
      <c r="B1334" t="s">
        <v>315</v>
      </c>
      <c r="C1334" t="s">
        <v>156</v>
      </c>
      <c r="D1334" t="s">
        <v>157</v>
      </c>
      <c r="E1334" t="s">
        <v>22</v>
      </c>
      <c r="F1334" t="s">
        <v>23</v>
      </c>
      <c r="G1334" t="s">
        <v>33</v>
      </c>
      <c r="H1334">
        <v>5</v>
      </c>
      <c r="I1334">
        <v>47</v>
      </c>
      <c r="J1334">
        <v>89.5</v>
      </c>
      <c r="K1334">
        <v>81</v>
      </c>
      <c r="L1334">
        <v>4206.5</v>
      </c>
      <c r="M1334">
        <v>399.5</v>
      </c>
      <c r="N1334" s="1">
        <v>38168</v>
      </c>
      <c r="O1334" t="s">
        <v>25</v>
      </c>
      <c r="P1334">
        <v>2</v>
      </c>
      <c r="Q1334">
        <v>6</v>
      </c>
      <c r="R1334">
        <v>2004</v>
      </c>
      <c r="S1334" t="s">
        <v>26</v>
      </c>
    </row>
    <row r="1335" spans="1:19" x14ac:dyDescent="0.25">
      <c r="A1335">
        <v>10299</v>
      </c>
      <c r="B1335" t="s">
        <v>315</v>
      </c>
      <c r="C1335" t="s">
        <v>60</v>
      </c>
      <c r="D1335" t="s">
        <v>61</v>
      </c>
      <c r="E1335" t="s">
        <v>62</v>
      </c>
      <c r="F1335" t="s">
        <v>30</v>
      </c>
      <c r="G1335" t="s">
        <v>33</v>
      </c>
      <c r="H1335">
        <v>5</v>
      </c>
      <c r="I1335">
        <v>44</v>
      </c>
      <c r="J1335">
        <v>80.55</v>
      </c>
      <c r="K1335">
        <v>81</v>
      </c>
      <c r="L1335">
        <v>3544.2</v>
      </c>
      <c r="M1335">
        <v>-19.8</v>
      </c>
      <c r="N1335" s="1">
        <v>38260</v>
      </c>
      <c r="O1335" t="s">
        <v>25</v>
      </c>
      <c r="P1335">
        <v>3</v>
      </c>
      <c r="Q1335">
        <v>9</v>
      </c>
      <c r="R1335">
        <v>2004</v>
      </c>
      <c r="S1335" t="s">
        <v>26</v>
      </c>
    </row>
    <row r="1336" spans="1:19" x14ac:dyDescent="0.25">
      <c r="A1336">
        <v>10331</v>
      </c>
      <c r="B1336" t="s">
        <v>315</v>
      </c>
      <c r="C1336" t="s">
        <v>129</v>
      </c>
      <c r="D1336" t="s">
        <v>94</v>
      </c>
      <c r="E1336" t="s">
        <v>22</v>
      </c>
      <c r="F1336" t="s">
        <v>23</v>
      </c>
      <c r="G1336" t="s">
        <v>33</v>
      </c>
      <c r="H1336">
        <v>5</v>
      </c>
      <c r="I1336">
        <v>20</v>
      </c>
      <c r="J1336">
        <v>100</v>
      </c>
      <c r="K1336">
        <v>81</v>
      </c>
      <c r="L1336">
        <v>3657.8</v>
      </c>
      <c r="M1336">
        <v>2037.8</v>
      </c>
      <c r="N1336" s="1">
        <v>38308</v>
      </c>
      <c r="O1336" t="s">
        <v>25</v>
      </c>
      <c r="P1336">
        <v>4</v>
      </c>
      <c r="Q1336">
        <v>11</v>
      </c>
      <c r="R1336">
        <v>2004</v>
      </c>
      <c r="S1336" t="s">
        <v>26</v>
      </c>
    </row>
    <row r="1337" spans="1:19" x14ac:dyDescent="0.25">
      <c r="A1337">
        <v>10105</v>
      </c>
      <c r="B1337" t="s">
        <v>316</v>
      </c>
      <c r="C1337" t="s">
        <v>135</v>
      </c>
      <c r="D1337" t="s">
        <v>136</v>
      </c>
      <c r="E1337" t="s">
        <v>137</v>
      </c>
      <c r="F1337" t="s">
        <v>30</v>
      </c>
      <c r="G1337" t="s">
        <v>24</v>
      </c>
      <c r="H1337">
        <v>5</v>
      </c>
      <c r="I1337">
        <v>41</v>
      </c>
      <c r="J1337">
        <v>70.67</v>
      </c>
      <c r="K1337">
        <v>66</v>
      </c>
      <c r="L1337">
        <v>2897.47</v>
      </c>
      <c r="M1337">
        <v>191.47</v>
      </c>
      <c r="N1337" s="1">
        <v>37663</v>
      </c>
      <c r="O1337" t="s">
        <v>25</v>
      </c>
      <c r="P1337">
        <v>1</v>
      </c>
      <c r="Q1337">
        <v>2</v>
      </c>
      <c r="R1337">
        <v>2003</v>
      </c>
      <c r="S1337" t="s">
        <v>255</v>
      </c>
    </row>
    <row r="1338" spans="1:19" x14ac:dyDescent="0.25">
      <c r="A1338">
        <v>10129</v>
      </c>
      <c r="B1338" t="s">
        <v>316</v>
      </c>
      <c r="C1338" t="s">
        <v>138</v>
      </c>
      <c r="D1338" t="s">
        <v>139</v>
      </c>
      <c r="E1338" t="s">
        <v>77</v>
      </c>
      <c r="F1338" t="s">
        <v>30</v>
      </c>
      <c r="G1338" t="s">
        <v>24</v>
      </c>
      <c r="H1338">
        <v>5</v>
      </c>
      <c r="I1338">
        <v>31</v>
      </c>
      <c r="J1338">
        <v>60</v>
      </c>
      <c r="K1338">
        <v>66</v>
      </c>
      <c r="L1338">
        <v>1860</v>
      </c>
      <c r="M1338">
        <v>-186</v>
      </c>
      <c r="N1338" s="1">
        <v>37784</v>
      </c>
      <c r="O1338" t="s">
        <v>25</v>
      </c>
      <c r="P1338">
        <v>2</v>
      </c>
      <c r="Q1338">
        <v>6</v>
      </c>
      <c r="R1338">
        <v>2003</v>
      </c>
      <c r="S1338" t="s">
        <v>255</v>
      </c>
    </row>
    <row r="1339" spans="1:19" x14ac:dyDescent="0.25">
      <c r="A1339">
        <v>10339</v>
      </c>
      <c r="B1339" t="s">
        <v>316</v>
      </c>
      <c r="C1339" t="s">
        <v>105</v>
      </c>
      <c r="D1339" t="s">
        <v>106</v>
      </c>
      <c r="E1339" t="s">
        <v>107</v>
      </c>
      <c r="F1339" t="s">
        <v>50</v>
      </c>
      <c r="G1339" t="s">
        <v>24</v>
      </c>
      <c r="H1339">
        <v>5</v>
      </c>
      <c r="I1339">
        <v>22</v>
      </c>
      <c r="J1339">
        <v>100</v>
      </c>
      <c r="K1339">
        <v>66</v>
      </c>
      <c r="L1339">
        <v>2816.44</v>
      </c>
      <c r="M1339">
        <v>1364.44</v>
      </c>
      <c r="N1339" s="1">
        <v>38314</v>
      </c>
      <c r="O1339" t="s">
        <v>25</v>
      </c>
      <c r="P1339">
        <v>4</v>
      </c>
      <c r="Q1339">
        <v>11</v>
      </c>
      <c r="R1339">
        <v>2004</v>
      </c>
      <c r="S1339" t="s">
        <v>255</v>
      </c>
    </row>
    <row r="1340" spans="1:19" x14ac:dyDescent="0.25">
      <c r="A1340">
        <v>10340</v>
      </c>
      <c r="B1340" t="s">
        <v>317</v>
      </c>
      <c r="C1340" t="s">
        <v>145</v>
      </c>
      <c r="D1340" t="s">
        <v>146</v>
      </c>
      <c r="E1340" t="s">
        <v>80</v>
      </c>
      <c r="F1340" t="s">
        <v>30</v>
      </c>
      <c r="G1340" t="s">
        <v>24</v>
      </c>
      <c r="H1340">
        <v>5</v>
      </c>
      <c r="I1340">
        <v>30</v>
      </c>
      <c r="J1340">
        <v>88.6</v>
      </c>
      <c r="K1340">
        <v>91</v>
      </c>
      <c r="L1340">
        <v>2658</v>
      </c>
      <c r="M1340">
        <v>-72</v>
      </c>
      <c r="N1340" s="1">
        <v>38315</v>
      </c>
      <c r="O1340" t="s">
        <v>25</v>
      </c>
      <c r="P1340">
        <v>4</v>
      </c>
      <c r="Q1340">
        <v>11</v>
      </c>
      <c r="R1340">
        <v>2004</v>
      </c>
      <c r="S1340" t="s">
        <v>234</v>
      </c>
    </row>
    <row r="1341" spans="1:19" x14ac:dyDescent="0.25">
      <c r="A1341">
        <v>10293</v>
      </c>
      <c r="B1341" t="s">
        <v>318</v>
      </c>
      <c r="C1341" t="s">
        <v>108</v>
      </c>
      <c r="D1341" t="s">
        <v>109</v>
      </c>
      <c r="E1341" t="s">
        <v>110</v>
      </c>
      <c r="F1341" t="s">
        <v>30</v>
      </c>
      <c r="G1341" t="s">
        <v>24</v>
      </c>
      <c r="H1341">
        <v>5</v>
      </c>
      <c r="I1341">
        <v>29</v>
      </c>
      <c r="J1341">
        <v>71.89</v>
      </c>
      <c r="K1341">
        <v>86</v>
      </c>
      <c r="L1341">
        <v>2084.81</v>
      </c>
      <c r="M1341">
        <v>-409.19</v>
      </c>
      <c r="N1341" s="1">
        <v>38239</v>
      </c>
      <c r="O1341" t="s">
        <v>25</v>
      </c>
      <c r="P1341">
        <v>3</v>
      </c>
      <c r="Q1341">
        <v>9</v>
      </c>
      <c r="R1341">
        <v>2004</v>
      </c>
      <c r="S1341" t="s">
        <v>255</v>
      </c>
    </row>
    <row r="1342" spans="1:19" x14ac:dyDescent="0.25">
      <c r="A1342">
        <v>10397</v>
      </c>
      <c r="B1342" t="s">
        <v>318</v>
      </c>
      <c r="C1342" t="s">
        <v>142</v>
      </c>
      <c r="D1342" t="s">
        <v>143</v>
      </c>
      <c r="E1342" t="s">
        <v>29</v>
      </c>
      <c r="F1342" t="s">
        <v>30</v>
      </c>
      <c r="G1342" t="s">
        <v>24</v>
      </c>
      <c r="H1342">
        <v>5</v>
      </c>
      <c r="I1342">
        <v>32</v>
      </c>
      <c r="J1342">
        <v>80.55</v>
      </c>
      <c r="K1342">
        <v>86</v>
      </c>
      <c r="L1342">
        <v>2577.6</v>
      </c>
      <c r="M1342">
        <v>-174.4</v>
      </c>
      <c r="N1342" s="1">
        <v>38439</v>
      </c>
      <c r="O1342" t="s">
        <v>25</v>
      </c>
      <c r="P1342">
        <v>1</v>
      </c>
      <c r="Q1342">
        <v>3</v>
      </c>
      <c r="R1342">
        <v>2005</v>
      </c>
      <c r="S1342" t="s">
        <v>255</v>
      </c>
    </row>
    <row r="1343" spans="1:19" x14ac:dyDescent="0.25">
      <c r="A1343">
        <v>10167</v>
      </c>
      <c r="B1343" t="s">
        <v>319</v>
      </c>
      <c r="C1343" t="s">
        <v>111</v>
      </c>
      <c r="D1343" t="s">
        <v>112</v>
      </c>
      <c r="E1343" t="s">
        <v>86</v>
      </c>
      <c r="F1343" t="s">
        <v>30</v>
      </c>
      <c r="G1343" t="s">
        <v>24</v>
      </c>
      <c r="H1343">
        <v>5</v>
      </c>
      <c r="I1343">
        <v>29</v>
      </c>
      <c r="J1343">
        <v>100</v>
      </c>
      <c r="K1343">
        <v>90</v>
      </c>
      <c r="L1343">
        <v>2940.02</v>
      </c>
      <c r="M1343">
        <v>330.02</v>
      </c>
      <c r="N1343" s="1">
        <v>37917</v>
      </c>
      <c r="O1343" t="s">
        <v>141</v>
      </c>
      <c r="P1343">
        <v>4</v>
      </c>
      <c r="Q1343">
        <v>10</v>
      </c>
      <c r="R1343">
        <v>2003</v>
      </c>
      <c r="S1343" t="s">
        <v>255</v>
      </c>
    </row>
    <row r="1344" spans="1:19" x14ac:dyDescent="0.25">
      <c r="A1344">
        <v>10186</v>
      </c>
      <c r="B1344" t="s">
        <v>319</v>
      </c>
      <c r="C1344" t="s">
        <v>144</v>
      </c>
      <c r="D1344" t="s">
        <v>139</v>
      </c>
      <c r="E1344" t="s">
        <v>77</v>
      </c>
      <c r="F1344" t="s">
        <v>30</v>
      </c>
      <c r="G1344" t="s">
        <v>24</v>
      </c>
      <c r="H1344">
        <v>5</v>
      </c>
      <c r="I1344">
        <v>24</v>
      </c>
      <c r="J1344">
        <v>99.57</v>
      </c>
      <c r="K1344">
        <v>90</v>
      </c>
      <c r="L1344">
        <v>2389.6799999999998</v>
      </c>
      <c r="M1344">
        <v>229.68</v>
      </c>
      <c r="N1344" s="1">
        <v>37939</v>
      </c>
      <c r="O1344" t="s">
        <v>25</v>
      </c>
      <c r="P1344">
        <v>4</v>
      </c>
      <c r="Q1344">
        <v>11</v>
      </c>
      <c r="R1344">
        <v>2003</v>
      </c>
      <c r="S1344" t="s">
        <v>255</v>
      </c>
    </row>
    <row r="1345" spans="1:19" x14ac:dyDescent="0.25">
      <c r="A1345">
        <v>10274</v>
      </c>
      <c r="B1345" t="s">
        <v>319</v>
      </c>
      <c r="C1345" t="s">
        <v>119</v>
      </c>
      <c r="D1345" t="s">
        <v>120</v>
      </c>
      <c r="E1345" t="s">
        <v>22</v>
      </c>
      <c r="F1345" t="s">
        <v>23</v>
      </c>
      <c r="G1345" t="s">
        <v>24</v>
      </c>
      <c r="H1345">
        <v>5</v>
      </c>
      <c r="I1345">
        <v>24</v>
      </c>
      <c r="J1345">
        <v>90.52</v>
      </c>
      <c r="K1345">
        <v>90</v>
      </c>
      <c r="L1345">
        <v>2172.48</v>
      </c>
      <c r="M1345">
        <v>12.48</v>
      </c>
      <c r="N1345" s="1">
        <v>38189</v>
      </c>
      <c r="O1345" t="s">
        <v>25</v>
      </c>
      <c r="P1345">
        <v>3</v>
      </c>
      <c r="Q1345">
        <v>7</v>
      </c>
      <c r="R1345">
        <v>2004</v>
      </c>
      <c r="S1345" t="s">
        <v>255</v>
      </c>
    </row>
    <row r="1346" spans="1:19" x14ac:dyDescent="0.25">
      <c r="A1346">
        <v>10307</v>
      </c>
      <c r="B1346" t="s">
        <v>319</v>
      </c>
      <c r="C1346" t="s">
        <v>93</v>
      </c>
      <c r="D1346" t="s">
        <v>94</v>
      </c>
      <c r="E1346" t="s">
        <v>22</v>
      </c>
      <c r="F1346" t="s">
        <v>23</v>
      </c>
      <c r="G1346" t="s">
        <v>33</v>
      </c>
      <c r="H1346">
        <v>5</v>
      </c>
      <c r="I1346">
        <v>34</v>
      </c>
      <c r="J1346">
        <v>97.76</v>
      </c>
      <c r="K1346">
        <v>90</v>
      </c>
      <c r="L1346">
        <v>3323.84</v>
      </c>
      <c r="M1346">
        <v>263.83999999999997</v>
      </c>
      <c r="N1346" s="1">
        <v>38274</v>
      </c>
      <c r="O1346" t="s">
        <v>25</v>
      </c>
      <c r="P1346">
        <v>4</v>
      </c>
      <c r="Q1346">
        <v>10</v>
      </c>
      <c r="R1346">
        <v>2004</v>
      </c>
      <c r="S1346" t="s">
        <v>255</v>
      </c>
    </row>
    <row r="1347" spans="1:19" x14ac:dyDescent="0.25">
      <c r="A1347">
        <v>10400</v>
      </c>
      <c r="B1347" t="s">
        <v>319</v>
      </c>
      <c r="C1347" t="s">
        <v>162</v>
      </c>
      <c r="D1347" t="s">
        <v>163</v>
      </c>
      <c r="E1347" t="s">
        <v>22</v>
      </c>
      <c r="F1347" t="s">
        <v>23</v>
      </c>
      <c r="G1347" t="s">
        <v>33</v>
      </c>
      <c r="H1347">
        <v>5</v>
      </c>
      <c r="I1347">
        <v>46</v>
      </c>
      <c r="J1347">
        <v>87.8</v>
      </c>
      <c r="K1347">
        <v>90</v>
      </c>
      <c r="L1347">
        <v>4038.8</v>
      </c>
      <c r="M1347">
        <v>-101.2</v>
      </c>
      <c r="N1347" s="1">
        <v>38443</v>
      </c>
      <c r="O1347" t="s">
        <v>25</v>
      </c>
      <c r="P1347">
        <v>2</v>
      </c>
      <c r="Q1347">
        <v>4</v>
      </c>
      <c r="R1347">
        <v>2005</v>
      </c>
      <c r="S1347" t="s">
        <v>255</v>
      </c>
    </row>
    <row r="1348" spans="1:19" x14ac:dyDescent="0.25">
      <c r="A1348">
        <v>10273</v>
      </c>
      <c r="B1348" t="s">
        <v>321</v>
      </c>
      <c r="C1348" t="s">
        <v>151</v>
      </c>
      <c r="D1348" t="s">
        <v>152</v>
      </c>
      <c r="E1348" t="s">
        <v>153</v>
      </c>
      <c r="F1348" t="s">
        <v>30</v>
      </c>
      <c r="G1348" t="s">
        <v>24</v>
      </c>
      <c r="H1348">
        <v>5</v>
      </c>
      <c r="I1348">
        <v>42</v>
      </c>
      <c r="J1348">
        <v>62.16</v>
      </c>
      <c r="K1348">
        <v>72</v>
      </c>
      <c r="L1348">
        <v>2610.7199999999998</v>
      </c>
      <c r="M1348">
        <v>-413.28</v>
      </c>
      <c r="N1348" s="1">
        <v>38189</v>
      </c>
      <c r="O1348" t="s">
        <v>25</v>
      </c>
      <c r="P1348">
        <v>3</v>
      </c>
      <c r="Q1348">
        <v>7</v>
      </c>
      <c r="R1348">
        <v>2004</v>
      </c>
      <c r="S1348" t="s">
        <v>255</v>
      </c>
    </row>
    <row r="1349" spans="1:19" x14ac:dyDescent="0.25">
      <c r="A1349">
        <v>10324</v>
      </c>
      <c r="B1349" t="s">
        <v>322</v>
      </c>
      <c r="C1349" t="s">
        <v>51</v>
      </c>
      <c r="D1349" t="s">
        <v>21</v>
      </c>
      <c r="E1349" t="s">
        <v>22</v>
      </c>
      <c r="F1349" t="s">
        <v>23</v>
      </c>
      <c r="G1349" t="s">
        <v>33</v>
      </c>
      <c r="H1349">
        <v>5</v>
      </c>
      <c r="I1349">
        <v>34</v>
      </c>
      <c r="J1349">
        <v>100</v>
      </c>
      <c r="K1349">
        <v>101</v>
      </c>
      <c r="L1349">
        <v>4248.3</v>
      </c>
      <c r="M1349">
        <v>814.3</v>
      </c>
      <c r="N1349" s="1">
        <v>38296</v>
      </c>
      <c r="O1349" t="s">
        <v>25</v>
      </c>
      <c r="P1349">
        <v>4</v>
      </c>
      <c r="Q1349">
        <v>11</v>
      </c>
      <c r="R1349">
        <v>2004</v>
      </c>
      <c r="S1349" t="s">
        <v>83</v>
      </c>
    </row>
    <row r="1350" spans="1:19" x14ac:dyDescent="0.25">
      <c r="A1350">
        <v>10361</v>
      </c>
      <c r="B1350" t="s">
        <v>323</v>
      </c>
      <c r="C1350" t="s">
        <v>71</v>
      </c>
      <c r="D1350" t="s">
        <v>72</v>
      </c>
      <c r="E1350" t="s">
        <v>49</v>
      </c>
      <c r="F1350" t="s">
        <v>50</v>
      </c>
      <c r="G1350" t="s">
        <v>33</v>
      </c>
      <c r="H1350">
        <v>5</v>
      </c>
      <c r="I1350">
        <v>44</v>
      </c>
      <c r="J1350">
        <v>72.42</v>
      </c>
      <c r="K1350">
        <v>118</v>
      </c>
      <c r="L1350">
        <v>3186.48</v>
      </c>
      <c r="M1350">
        <v>-2005.52</v>
      </c>
      <c r="N1350" s="1">
        <v>38338</v>
      </c>
      <c r="O1350" t="s">
        <v>25</v>
      </c>
      <c r="P1350">
        <v>4</v>
      </c>
      <c r="Q1350">
        <v>12</v>
      </c>
      <c r="R1350">
        <v>2004</v>
      </c>
      <c r="S1350" t="s">
        <v>234</v>
      </c>
    </row>
    <row r="1351" spans="1:19" x14ac:dyDescent="0.25">
      <c r="A1351">
        <v>10262</v>
      </c>
      <c r="B1351" t="s">
        <v>324</v>
      </c>
      <c r="C1351" t="s">
        <v>78</v>
      </c>
      <c r="D1351" t="s">
        <v>79</v>
      </c>
      <c r="E1351" t="s">
        <v>80</v>
      </c>
      <c r="F1351" t="s">
        <v>30</v>
      </c>
      <c r="G1351" t="s">
        <v>24</v>
      </c>
      <c r="H1351">
        <v>5</v>
      </c>
      <c r="I1351">
        <v>27</v>
      </c>
      <c r="J1351">
        <v>76</v>
      </c>
      <c r="K1351">
        <v>80</v>
      </c>
      <c r="L1351">
        <v>2052</v>
      </c>
      <c r="M1351">
        <v>-108</v>
      </c>
      <c r="N1351" s="1">
        <v>38162</v>
      </c>
      <c r="O1351" t="s">
        <v>141</v>
      </c>
      <c r="P1351">
        <v>2</v>
      </c>
      <c r="Q1351">
        <v>6</v>
      </c>
      <c r="R1351">
        <v>2004</v>
      </c>
      <c r="S1351" t="s">
        <v>234</v>
      </c>
    </row>
    <row r="1352" spans="1:19" x14ac:dyDescent="0.25">
      <c r="A1352">
        <v>10316</v>
      </c>
      <c r="B1352" t="s">
        <v>324</v>
      </c>
      <c r="C1352" t="s">
        <v>158</v>
      </c>
      <c r="D1352" t="s">
        <v>159</v>
      </c>
      <c r="E1352" t="s">
        <v>77</v>
      </c>
      <c r="F1352" t="s">
        <v>30</v>
      </c>
      <c r="G1352" t="s">
        <v>33</v>
      </c>
      <c r="H1352">
        <v>5</v>
      </c>
      <c r="I1352">
        <v>48</v>
      </c>
      <c r="J1352">
        <v>75.2</v>
      </c>
      <c r="K1352">
        <v>80</v>
      </c>
      <c r="L1352">
        <v>3609.6</v>
      </c>
      <c r="M1352">
        <v>-230.4</v>
      </c>
      <c r="N1352" s="1">
        <v>38292</v>
      </c>
      <c r="O1352" t="s">
        <v>25</v>
      </c>
      <c r="P1352">
        <v>4</v>
      </c>
      <c r="Q1352">
        <v>11</v>
      </c>
      <c r="R1352">
        <v>2004</v>
      </c>
      <c r="S1352" t="s">
        <v>234</v>
      </c>
    </row>
    <row r="1353" spans="1:19" x14ac:dyDescent="0.25">
      <c r="A1353">
        <v>10341</v>
      </c>
      <c r="B1353" t="s">
        <v>324</v>
      </c>
      <c r="C1353" t="s">
        <v>67</v>
      </c>
      <c r="D1353" t="s">
        <v>68</v>
      </c>
      <c r="E1353" t="s">
        <v>69</v>
      </c>
      <c r="F1353" t="s">
        <v>30</v>
      </c>
      <c r="G1353" t="s">
        <v>33</v>
      </c>
      <c r="H1353">
        <v>5</v>
      </c>
      <c r="I1353">
        <v>34</v>
      </c>
      <c r="J1353">
        <v>100</v>
      </c>
      <c r="K1353">
        <v>80</v>
      </c>
      <c r="L1353">
        <v>3644.12</v>
      </c>
      <c r="M1353">
        <v>924.12</v>
      </c>
      <c r="N1353" s="1">
        <v>38315</v>
      </c>
      <c r="O1353" t="s">
        <v>25</v>
      </c>
      <c r="P1353">
        <v>4</v>
      </c>
      <c r="Q1353">
        <v>11</v>
      </c>
      <c r="R1353">
        <v>2004</v>
      </c>
      <c r="S1353" t="s">
        <v>234</v>
      </c>
    </row>
    <row r="1354" spans="1:19" x14ac:dyDescent="0.25">
      <c r="A1354">
        <v>10261</v>
      </c>
      <c r="B1354" t="s">
        <v>325</v>
      </c>
      <c r="C1354" t="s">
        <v>123</v>
      </c>
      <c r="D1354" t="s">
        <v>124</v>
      </c>
      <c r="E1354" t="s">
        <v>99</v>
      </c>
      <c r="F1354" t="s">
        <v>23</v>
      </c>
      <c r="G1354" t="s">
        <v>24</v>
      </c>
      <c r="H1354">
        <v>5</v>
      </c>
      <c r="I1354">
        <v>25</v>
      </c>
      <c r="J1354">
        <v>88.15</v>
      </c>
      <c r="K1354">
        <v>100</v>
      </c>
      <c r="L1354">
        <v>2203.75</v>
      </c>
      <c r="M1354">
        <v>-296.25</v>
      </c>
      <c r="N1354" s="1">
        <v>38155</v>
      </c>
      <c r="O1354" t="s">
        <v>25</v>
      </c>
      <c r="P1354">
        <v>2</v>
      </c>
      <c r="Q1354">
        <v>6</v>
      </c>
      <c r="R1354">
        <v>2004</v>
      </c>
      <c r="S1354" t="s">
        <v>255</v>
      </c>
    </row>
    <row r="1355" spans="1:19" x14ac:dyDescent="0.25">
      <c r="A1355">
        <v>10295</v>
      </c>
      <c r="B1355" t="s">
        <v>325</v>
      </c>
      <c r="C1355" t="s">
        <v>156</v>
      </c>
      <c r="D1355" t="s">
        <v>157</v>
      </c>
      <c r="E1355" t="s">
        <v>22</v>
      </c>
      <c r="F1355" t="s">
        <v>23</v>
      </c>
      <c r="G1355" t="s">
        <v>33</v>
      </c>
      <c r="H1355">
        <v>5</v>
      </c>
      <c r="I1355">
        <v>34</v>
      </c>
      <c r="J1355">
        <v>100</v>
      </c>
      <c r="K1355">
        <v>100</v>
      </c>
      <c r="L1355">
        <v>3473.78</v>
      </c>
      <c r="M1355">
        <v>73.78</v>
      </c>
      <c r="N1355" s="1">
        <v>38240</v>
      </c>
      <c r="O1355" t="s">
        <v>25</v>
      </c>
      <c r="P1355">
        <v>3</v>
      </c>
      <c r="Q1355">
        <v>9</v>
      </c>
      <c r="R1355">
        <v>2004</v>
      </c>
      <c r="S1355" t="s">
        <v>255</v>
      </c>
    </row>
    <row r="1356" spans="1:19" x14ac:dyDescent="0.25">
      <c r="A1356">
        <v>10177</v>
      </c>
      <c r="B1356" t="s">
        <v>326</v>
      </c>
      <c r="C1356" t="s">
        <v>196</v>
      </c>
      <c r="D1356" t="s">
        <v>79</v>
      </c>
      <c r="E1356" t="s">
        <v>80</v>
      </c>
      <c r="F1356" t="s">
        <v>30</v>
      </c>
      <c r="G1356" t="s">
        <v>24</v>
      </c>
      <c r="H1356">
        <v>5</v>
      </c>
      <c r="I1356">
        <v>24</v>
      </c>
      <c r="J1356">
        <v>100</v>
      </c>
      <c r="K1356">
        <v>99</v>
      </c>
      <c r="L1356">
        <v>2526.48</v>
      </c>
      <c r="M1356">
        <v>150.47999999999999</v>
      </c>
      <c r="N1356" s="1">
        <v>37932</v>
      </c>
      <c r="O1356" t="s">
        <v>25</v>
      </c>
      <c r="P1356">
        <v>4</v>
      </c>
      <c r="Q1356">
        <v>11</v>
      </c>
      <c r="R1356">
        <v>2003</v>
      </c>
      <c r="S1356" t="s">
        <v>255</v>
      </c>
    </row>
    <row r="1357" spans="1:19" x14ac:dyDescent="0.25">
      <c r="A1357">
        <v>10185</v>
      </c>
      <c r="B1357" t="s">
        <v>326</v>
      </c>
      <c r="C1357" t="s">
        <v>140</v>
      </c>
      <c r="D1357" t="s">
        <v>74</v>
      </c>
      <c r="E1357" t="s">
        <v>22</v>
      </c>
      <c r="F1357" t="s">
        <v>23</v>
      </c>
      <c r="G1357" t="s">
        <v>24</v>
      </c>
      <c r="H1357">
        <v>5</v>
      </c>
      <c r="I1357">
        <v>22</v>
      </c>
      <c r="J1357">
        <v>79.45</v>
      </c>
      <c r="K1357">
        <v>99</v>
      </c>
      <c r="L1357">
        <v>1747.9</v>
      </c>
      <c r="M1357">
        <v>-430.1</v>
      </c>
      <c r="N1357" s="1">
        <v>37939</v>
      </c>
      <c r="O1357" t="s">
        <v>25</v>
      </c>
      <c r="P1357">
        <v>4</v>
      </c>
      <c r="Q1357">
        <v>11</v>
      </c>
      <c r="R1357">
        <v>2003</v>
      </c>
      <c r="S1357" t="s">
        <v>255</v>
      </c>
    </row>
    <row r="1358" spans="1:19" x14ac:dyDescent="0.25">
      <c r="A1358">
        <v>10208</v>
      </c>
      <c r="B1358" t="s">
        <v>326</v>
      </c>
      <c r="C1358" t="s">
        <v>95</v>
      </c>
      <c r="D1358" t="s">
        <v>96</v>
      </c>
      <c r="E1358" t="s">
        <v>29</v>
      </c>
      <c r="F1358" t="s">
        <v>30</v>
      </c>
      <c r="G1358" t="s">
        <v>24</v>
      </c>
      <c r="H1358">
        <v>5</v>
      </c>
      <c r="I1358">
        <v>33</v>
      </c>
      <c r="J1358">
        <v>85.41</v>
      </c>
      <c r="K1358">
        <v>99</v>
      </c>
      <c r="L1358">
        <v>2818.53</v>
      </c>
      <c r="M1358">
        <v>-448.47</v>
      </c>
      <c r="N1358" s="1">
        <v>37988</v>
      </c>
      <c r="O1358" t="s">
        <v>25</v>
      </c>
      <c r="P1358">
        <v>1</v>
      </c>
      <c r="Q1358">
        <v>1</v>
      </c>
      <c r="R1358">
        <v>2004</v>
      </c>
      <c r="S1358" t="s">
        <v>255</v>
      </c>
    </row>
    <row r="1359" spans="1:19" x14ac:dyDescent="0.25">
      <c r="A1359">
        <v>10306</v>
      </c>
      <c r="B1359" t="s">
        <v>326</v>
      </c>
      <c r="C1359" t="s">
        <v>197</v>
      </c>
      <c r="D1359" t="s">
        <v>198</v>
      </c>
      <c r="E1359" t="s">
        <v>77</v>
      </c>
      <c r="F1359" t="s">
        <v>30</v>
      </c>
      <c r="G1359" t="s">
        <v>33</v>
      </c>
      <c r="H1359">
        <v>5</v>
      </c>
      <c r="I1359">
        <v>30</v>
      </c>
      <c r="J1359">
        <v>100</v>
      </c>
      <c r="K1359">
        <v>99</v>
      </c>
      <c r="L1359">
        <v>3515.7</v>
      </c>
      <c r="M1359">
        <v>545.70000000000005</v>
      </c>
      <c r="N1359" s="1">
        <v>38274</v>
      </c>
      <c r="O1359" t="s">
        <v>25</v>
      </c>
      <c r="P1359">
        <v>4</v>
      </c>
      <c r="Q1359">
        <v>10</v>
      </c>
      <c r="R1359">
        <v>2004</v>
      </c>
      <c r="S1359" t="s">
        <v>255</v>
      </c>
    </row>
    <row r="1360" spans="1:19" x14ac:dyDescent="0.25">
      <c r="A1360">
        <v>10143</v>
      </c>
      <c r="B1360" t="s">
        <v>327</v>
      </c>
      <c r="C1360" t="s">
        <v>140</v>
      </c>
      <c r="D1360" t="s">
        <v>74</v>
      </c>
      <c r="E1360" t="s">
        <v>22</v>
      </c>
      <c r="F1360" t="s">
        <v>23</v>
      </c>
      <c r="G1360" t="s">
        <v>24</v>
      </c>
      <c r="H1360">
        <v>5</v>
      </c>
      <c r="I1360">
        <v>34</v>
      </c>
      <c r="J1360">
        <v>85.87</v>
      </c>
      <c r="K1360">
        <v>74</v>
      </c>
      <c r="L1360">
        <v>2919.58</v>
      </c>
      <c r="M1360">
        <v>403.58</v>
      </c>
      <c r="N1360" s="1">
        <v>37843</v>
      </c>
      <c r="O1360" t="s">
        <v>25</v>
      </c>
      <c r="P1360">
        <v>3</v>
      </c>
      <c r="Q1360">
        <v>8</v>
      </c>
      <c r="R1360">
        <v>2003</v>
      </c>
      <c r="S1360" t="s">
        <v>234</v>
      </c>
    </row>
    <row r="1361" spans="1:19" x14ac:dyDescent="0.25">
      <c r="A1361">
        <v>10296</v>
      </c>
      <c r="B1361" t="s">
        <v>327</v>
      </c>
      <c r="C1361" t="s">
        <v>236</v>
      </c>
      <c r="D1361" t="s">
        <v>237</v>
      </c>
      <c r="E1361" t="s">
        <v>180</v>
      </c>
      <c r="F1361" t="s">
        <v>30</v>
      </c>
      <c r="G1361" t="s">
        <v>33</v>
      </c>
      <c r="H1361">
        <v>5</v>
      </c>
      <c r="I1361">
        <v>47</v>
      </c>
      <c r="J1361">
        <v>86.62</v>
      </c>
      <c r="K1361">
        <v>74</v>
      </c>
      <c r="L1361">
        <v>4071.14</v>
      </c>
      <c r="M1361">
        <v>593.14</v>
      </c>
      <c r="N1361" s="1">
        <v>38245</v>
      </c>
      <c r="O1361" t="s">
        <v>25</v>
      </c>
      <c r="P1361">
        <v>3</v>
      </c>
      <c r="Q1361">
        <v>9</v>
      </c>
      <c r="R1361">
        <v>2004</v>
      </c>
      <c r="S1361" t="s">
        <v>234</v>
      </c>
    </row>
    <row r="1362" spans="1:19" x14ac:dyDescent="0.25">
      <c r="A1362">
        <v>10142</v>
      </c>
      <c r="B1362" t="s">
        <v>329</v>
      </c>
      <c r="C1362" t="s">
        <v>115</v>
      </c>
      <c r="D1362" t="s">
        <v>116</v>
      </c>
      <c r="E1362" t="s">
        <v>22</v>
      </c>
      <c r="F1362" t="s">
        <v>23</v>
      </c>
      <c r="G1362" t="s">
        <v>24</v>
      </c>
      <c r="H1362">
        <v>5</v>
      </c>
      <c r="I1362">
        <v>39</v>
      </c>
      <c r="J1362">
        <v>44.23</v>
      </c>
      <c r="K1362">
        <v>54</v>
      </c>
      <c r="L1362">
        <v>1724.97</v>
      </c>
      <c r="M1362">
        <v>-381.03</v>
      </c>
      <c r="N1362" s="1">
        <v>37841</v>
      </c>
      <c r="O1362" t="s">
        <v>25</v>
      </c>
      <c r="P1362">
        <v>3</v>
      </c>
      <c r="Q1362">
        <v>8</v>
      </c>
      <c r="R1362">
        <v>2003</v>
      </c>
      <c r="S1362" t="s">
        <v>255</v>
      </c>
    </row>
    <row r="1363" spans="1:19" x14ac:dyDescent="0.25">
      <c r="A1363">
        <v>10315</v>
      </c>
      <c r="B1363" t="s">
        <v>329</v>
      </c>
      <c r="C1363" t="s">
        <v>56</v>
      </c>
      <c r="D1363" t="s">
        <v>57</v>
      </c>
      <c r="E1363" t="s">
        <v>29</v>
      </c>
      <c r="F1363" t="s">
        <v>30</v>
      </c>
      <c r="G1363" t="s">
        <v>24</v>
      </c>
      <c r="H1363">
        <v>5</v>
      </c>
      <c r="I1363">
        <v>40</v>
      </c>
      <c r="J1363">
        <v>55.69</v>
      </c>
      <c r="K1363">
        <v>54</v>
      </c>
      <c r="L1363">
        <v>2227.6</v>
      </c>
      <c r="M1363">
        <v>67.599999999999994</v>
      </c>
      <c r="N1363" s="1">
        <v>38289</v>
      </c>
      <c r="O1363" t="s">
        <v>25</v>
      </c>
      <c r="P1363">
        <v>4</v>
      </c>
      <c r="Q1363">
        <v>10</v>
      </c>
      <c r="R1363">
        <v>2004</v>
      </c>
      <c r="S1363" t="s">
        <v>255</v>
      </c>
    </row>
    <row r="1364" spans="1:19" x14ac:dyDescent="0.25">
      <c r="A1364">
        <v>10337</v>
      </c>
      <c r="B1364" t="s">
        <v>329</v>
      </c>
      <c r="C1364" t="s">
        <v>90</v>
      </c>
      <c r="D1364" t="s">
        <v>21</v>
      </c>
      <c r="E1364" t="s">
        <v>22</v>
      </c>
      <c r="F1364" t="s">
        <v>23</v>
      </c>
      <c r="G1364" t="s">
        <v>33</v>
      </c>
      <c r="H1364">
        <v>5</v>
      </c>
      <c r="I1364">
        <v>42</v>
      </c>
      <c r="J1364">
        <v>97.16</v>
      </c>
      <c r="K1364">
        <v>54</v>
      </c>
      <c r="L1364">
        <v>4080.72</v>
      </c>
      <c r="M1364">
        <v>1812.72</v>
      </c>
      <c r="N1364" s="1">
        <v>38312</v>
      </c>
      <c r="O1364" t="s">
        <v>25</v>
      </c>
      <c r="P1364">
        <v>4</v>
      </c>
      <c r="Q1364">
        <v>11</v>
      </c>
      <c r="R1364">
        <v>2004</v>
      </c>
      <c r="S1364" t="s">
        <v>255</v>
      </c>
    </row>
    <row r="1365" spans="1:19" x14ac:dyDescent="0.25">
      <c r="A1365">
        <v>10145</v>
      </c>
      <c r="B1365" t="s">
        <v>19</v>
      </c>
      <c r="C1365" t="s">
        <v>34</v>
      </c>
      <c r="D1365" t="s">
        <v>35</v>
      </c>
      <c r="E1365" t="s">
        <v>22</v>
      </c>
      <c r="F1365" t="s">
        <v>23</v>
      </c>
      <c r="G1365" t="s">
        <v>33</v>
      </c>
      <c r="H1365">
        <v>6</v>
      </c>
      <c r="I1365">
        <v>45</v>
      </c>
      <c r="J1365">
        <v>83.26</v>
      </c>
      <c r="K1365">
        <v>95</v>
      </c>
      <c r="L1365">
        <v>3746.7</v>
      </c>
      <c r="M1365">
        <v>-528.29999999999995</v>
      </c>
      <c r="N1365" s="1">
        <v>37858</v>
      </c>
      <c r="O1365" t="s">
        <v>25</v>
      </c>
      <c r="P1365">
        <v>3</v>
      </c>
      <c r="Q1365">
        <v>8</v>
      </c>
      <c r="R1365">
        <v>2003</v>
      </c>
      <c r="S1365" t="s">
        <v>26</v>
      </c>
    </row>
    <row r="1366" spans="1:19" x14ac:dyDescent="0.25">
      <c r="A1366">
        <v>10285</v>
      </c>
      <c r="B1366" t="s">
        <v>19</v>
      </c>
      <c r="C1366" t="s">
        <v>58</v>
      </c>
      <c r="D1366" t="s">
        <v>59</v>
      </c>
      <c r="E1366" t="s">
        <v>22</v>
      </c>
      <c r="F1366" t="s">
        <v>23</v>
      </c>
      <c r="G1366" t="s">
        <v>33</v>
      </c>
      <c r="H1366">
        <v>6</v>
      </c>
      <c r="I1366">
        <v>36</v>
      </c>
      <c r="J1366">
        <v>100</v>
      </c>
      <c r="K1366">
        <v>95</v>
      </c>
      <c r="L1366">
        <v>4099.68</v>
      </c>
      <c r="M1366">
        <v>679.68</v>
      </c>
      <c r="N1366" s="1">
        <v>38226</v>
      </c>
      <c r="O1366" t="s">
        <v>25</v>
      </c>
      <c r="P1366">
        <v>3</v>
      </c>
      <c r="Q1366">
        <v>8</v>
      </c>
      <c r="R1366">
        <v>2004</v>
      </c>
      <c r="S1366" t="s">
        <v>26</v>
      </c>
    </row>
    <row r="1367" spans="1:19" x14ac:dyDescent="0.25">
      <c r="A1367">
        <v>10206</v>
      </c>
      <c r="B1367" t="s">
        <v>82</v>
      </c>
      <c r="C1367" t="s">
        <v>97</v>
      </c>
      <c r="D1367" t="s">
        <v>98</v>
      </c>
      <c r="E1367" t="s">
        <v>99</v>
      </c>
      <c r="F1367" t="s">
        <v>23</v>
      </c>
      <c r="G1367" t="s">
        <v>70</v>
      </c>
      <c r="H1367">
        <v>6</v>
      </c>
      <c r="I1367">
        <v>47</v>
      </c>
      <c r="J1367">
        <v>100</v>
      </c>
      <c r="K1367">
        <v>214</v>
      </c>
      <c r="L1367">
        <v>9064.89</v>
      </c>
      <c r="M1367">
        <v>-993.11</v>
      </c>
      <c r="N1367" s="1">
        <v>37960</v>
      </c>
      <c r="O1367" t="s">
        <v>25</v>
      </c>
      <c r="P1367">
        <v>4</v>
      </c>
      <c r="Q1367">
        <v>12</v>
      </c>
      <c r="R1367">
        <v>2003</v>
      </c>
      <c r="S1367" t="s">
        <v>83</v>
      </c>
    </row>
    <row r="1368" spans="1:19" x14ac:dyDescent="0.25">
      <c r="A1368">
        <v>10258</v>
      </c>
      <c r="B1368" t="s">
        <v>82</v>
      </c>
      <c r="C1368" t="s">
        <v>105</v>
      </c>
      <c r="D1368" t="s">
        <v>106</v>
      </c>
      <c r="E1368" t="s">
        <v>107</v>
      </c>
      <c r="F1368" t="s">
        <v>50</v>
      </c>
      <c r="G1368" t="s">
        <v>70</v>
      </c>
      <c r="H1368">
        <v>6</v>
      </c>
      <c r="I1368">
        <v>32</v>
      </c>
      <c r="J1368">
        <v>100</v>
      </c>
      <c r="K1368">
        <v>214</v>
      </c>
      <c r="L1368">
        <v>7680.64</v>
      </c>
      <c r="M1368">
        <v>832.64</v>
      </c>
      <c r="N1368" s="1">
        <v>38153</v>
      </c>
      <c r="O1368" t="s">
        <v>25</v>
      </c>
      <c r="P1368">
        <v>2</v>
      </c>
      <c r="Q1368">
        <v>6</v>
      </c>
      <c r="R1368">
        <v>2004</v>
      </c>
      <c r="S1368" t="s">
        <v>83</v>
      </c>
    </row>
    <row r="1369" spans="1:19" x14ac:dyDescent="0.25">
      <c r="A1369">
        <v>10304</v>
      </c>
      <c r="B1369" t="s">
        <v>82</v>
      </c>
      <c r="C1369" t="s">
        <v>113</v>
      </c>
      <c r="D1369" t="s">
        <v>114</v>
      </c>
      <c r="E1369" t="s">
        <v>29</v>
      </c>
      <c r="F1369" t="s">
        <v>30</v>
      </c>
      <c r="G1369" t="s">
        <v>70</v>
      </c>
      <c r="H1369">
        <v>6</v>
      </c>
      <c r="I1369">
        <v>47</v>
      </c>
      <c r="J1369">
        <v>100</v>
      </c>
      <c r="K1369">
        <v>214</v>
      </c>
      <c r="L1369">
        <v>10172.700000000001</v>
      </c>
      <c r="M1369">
        <v>114.7</v>
      </c>
      <c r="N1369" s="1">
        <v>38271</v>
      </c>
      <c r="O1369" t="s">
        <v>25</v>
      </c>
      <c r="P1369">
        <v>4</v>
      </c>
      <c r="Q1369">
        <v>10</v>
      </c>
      <c r="R1369">
        <v>2004</v>
      </c>
      <c r="S1369" t="s">
        <v>83</v>
      </c>
    </row>
    <row r="1370" spans="1:19" x14ac:dyDescent="0.25">
      <c r="A1370">
        <v>10424</v>
      </c>
      <c r="B1370" t="s">
        <v>82</v>
      </c>
      <c r="C1370" t="s">
        <v>78</v>
      </c>
      <c r="D1370" t="s">
        <v>79</v>
      </c>
      <c r="E1370" t="s">
        <v>80</v>
      </c>
      <c r="F1370" t="s">
        <v>30</v>
      </c>
      <c r="G1370" t="s">
        <v>70</v>
      </c>
      <c r="H1370">
        <v>6</v>
      </c>
      <c r="I1370">
        <v>50</v>
      </c>
      <c r="J1370">
        <v>100</v>
      </c>
      <c r="K1370">
        <v>214</v>
      </c>
      <c r="L1370">
        <v>12001</v>
      </c>
      <c r="M1370">
        <v>1301</v>
      </c>
      <c r="N1370" s="1">
        <v>38503</v>
      </c>
      <c r="O1370" t="s">
        <v>125</v>
      </c>
      <c r="P1370">
        <v>2</v>
      </c>
      <c r="Q1370">
        <v>5</v>
      </c>
      <c r="R1370">
        <v>2005</v>
      </c>
      <c r="S1370" t="s">
        <v>83</v>
      </c>
    </row>
    <row r="1371" spans="1:19" x14ac:dyDescent="0.25">
      <c r="A1371">
        <v>10197</v>
      </c>
      <c r="B1371" t="s">
        <v>134</v>
      </c>
      <c r="C1371" t="s">
        <v>145</v>
      </c>
      <c r="D1371" t="s">
        <v>146</v>
      </c>
      <c r="E1371" t="s">
        <v>80</v>
      </c>
      <c r="F1371" t="s">
        <v>30</v>
      </c>
      <c r="G1371" t="s">
        <v>33</v>
      </c>
      <c r="H1371">
        <v>6</v>
      </c>
      <c r="I1371">
        <v>45</v>
      </c>
      <c r="J1371">
        <v>100</v>
      </c>
      <c r="K1371">
        <v>136</v>
      </c>
      <c r="L1371">
        <v>5324.4</v>
      </c>
      <c r="M1371">
        <v>-795.6</v>
      </c>
      <c r="N1371" s="1">
        <v>37951</v>
      </c>
      <c r="O1371" t="s">
        <v>25</v>
      </c>
      <c r="P1371">
        <v>4</v>
      </c>
      <c r="Q1371">
        <v>11</v>
      </c>
      <c r="R1371">
        <v>2003</v>
      </c>
      <c r="S1371" t="s">
        <v>83</v>
      </c>
    </row>
    <row r="1372" spans="1:19" x14ac:dyDescent="0.25">
      <c r="A1372">
        <v>10283</v>
      </c>
      <c r="B1372" t="s">
        <v>134</v>
      </c>
      <c r="C1372" t="s">
        <v>154</v>
      </c>
      <c r="D1372" t="s">
        <v>155</v>
      </c>
      <c r="E1372" t="s">
        <v>99</v>
      </c>
      <c r="F1372" t="s">
        <v>23</v>
      </c>
      <c r="G1372" t="s">
        <v>24</v>
      </c>
      <c r="H1372">
        <v>6</v>
      </c>
      <c r="I1372">
        <v>25</v>
      </c>
      <c r="J1372">
        <v>100</v>
      </c>
      <c r="K1372">
        <v>136</v>
      </c>
      <c r="L1372">
        <v>2992</v>
      </c>
      <c r="M1372">
        <v>-408</v>
      </c>
      <c r="N1372" s="1">
        <v>38219</v>
      </c>
      <c r="O1372" t="s">
        <v>25</v>
      </c>
      <c r="P1372">
        <v>3</v>
      </c>
      <c r="Q1372">
        <v>8</v>
      </c>
      <c r="R1372">
        <v>2004</v>
      </c>
      <c r="S1372" t="s">
        <v>83</v>
      </c>
    </row>
    <row r="1373" spans="1:19" x14ac:dyDescent="0.25">
      <c r="A1373">
        <v>10325</v>
      </c>
      <c r="B1373" t="s">
        <v>134</v>
      </c>
      <c r="C1373" t="s">
        <v>63</v>
      </c>
      <c r="D1373" t="s">
        <v>64</v>
      </c>
      <c r="E1373" t="s">
        <v>44</v>
      </c>
      <c r="F1373" t="s">
        <v>30</v>
      </c>
      <c r="G1373" t="s">
        <v>33</v>
      </c>
      <c r="H1373">
        <v>6</v>
      </c>
      <c r="I1373">
        <v>47</v>
      </c>
      <c r="J1373">
        <v>64.930000000000007</v>
      </c>
      <c r="K1373">
        <v>136</v>
      </c>
      <c r="L1373">
        <v>3051.71</v>
      </c>
      <c r="M1373">
        <v>-3340.29</v>
      </c>
      <c r="N1373" s="1">
        <v>38296</v>
      </c>
      <c r="O1373" t="s">
        <v>25</v>
      </c>
      <c r="P1373">
        <v>4</v>
      </c>
      <c r="Q1373">
        <v>11</v>
      </c>
      <c r="R1373">
        <v>2004</v>
      </c>
      <c r="S1373" t="s">
        <v>83</v>
      </c>
    </row>
    <row r="1374" spans="1:19" x14ac:dyDescent="0.25">
      <c r="A1374">
        <v>10359</v>
      </c>
      <c r="B1374" t="s">
        <v>134</v>
      </c>
      <c r="C1374" t="s">
        <v>27</v>
      </c>
      <c r="D1374" t="s">
        <v>28</v>
      </c>
      <c r="E1374" t="s">
        <v>29</v>
      </c>
      <c r="F1374" t="s">
        <v>30</v>
      </c>
      <c r="G1374" t="s">
        <v>24</v>
      </c>
      <c r="H1374">
        <v>6</v>
      </c>
      <c r="I1374">
        <v>48</v>
      </c>
      <c r="J1374">
        <v>54.68</v>
      </c>
      <c r="K1374">
        <v>136</v>
      </c>
      <c r="L1374">
        <v>2624.64</v>
      </c>
      <c r="M1374">
        <v>-3903.36</v>
      </c>
      <c r="N1374" s="1">
        <v>38336</v>
      </c>
      <c r="O1374" t="s">
        <v>25</v>
      </c>
      <c r="P1374">
        <v>4</v>
      </c>
      <c r="Q1374">
        <v>12</v>
      </c>
      <c r="R1374">
        <v>2004</v>
      </c>
      <c r="S1374" t="s">
        <v>83</v>
      </c>
    </row>
    <row r="1375" spans="1:19" x14ac:dyDescent="0.25">
      <c r="A1375">
        <v>10381</v>
      </c>
      <c r="B1375" t="s">
        <v>165</v>
      </c>
      <c r="C1375" t="s">
        <v>36</v>
      </c>
      <c r="D1375" t="s">
        <v>37</v>
      </c>
      <c r="E1375" t="s">
        <v>22</v>
      </c>
      <c r="F1375" t="s">
        <v>23</v>
      </c>
      <c r="G1375" t="s">
        <v>33</v>
      </c>
      <c r="H1375">
        <v>6</v>
      </c>
      <c r="I1375">
        <v>37</v>
      </c>
      <c r="J1375">
        <v>100</v>
      </c>
      <c r="K1375">
        <v>147</v>
      </c>
      <c r="L1375">
        <v>6231.54</v>
      </c>
      <c r="M1375">
        <v>792.54</v>
      </c>
      <c r="N1375" s="1">
        <v>38400</v>
      </c>
      <c r="O1375" t="s">
        <v>25</v>
      </c>
      <c r="P1375">
        <v>1</v>
      </c>
      <c r="Q1375">
        <v>2</v>
      </c>
      <c r="R1375">
        <v>2005</v>
      </c>
      <c r="S1375" t="s">
        <v>83</v>
      </c>
    </row>
    <row r="1376" spans="1:19" x14ac:dyDescent="0.25">
      <c r="A1376">
        <v>10108</v>
      </c>
      <c r="B1376" t="s">
        <v>172</v>
      </c>
      <c r="C1376" t="s">
        <v>173</v>
      </c>
      <c r="D1376" t="s">
        <v>174</v>
      </c>
      <c r="E1376" t="s">
        <v>175</v>
      </c>
      <c r="F1376" t="s">
        <v>50</v>
      </c>
      <c r="G1376" t="s">
        <v>33</v>
      </c>
      <c r="H1376">
        <v>6</v>
      </c>
      <c r="I1376">
        <v>33</v>
      </c>
      <c r="J1376">
        <v>100</v>
      </c>
      <c r="K1376">
        <v>194</v>
      </c>
      <c r="L1376">
        <v>5265.15</v>
      </c>
      <c r="M1376">
        <v>-1136.8499999999999</v>
      </c>
      <c r="N1376" s="1">
        <v>37683</v>
      </c>
      <c r="O1376" t="s">
        <v>25</v>
      </c>
      <c r="P1376">
        <v>1</v>
      </c>
      <c r="Q1376">
        <v>3</v>
      </c>
      <c r="R1376">
        <v>2003</v>
      </c>
      <c r="S1376" t="s">
        <v>83</v>
      </c>
    </row>
    <row r="1377" spans="1:19" x14ac:dyDescent="0.25">
      <c r="A1377">
        <v>10371</v>
      </c>
      <c r="B1377" t="s">
        <v>191</v>
      </c>
      <c r="C1377" t="s">
        <v>115</v>
      </c>
      <c r="D1377" t="s">
        <v>116</v>
      </c>
      <c r="E1377" t="s">
        <v>22</v>
      </c>
      <c r="F1377" t="s">
        <v>23</v>
      </c>
      <c r="G1377" t="s">
        <v>33</v>
      </c>
      <c r="H1377">
        <v>6</v>
      </c>
      <c r="I1377">
        <v>32</v>
      </c>
      <c r="J1377">
        <v>100</v>
      </c>
      <c r="K1377">
        <v>207</v>
      </c>
      <c r="L1377">
        <v>3560.64</v>
      </c>
      <c r="M1377">
        <v>-3063.36</v>
      </c>
      <c r="N1377" s="1">
        <v>38375</v>
      </c>
      <c r="O1377" t="s">
        <v>25</v>
      </c>
      <c r="P1377">
        <v>1</v>
      </c>
      <c r="Q1377">
        <v>1</v>
      </c>
      <c r="R1377">
        <v>2005</v>
      </c>
      <c r="S1377" t="s">
        <v>83</v>
      </c>
    </row>
    <row r="1378" spans="1:19" x14ac:dyDescent="0.25">
      <c r="A1378">
        <v>10164</v>
      </c>
      <c r="B1378" t="s">
        <v>201</v>
      </c>
      <c r="C1378" t="s">
        <v>167</v>
      </c>
      <c r="D1378" t="s">
        <v>168</v>
      </c>
      <c r="E1378" t="s">
        <v>69</v>
      </c>
      <c r="F1378" t="s">
        <v>30</v>
      </c>
      <c r="G1378" t="s">
        <v>33</v>
      </c>
      <c r="H1378">
        <v>6</v>
      </c>
      <c r="I1378">
        <v>49</v>
      </c>
      <c r="J1378">
        <v>100</v>
      </c>
      <c r="K1378">
        <v>136</v>
      </c>
      <c r="L1378">
        <v>6563.06</v>
      </c>
      <c r="M1378">
        <v>-100.94</v>
      </c>
      <c r="N1378" s="1">
        <v>37915</v>
      </c>
      <c r="O1378" t="s">
        <v>169</v>
      </c>
      <c r="P1378">
        <v>4</v>
      </c>
      <c r="Q1378">
        <v>10</v>
      </c>
      <c r="R1378">
        <v>2003</v>
      </c>
      <c r="S1378" t="s">
        <v>202</v>
      </c>
    </row>
    <row r="1379" spans="1:19" x14ac:dyDescent="0.25">
      <c r="A1379">
        <v>10245</v>
      </c>
      <c r="B1379" t="s">
        <v>201</v>
      </c>
      <c r="C1379" t="s">
        <v>103</v>
      </c>
      <c r="D1379" t="s">
        <v>104</v>
      </c>
      <c r="E1379" t="s">
        <v>22</v>
      </c>
      <c r="F1379" t="s">
        <v>23</v>
      </c>
      <c r="G1379" t="s">
        <v>33</v>
      </c>
      <c r="H1379">
        <v>6</v>
      </c>
      <c r="I1379">
        <v>38</v>
      </c>
      <c r="J1379">
        <v>100</v>
      </c>
      <c r="K1379">
        <v>136</v>
      </c>
      <c r="L1379">
        <v>5920.4</v>
      </c>
      <c r="M1379">
        <v>752.4</v>
      </c>
      <c r="N1379" s="1">
        <v>38111</v>
      </c>
      <c r="O1379" t="s">
        <v>25</v>
      </c>
      <c r="P1379">
        <v>2</v>
      </c>
      <c r="Q1379">
        <v>5</v>
      </c>
      <c r="R1379">
        <v>2004</v>
      </c>
      <c r="S1379" t="s">
        <v>202</v>
      </c>
    </row>
    <row r="1380" spans="1:19" x14ac:dyDescent="0.25">
      <c r="A1380">
        <v>10270</v>
      </c>
      <c r="B1380" t="s">
        <v>201</v>
      </c>
      <c r="C1380" t="s">
        <v>71</v>
      </c>
      <c r="D1380" t="s">
        <v>72</v>
      </c>
      <c r="E1380" t="s">
        <v>49</v>
      </c>
      <c r="F1380" t="s">
        <v>50</v>
      </c>
      <c r="G1380" t="s">
        <v>33</v>
      </c>
      <c r="H1380">
        <v>6</v>
      </c>
      <c r="I1380">
        <v>28</v>
      </c>
      <c r="J1380">
        <v>100</v>
      </c>
      <c r="K1380">
        <v>136</v>
      </c>
      <c r="L1380">
        <v>4094.72</v>
      </c>
      <c r="M1380">
        <v>286.72000000000003</v>
      </c>
      <c r="N1380" s="1">
        <v>38187</v>
      </c>
      <c r="O1380" t="s">
        <v>25</v>
      </c>
      <c r="P1380">
        <v>3</v>
      </c>
      <c r="Q1380">
        <v>7</v>
      </c>
      <c r="R1380">
        <v>2004</v>
      </c>
      <c r="S1380" t="s">
        <v>202</v>
      </c>
    </row>
    <row r="1381" spans="1:19" x14ac:dyDescent="0.25">
      <c r="A1381">
        <v>10333</v>
      </c>
      <c r="B1381" t="s">
        <v>201</v>
      </c>
      <c r="C1381" t="s">
        <v>45</v>
      </c>
      <c r="D1381" t="s">
        <v>37</v>
      </c>
      <c r="E1381" t="s">
        <v>22</v>
      </c>
      <c r="F1381" t="s">
        <v>23</v>
      </c>
      <c r="G1381" t="s">
        <v>33</v>
      </c>
      <c r="H1381">
        <v>6</v>
      </c>
      <c r="I1381">
        <v>33</v>
      </c>
      <c r="J1381">
        <v>99.21</v>
      </c>
      <c r="K1381">
        <v>136</v>
      </c>
      <c r="L1381">
        <v>3273.93</v>
      </c>
      <c r="M1381">
        <v>-1214.07</v>
      </c>
      <c r="N1381" s="1">
        <v>38309</v>
      </c>
      <c r="O1381" t="s">
        <v>25</v>
      </c>
      <c r="P1381">
        <v>4</v>
      </c>
      <c r="Q1381">
        <v>11</v>
      </c>
      <c r="R1381">
        <v>2004</v>
      </c>
      <c r="S1381" t="s">
        <v>202</v>
      </c>
    </row>
    <row r="1382" spans="1:19" x14ac:dyDescent="0.25">
      <c r="A1382">
        <v>10411</v>
      </c>
      <c r="B1382" t="s">
        <v>201</v>
      </c>
      <c r="C1382" t="s">
        <v>123</v>
      </c>
      <c r="D1382" t="s">
        <v>124</v>
      </c>
      <c r="E1382" t="s">
        <v>99</v>
      </c>
      <c r="F1382" t="s">
        <v>23</v>
      </c>
      <c r="G1382" t="s">
        <v>33</v>
      </c>
      <c r="H1382">
        <v>6</v>
      </c>
      <c r="I1382">
        <v>40</v>
      </c>
      <c r="J1382">
        <v>100</v>
      </c>
      <c r="K1382">
        <v>136</v>
      </c>
      <c r="L1382">
        <v>6232</v>
      </c>
      <c r="M1382">
        <v>792</v>
      </c>
      <c r="N1382" s="1">
        <v>38473</v>
      </c>
      <c r="O1382" t="s">
        <v>25</v>
      </c>
      <c r="P1382">
        <v>2</v>
      </c>
      <c r="Q1382">
        <v>5</v>
      </c>
      <c r="R1382">
        <v>2005</v>
      </c>
      <c r="S1382" t="s">
        <v>202</v>
      </c>
    </row>
    <row r="1383" spans="1:19" x14ac:dyDescent="0.25">
      <c r="A1383">
        <v>10224</v>
      </c>
      <c r="B1383" t="s">
        <v>203</v>
      </c>
      <c r="C1383" t="s">
        <v>40</v>
      </c>
      <c r="D1383" t="s">
        <v>41</v>
      </c>
      <c r="E1383" t="s">
        <v>29</v>
      </c>
      <c r="F1383" t="s">
        <v>30</v>
      </c>
      <c r="G1383" t="s">
        <v>33</v>
      </c>
      <c r="H1383">
        <v>6</v>
      </c>
      <c r="I1383">
        <v>43</v>
      </c>
      <c r="J1383">
        <v>100</v>
      </c>
      <c r="K1383">
        <v>150</v>
      </c>
      <c r="L1383">
        <v>6087.94</v>
      </c>
      <c r="M1383">
        <v>-362.06</v>
      </c>
      <c r="N1383" s="1">
        <v>38038</v>
      </c>
      <c r="O1383" t="s">
        <v>25</v>
      </c>
      <c r="P1383">
        <v>1</v>
      </c>
      <c r="Q1383">
        <v>2</v>
      </c>
      <c r="R1383">
        <v>2004</v>
      </c>
      <c r="S1383" t="s">
        <v>26</v>
      </c>
    </row>
    <row r="1384" spans="1:19" x14ac:dyDescent="0.25">
      <c r="A1384">
        <v>10237</v>
      </c>
      <c r="B1384" t="s">
        <v>203</v>
      </c>
      <c r="C1384" t="s">
        <v>51</v>
      </c>
      <c r="D1384" t="s">
        <v>21</v>
      </c>
      <c r="E1384" t="s">
        <v>22</v>
      </c>
      <c r="F1384" t="s">
        <v>23</v>
      </c>
      <c r="G1384" t="s">
        <v>33</v>
      </c>
      <c r="H1384">
        <v>6</v>
      </c>
      <c r="I1384">
        <v>32</v>
      </c>
      <c r="J1384">
        <v>100</v>
      </c>
      <c r="K1384">
        <v>150</v>
      </c>
      <c r="L1384">
        <v>4193.28</v>
      </c>
      <c r="M1384">
        <v>-606.72</v>
      </c>
      <c r="N1384" s="1">
        <v>38082</v>
      </c>
      <c r="O1384" t="s">
        <v>25</v>
      </c>
      <c r="P1384">
        <v>2</v>
      </c>
      <c r="Q1384">
        <v>4</v>
      </c>
      <c r="R1384">
        <v>2004</v>
      </c>
      <c r="S1384" t="s">
        <v>26</v>
      </c>
    </row>
    <row r="1385" spans="1:19" x14ac:dyDescent="0.25">
      <c r="A1385">
        <v>10329</v>
      </c>
      <c r="B1385" t="s">
        <v>203</v>
      </c>
      <c r="C1385" t="s">
        <v>20</v>
      </c>
      <c r="D1385" t="s">
        <v>21</v>
      </c>
      <c r="E1385" t="s">
        <v>22</v>
      </c>
      <c r="F1385" t="s">
        <v>23</v>
      </c>
      <c r="G1385" t="s">
        <v>33</v>
      </c>
      <c r="H1385">
        <v>6</v>
      </c>
      <c r="I1385">
        <v>24</v>
      </c>
      <c r="J1385">
        <v>100</v>
      </c>
      <c r="K1385">
        <v>150</v>
      </c>
      <c r="L1385">
        <v>3542.64</v>
      </c>
      <c r="M1385">
        <v>-57.36</v>
      </c>
      <c r="N1385" s="1">
        <v>38306</v>
      </c>
      <c r="O1385" t="s">
        <v>25</v>
      </c>
      <c r="P1385">
        <v>4</v>
      </c>
      <c r="Q1385">
        <v>11</v>
      </c>
      <c r="R1385">
        <v>2004</v>
      </c>
      <c r="S1385" t="s">
        <v>26</v>
      </c>
    </row>
    <row r="1386" spans="1:19" x14ac:dyDescent="0.25">
      <c r="A1386">
        <v>10388</v>
      </c>
      <c r="B1386" t="s">
        <v>203</v>
      </c>
      <c r="C1386" t="s">
        <v>73</v>
      </c>
      <c r="D1386" t="s">
        <v>74</v>
      </c>
      <c r="E1386" t="s">
        <v>22</v>
      </c>
      <c r="F1386" t="s">
        <v>23</v>
      </c>
      <c r="G1386" t="s">
        <v>33</v>
      </c>
      <c r="H1386">
        <v>6</v>
      </c>
      <c r="I1386">
        <v>44</v>
      </c>
      <c r="J1386">
        <v>100</v>
      </c>
      <c r="K1386">
        <v>150</v>
      </c>
      <c r="L1386">
        <v>5951.44</v>
      </c>
      <c r="M1386">
        <v>-648.55999999999995</v>
      </c>
      <c r="N1386" s="1">
        <v>38414</v>
      </c>
      <c r="O1386" t="s">
        <v>25</v>
      </c>
      <c r="P1386">
        <v>1</v>
      </c>
      <c r="Q1386">
        <v>3</v>
      </c>
      <c r="R1386">
        <v>2005</v>
      </c>
      <c r="S1386" t="s">
        <v>26</v>
      </c>
    </row>
    <row r="1387" spans="1:19" x14ac:dyDescent="0.25">
      <c r="A1387">
        <v>10403</v>
      </c>
      <c r="B1387" t="s">
        <v>203</v>
      </c>
      <c r="C1387" t="s">
        <v>75</v>
      </c>
      <c r="D1387" t="s">
        <v>76</v>
      </c>
      <c r="E1387" t="s">
        <v>77</v>
      </c>
      <c r="F1387" t="s">
        <v>30</v>
      </c>
      <c r="G1387" t="s">
        <v>70</v>
      </c>
      <c r="H1387">
        <v>6</v>
      </c>
      <c r="I1387">
        <v>66</v>
      </c>
      <c r="J1387">
        <v>100</v>
      </c>
      <c r="K1387">
        <v>150</v>
      </c>
      <c r="L1387">
        <v>8648.64</v>
      </c>
      <c r="M1387">
        <v>-1251.3599999999999</v>
      </c>
      <c r="N1387" s="1">
        <v>38450</v>
      </c>
      <c r="O1387" t="s">
        <v>25</v>
      </c>
      <c r="P1387">
        <v>2</v>
      </c>
      <c r="Q1387">
        <v>4</v>
      </c>
      <c r="R1387">
        <v>2005</v>
      </c>
      <c r="S1387" t="s">
        <v>26</v>
      </c>
    </row>
    <row r="1388" spans="1:19" x14ac:dyDescent="0.25">
      <c r="A1388">
        <v>10196</v>
      </c>
      <c r="B1388" t="s">
        <v>205</v>
      </c>
      <c r="C1388" t="s">
        <v>103</v>
      </c>
      <c r="D1388" t="s">
        <v>104</v>
      </c>
      <c r="E1388" t="s">
        <v>22</v>
      </c>
      <c r="F1388" t="s">
        <v>23</v>
      </c>
      <c r="G1388" t="s">
        <v>33</v>
      </c>
      <c r="H1388">
        <v>6</v>
      </c>
      <c r="I1388">
        <v>24</v>
      </c>
      <c r="J1388">
        <v>100</v>
      </c>
      <c r="K1388">
        <v>151</v>
      </c>
      <c r="L1388">
        <v>3807.12</v>
      </c>
      <c r="M1388">
        <v>183.12</v>
      </c>
      <c r="N1388" s="1">
        <v>37951</v>
      </c>
      <c r="O1388" t="s">
        <v>25</v>
      </c>
      <c r="P1388">
        <v>4</v>
      </c>
      <c r="Q1388">
        <v>11</v>
      </c>
      <c r="R1388">
        <v>2003</v>
      </c>
      <c r="S1388" t="s">
        <v>83</v>
      </c>
    </row>
    <row r="1389" spans="1:19" x14ac:dyDescent="0.25">
      <c r="A1389">
        <v>10282</v>
      </c>
      <c r="B1389" t="s">
        <v>205</v>
      </c>
      <c r="C1389" t="s">
        <v>115</v>
      </c>
      <c r="D1389" t="s">
        <v>116</v>
      </c>
      <c r="E1389" t="s">
        <v>22</v>
      </c>
      <c r="F1389" t="s">
        <v>23</v>
      </c>
      <c r="G1389" t="s">
        <v>33</v>
      </c>
      <c r="H1389">
        <v>6</v>
      </c>
      <c r="I1389">
        <v>27</v>
      </c>
      <c r="J1389">
        <v>100</v>
      </c>
      <c r="K1389">
        <v>151</v>
      </c>
      <c r="L1389">
        <v>4364.82</v>
      </c>
      <c r="M1389">
        <v>287.82</v>
      </c>
      <c r="N1389" s="1">
        <v>38219</v>
      </c>
      <c r="O1389" t="s">
        <v>25</v>
      </c>
      <c r="P1389">
        <v>3</v>
      </c>
      <c r="Q1389">
        <v>8</v>
      </c>
      <c r="R1389">
        <v>2004</v>
      </c>
      <c r="S1389" t="s">
        <v>83</v>
      </c>
    </row>
    <row r="1390" spans="1:19" x14ac:dyDescent="0.25">
      <c r="A1390">
        <v>10314</v>
      </c>
      <c r="B1390" t="s">
        <v>205</v>
      </c>
      <c r="C1390" t="s">
        <v>199</v>
      </c>
      <c r="D1390" t="s">
        <v>200</v>
      </c>
      <c r="E1390" t="s">
        <v>137</v>
      </c>
      <c r="F1390" t="s">
        <v>30</v>
      </c>
      <c r="G1390" t="s">
        <v>33</v>
      </c>
      <c r="H1390">
        <v>6</v>
      </c>
      <c r="I1390">
        <v>46</v>
      </c>
      <c r="J1390">
        <v>100</v>
      </c>
      <c r="K1390">
        <v>151</v>
      </c>
      <c r="L1390">
        <v>6393.54</v>
      </c>
      <c r="M1390">
        <v>-552.46</v>
      </c>
      <c r="N1390" s="1">
        <v>38282</v>
      </c>
      <c r="O1390" t="s">
        <v>25</v>
      </c>
      <c r="P1390">
        <v>4</v>
      </c>
      <c r="Q1390">
        <v>10</v>
      </c>
      <c r="R1390">
        <v>2004</v>
      </c>
      <c r="S1390" t="s">
        <v>83</v>
      </c>
    </row>
    <row r="1391" spans="1:19" x14ac:dyDescent="0.25">
      <c r="A1391">
        <v>10160</v>
      </c>
      <c r="B1391" t="s">
        <v>206</v>
      </c>
      <c r="C1391" t="s">
        <v>147</v>
      </c>
      <c r="D1391" t="s">
        <v>148</v>
      </c>
      <c r="E1391" t="s">
        <v>22</v>
      </c>
      <c r="F1391" t="s">
        <v>23</v>
      </c>
      <c r="G1391" t="s">
        <v>33</v>
      </c>
      <c r="H1391">
        <v>6</v>
      </c>
      <c r="I1391">
        <v>46</v>
      </c>
      <c r="J1391">
        <v>100</v>
      </c>
      <c r="K1391">
        <v>117</v>
      </c>
      <c r="L1391">
        <v>5294.14</v>
      </c>
      <c r="M1391">
        <v>-87.86</v>
      </c>
      <c r="N1391" s="1">
        <v>37905</v>
      </c>
      <c r="O1391" t="s">
        <v>25</v>
      </c>
      <c r="P1391">
        <v>4</v>
      </c>
      <c r="Q1391">
        <v>10</v>
      </c>
      <c r="R1391">
        <v>2003</v>
      </c>
      <c r="S1391" t="s">
        <v>83</v>
      </c>
    </row>
    <row r="1392" spans="1:19" x14ac:dyDescent="0.25">
      <c r="A1392">
        <v>10203</v>
      </c>
      <c r="B1392" t="s">
        <v>206</v>
      </c>
      <c r="C1392" t="s">
        <v>78</v>
      </c>
      <c r="D1392" t="s">
        <v>79</v>
      </c>
      <c r="E1392" t="s">
        <v>80</v>
      </c>
      <c r="F1392" t="s">
        <v>30</v>
      </c>
      <c r="G1392" t="s">
        <v>24</v>
      </c>
      <c r="H1392">
        <v>6</v>
      </c>
      <c r="I1392">
        <v>20</v>
      </c>
      <c r="J1392">
        <v>100</v>
      </c>
      <c r="K1392">
        <v>117</v>
      </c>
      <c r="L1392">
        <v>2254.8000000000002</v>
      </c>
      <c r="M1392">
        <v>-85.2</v>
      </c>
      <c r="N1392" s="1">
        <v>37957</v>
      </c>
      <c r="O1392" t="s">
        <v>25</v>
      </c>
      <c r="P1392">
        <v>4</v>
      </c>
      <c r="Q1392">
        <v>12</v>
      </c>
      <c r="R1392">
        <v>2003</v>
      </c>
      <c r="S1392" t="s">
        <v>83</v>
      </c>
    </row>
    <row r="1393" spans="1:19" x14ac:dyDescent="0.25">
      <c r="A1393">
        <v>10389</v>
      </c>
      <c r="B1393" t="s">
        <v>206</v>
      </c>
      <c r="C1393" t="s">
        <v>111</v>
      </c>
      <c r="D1393" t="s">
        <v>112</v>
      </c>
      <c r="E1393" t="s">
        <v>86</v>
      </c>
      <c r="F1393" t="s">
        <v>30</v>
      </c>
      <c r="G1393" t="s">
        <v>24</v>
      </c>
      <c r="H1393">
        <v>6</v>
      </c>
      <c r="I1393">
        <v>25</v>
      </c>
      <c r="J1393">
        <v>72.38</v>
      </c>
      <c r="K1393">
        <v>117</v>
      </c>
      <c r="L1393">
        <v>1809.5</v>
      </c>
      <c r="M1393">
        <v>-1115.5</v>
      </c>
      <c r="N1393" s="1">
        <v>38414</v>
      </c>
      <c r="O1393" t="s">
        <v>25</v>
      </c>
      <c r="P1393">
        <v>1</v>
      </c>
      <c r="Q1393">
        <v>3</v>
      </c>
      <c r="R1393">
        <v>2005</v>
      </c>
      <c r="S1393" t="s">
        <v>83</v>
      </c>
    </row>
    <row r="1394" spans="1:19" x14ac:dyDescent="0.25">
      <c r="A1394">
        <v>10300</v>
      </c>
      <c r="B1394" t="s">
        <v>210</v>
      </c>
      <c r="C1394" t="s">
        <v>187</v>
      </c>
      <c r="D1394" t="s">
        <v>188</v>
      </c>
      <c r="E1394" t="s">
        <v>180</v>
      </c>
      <c r="F1394" t="s">
        <v>30</v>
      </c>
      <c r="G1394" t="s">
        <v>24</v>
      </c>
      <c r="H1394">
        <v>6</v>
      </c>
      <c r="I1394">
        <v>22</v>
      </c>
      <c r="J1394">
        <v>76.61</v>
      </c>
      <c r="K1394">
        <v>79</v>
      </c>
      <c r="L1394">
        <v>1685.42</v>
      </c>
      <c r="M1394">
        <v>-52.58</v>
      </c>
      <c r="N1394" s="1">
        <v>37898</v>
      </c>
      <c r="O1394" t="s">
        <v>25</v>
      </c>
      <c r="P1394">
        <v>4</v>
      </c>
      <c r="Q1394">
        <v>10</v>
      </c>
      <c r="R1394">
        <v>2003</v>
      </c>
      <c r="S1394" t="s">
        <v>83</v>
      </c>
    </row>
    <row r="1395" spans="1:19" x14ac:dyDescent="0.25">
      <c r="A1395">
        <v>10184</v>
      </c>
      <c r="B1395" t="s">
        <v>211</v>
      </c>
      <c r="C1395" t="s">
        <v>212</v>
      </c>
      <c r="D1395" t="s">
        <v>213</v>
      </c>
      <c r="E1395" t="s">
        <v>80</v>
      </c>
      <c r="F1395" t="s">
        <v>30</v>
      </c>
      <c r="G1395" t="s">
        <v>33</v>
      </c>
      <c r="H1395">
        <v>6</v>
      </c>
      <c r="I1395">
        <v>37</v>
      </c>
      <c r="J1395">
        <v>100</v>
      </c>
      <c r="K1395">
        <v>118</v>
      </c>
      <c r="L1395">
        <v>4516.22</v>
      </c>
      <c r="M1395">
        <v>150.22</v>
      </c>
      <c r="N1395" s="1">
        <v>37939</v>
      </c>
      <c r="O1395" t="s">
        <v>25</v>
      </c>
      <c r="P1395">
        <v>4</v>
      </c>
      <c r="Q1395">
        <v>11</v>
      </c>
      <c r="R1395">
        <v>2003</v>
      </c>
      <c r="S1395" t="s">
        <v>202</v>
      </c>
    </row>
    <row r="1396" spans="1:19" x14ac:dyDescent="0.25">
      <c r="A1396">
        <v>10195</v>
      </c>
      <c r="B1396" t="s">
        <v>211</v>
      </c>
      <c r="C1396" t="s">
        <v>131</v>
      </c>
      <c r="D1396" t="s">
        <v>132</v>
      </c>
      <c r="E1396" t="s">
        <v>22</v>
      </c>
      <c r="F1396" t="s">
        <v>23</v>
      </c>
      <c r="G1396" t="s">
        <v>33</v>
      </c>
      <c r="H1396">
        <v>6</v>
      </c>
      <c r="I1396">
        <v>49</v>
      </c>
      <c r="J1396">
        <v>100</v>
      </c>
      <c r="K1396">
        <v>118</v>
      </c>
      <c r="L1396">
        <v>6445.46</v>
      </c>
      <c r="M1396">
        <v>663.46</v>
      </c>
      <c r="N1396" s="1">
        <v>37950</v>
      </c>
      <c r="O1396" t="s">
        <v>25</v>
      </c>
      <c r="P1396">
        <v>4</v>
      </c>
      <c r="Q1396">
        <v>11</v>
      </c>
      <c r="R1396">
        <v>2003</v>
      </c>
      <c r="S1396" t="s">
        <v>202</v>
      </c>
    </row>
    <row r="1397" spans="1:19" x14ac:dyDescent="0.25">
      <c r="A1397">
        <v>10225</v>
      </c>
      <c r="B1397" t="s">
        <v>216</v>
      </c>
      <c r="C1397" t="s">
        <v>181</v>
      </c>
      <c r="D1397" t="s">
        <v>182</v>
      </c>
      <c r="E1397" t="s">
        <v>183</v>
      </c>
      <c r="F1397" t="s">
        <v>30</v>
      </c>
      <c r="G1397" t="s">
        <v>24</v>
      </c>
      <c r="H1397">
        <v>6</v>
      </c>
      <c r="I1397">
        <v>21</v>
      </c>
      <c r="J1397">
        <v>100</v>
      </c>
      <c r="K1397">
        <v>115</v>
      </c>
      <c r="L1397">
        <v>2684.43</v>
      </c>
      <c r="M1397">
        <v>269.43</v>
      </c>
      <c r="N1397" s="1">
        <v>38039</v>
      </c>
      <c r="O1397" t="s">
        <v>25</v>
      </c>
      <c r="P1397">
        <v>1</v>
      </c>
      <c r="Q1397">
        <v>2</v>
      </c>
      <c r="R1397">
        <v>2004</v>
      </c>
      <c r="S1397" t="s">
        <v>83</v>
      </c>
    </row>
    <row r="1398" spans="1:19" x14ac:dyDescent="0.25">
      <c r="A1398">
        <v>10363</v>
      </c>
      <c r="B1398" t="s">
        <v>216</v>
      </c>
      <c r="C1398" t="s">
        <v>189</v>
      </c>
      <c r="D1398" t="s">
        <v>190</v>
      </c>
      <c r="E1398" t="s">
        <v>62</v>
      </c>
      <c r="F1398" t="s">
        <v>30</v>
      </c>
      <c r="G1398" t="s">
        <v>33</v>
      </c>
      <c r="H1398">
        <v>6</v>
      </c>
      <c r="I1398">
        <v>46</v>
      </c>
      <c r="J1398">
        <v>88.45</v>
      </c>
      <c r="K1398">
        <v>115</v>
      </c>
      <c r="L1398">
        <v>4068.7</v>
      </c>
      <c r="M1398">
        <v>-1221.3</v>
      </c>
      <c r="N1398" s="1">
        <v>38358</v>
      </c>
      <c r="O1398" t="s">
        <v>25</v>
      </c>
      <c r="P1398">
        <v>1</v>
      </c>
      <c r="Q1398">
        <v>1</v>
      </c>
      <c r="R1398">
        <v>2005</v>
      </c>
      <c r="S1398" t="s">
        <v>83</v>
      </c>
    </row>
    <row r="1399" spans="1:19" x14ac:dyDescent="0.25">
      <c r="A1399">
        <v>10181</v>
      </c>
      <c r="B1399" t="s">
        <v>220</v>
      </c>
      <c r="C1399" t="s">
        <v>42</v>
      </c>
      <c r="D1399" t="s">
        <v>43</v>
      </c>
      <c r="E1399" t="s">
        <v>44</v>
      </c>
      <c r="F1399" t="s">
        <v>30</v>
      </c>
      <c r="G1399" t="s">
        <v>33</v>
      </c>
      <c r="H1399">
        <v>6</v>
      </c>
      <c r="I1399">
        <v>44</v>
      </c>
      <c r="J1399">
        <v>100</v>
      </c>
      <c r="K1399">
        <v>141</v>
      </c>
      <c r="L1399">
        <v>5418.16</v>
      </c>
      <c r="M1399">
        <v>-785.84</v>
      </c>
      <c r="N1399" s="1">
        <v>37937</v>
      </c>
      <c r="O1399" t="s">
        <v>25</v>
      </c>
      <c r="P1399">
        <v>4</v>
      </c>
      <c r="Q1399">
        <v>11</v>
      </c>
      <c r="R1399">
        <v>2003</v>
      </c>
      <c r="S1399" t="s">
        <v>83</v>
      </c>
    </row>
    <row r="1400" spans="1:19" x14ac:dyDescent="0.25">
      <c r="A1400">
        <v>10266</v>
      </c>
      <c r="B1400" t="s">
        <v>220</v>
      </c>
      <c r="C1400" t="s">
        <v>184</v>
      </c>
      <c r="D1400" t="s">
        <v>185</v>
      </c>
      <c r="E1400" t="s">
        <v>110</v>
      </c>
      <c r="F1400" t="s">
        <v>30</v>
      </c>
      <c r="G1400" t="s">
        <v>24</v>
      </c>
      <c r="H1400">
        <v>6</v>
      </c>
      <c r="I1400">
        <v>21</v>
      </c>
      <c r="J1400">
        <v>100</v>
      </c>
      <c r="K1400">
        <v>141</v>
      </c>
      <c r="L1400">
        <v>2526.5100000000002</v>
      </c>
      <c r="M1400">
        <v>-434.49</v>
      </c>
      <c r="N1400" s="1">
        <v>38174</v>
      </c>
      <c r="O1400" t="s">
        <v>25</v>
      </c>
      <c r="P1400">
        <v>3</v>
      </c>
      <c r="Q1400">
        <v>7</v>
      </c>
      <c r="R1400">
        <v>2004</v>
      </c>
      <c r="S1400" t="s">
        <v>83</v>
      </c>
    </row>
    <row r="1401" spans="1:19" x14ac:dyDescent="0.25">
      <c r="A1401">
        <v>10278</v>
      </c>
      <c r="B1401" t="s">
        <v>220</v>
      </c>
      <c r="C1401" t="s">
        <v>221</v>
      </c>
      <c r="D1401" t="s">
        <v>222</v>
      </c>
      <c r="E1401" t="s">
        <v>22</v>
      </c>
      <c r="F1401" t="s">
        <v>23</v>
      </c>
      <c r="G1401" t="s">
        <v>33</v>
      </c>
      <c r="H1401">
        <v>6</v>
      </c>
      <c r="I1401">
        <v>34</v>
      </c>
      <c r="J1401">
        <v>100</v>
      </c>
      <c r="K1401">
        <v>141</v>
      </c>
      <c r="L1401">
        <v>4667.8599999999997</v>
      </c>
      <c r="M1401">
        <v>-126.14</v>
      </c>
      <c r="N1401" s="1">
        <v>38205</v>
      </c>
      <c r="O1401" t="s">
        <v>25</v>
      </c>
      <c r="P1401">
        <v>3</v>
      </c>
      <c r="Q1401">
        <v>8</v>
      </c>
      <c r="R1401">
        <v>2004</v>
      </c>
      <c r="S1401" t="s">
        <v>83</v>
      </c>
    </row>
    <row r="1402" spans="1:19" x14ac:dyDescent="0.25">
      <c r="A1402">
        <v>10331</v>
      </c>
      <c r="B1402" t="s">
        <v>220</v>
      </c>
      <c r="C1402" t="s">
        <v>129</v>
      </c>
      <c r="D1402" t="s">
        <v>94</v>
      </c>
      <c r="E1402" t="s">
        <v>22</v>
      </c>
      <c r="F1402" t="s">
        <v>23</v>
      </c>
      <c r="G1402" t="s">
        <v>33</v>
      </c>
      <c r="H1402">
        <v>6</v>
      </c>
      <c r="I1402">
        <v>46</v>
      </c>
      <c r="J1402">
        <v>100</v>
      </c>
      <c r="K1402">
        <v>141</v>
      </c>
      <c r="L1402">
        <v>6434.02</v>
      </c>
      <c r="M1402">
        <v>-51.98</v>
      </c>
      <c r="N1402" s="1">
        <v>38308</v>
      </c>
      <c r="O1402" t="s">
        <v>25</v>
      </c>
      <c r="P1402">
        <v>4</v>
      </c>
      <c r="Q1402">
        <v>11</v>
      </c>
      <c r="R1402">
        <v>2004</v>
      </c>
      <c r="S1402" t="s">
        <v>83</v>
      </c>
    </row>
    <row r="1403" spans="1:19" x14ac:dyDescent="0.25">
      <c r="A1403">
        <v>10111</v>
      </c>
      <c r="B1403" t="s">
        <v>225</v>
      </c>
      <c r="C1403" t="s">
        <v>45</v>
      </c>
      <c r="D1403" t="s">
        <v>37</v>
      </c>
      <c r="E1403" t="s">
        <v>22</v>
      </c>
      <c r="F1403" t="s">
        <v>23</v>
      </c>
      <c r="G1403" t="s">
        <v>33</v>
      </c>
      <c r="H1403">
        <v>6</v>
      </c>
      <c r="I1403">
        <v>33</v>
      </c>
      <c r="J1403">
        <v>99.66</v>
      </c>
      <c r="K1403">
        <v>102</v>
      </c>
      <c r="L1403">
        <v>3288.78</v>
      </c>
      <c r="M1403">
        <v>-77.22</v>
      </c>
      <c r="N1403" s="1">
        <v>37705</v>
      </c>
      <c r="O1403" t="s">
        <v>25</v>
      </c>
      <c r="P1403">
        <v>1</v>
      </c>
      <c r="Q1403">
        <v>3</v>
      </c>
      <c r="R1403">
        <v>2003</v>
      </c>
      <c r="S1403" t="s">
        <v>226</v>
      </c>
    </row>
    <row r="1404" spans="1:19" x14ac:dyDescent="0.25">
      <c r="A1404">
        <v>10173</v>
      </c>
      <c r="B1404" t="s">
        <v>225</v>
      </c>
      <c r="C1404" t="s">
        <v>227</v>
      </c>
      <c r="D1404" t="s">
        <v>228</v>
      </c>
      <c r="E1404" t="s">
        <v>110</v>
      </c>
      <c r="F1404" t="s">
        <v>30</v>
      </c>
      <c r="G1404" t="s">
        <v>33</v>
      </c>
      <c r="H1404">
        <v>6</v>
      </c>
      <c r="I1404">
        <v>43</v>
      </c>
      <c r="J1404">
        <v>100</v>
      </c>
      <c r="K1404">
        <v>102</v>
      </c>
      <c r="L1404">
        <v>5036.16</v>
      </c>
      <c r="M1404">
        <v>650.16</v>
      </c>
      <c r="N1404" s="1">
        <v>37930</v>
      </c>
      <c r="O1404" t="s">
        <v>25</v>
      </c>
      <c r="P1404">
        <v>4</v>
      </c>
      <c r="Q1404">
        <v>11</v>
      </c>
      <c r="R1404">
        <v>2003</v>
      </c>
      <c r="S1404" t="s">
        <v>226</v>
      </c>
    </row>
    <row r="1405" spans="1:19" x14ac:dyDescent="0.25">
      <c r="A1405">
        <v>10139</v>
      </c>
      <c r="B1405" t="s">
        <v>231</v>
      </c>
      <c r="C1405" t="s">
        <v>71</v>
      </c>
      <c r="D1405" t="s">
        <v>72</v>
      </c>
      <c r="E1405" t="s">
        <v>49</v>
      </c>
      <c r="F1405" t="s">
        <v>50</v>
      </c>
      <c r="G1405" t="s">
        <v>24</v>
      </c>
      <c r="H1405">
        <v>6</v>
      </c>
      <c r="I1405">
        <v>49</v>
      </c>
      <c r="J1405">
        <v>43.13</v>
      </c>
      <c r="K1405">
        <v>53</v>
      </c>
      <c r="L1405">
        <v>2113.37</v>
      </c>
      <c r="M1405">
        <v>-483.63</v>
      </c>
      <c r="N1405" s="1">
        <v>37818</v>
      </c>
      <c r="O1405" t="s">
        <v>25</v>
      </c>
      <c r="P1405">
        <v>3</v>
      </c>
      <c r="Q1405">
        <v>7</v>
      </c>
      <c r="R1405">
        <v>2003</v>
      </c>
      <c r="S1405" t="s">
        <v>226</v>
      </c>
    </row>
    <row r="1406" spans="1:19" x14ac:dyDescent="0.25">
      <c r="A1406">
        <v>10193</v>
      </c>
      <c r="B1406" t="s">
        <v>231</v>
      </c>
      <c r="C1406" t="s">
        <v>229</v>
      </c>
      <c r="D1406" t="s">
        <v>230</v>
      </c>
      <c r="E1406" t="s">
        <v>49</v>
      </c>
      <c r="F1406" t="s">
        <v>50</v>
      </c>
      <c r="G1406" t="s">
        <v>24</v>
      </c>
      <c r="H1406">
        <v>6</v>
      </c>
      <c r="I1406">
        <v>46</v>
      </c>
      <c r="J1406">
        <v>53.37</v>
      </c>
      <c r="K1406">
        <v>53</v>
      </c>
      <c r="L1406">
        <v>2455.02</v>
      </c>
      <c r="M1406">
        <v>17.02</v>
      </c>
      <c r="N1406" s="1">
        <v>37946</v>
      </c>
      <c r="O1406" t="s">
        <v>25</v>
      </c>
      <c r="P1406">
        <v>4</v>
      </c>
      <c r="Q1406">
        <v>11</v>
      </c>
      <c r="R1406">
        <v>2003</v>
      </c>
      <c r="S1406" t="s">
        <v>226</v>
      </c>
    </row>
    <row r="1407" spans="1:19" x14ac:dyDescent="0.25">
      <c r="A1407">
        <v>10244</v>
      </c>
      <c r="B1407" t="s">
        <v>231</v>
      </c>
      <c r="C1407" t="s">
        <v>78</v>
      </c>
      <c r="D1407" t="s">
        <v>79</v>
      </c>
      <c r="E1407" t="s">
        <v>80</v>
      </c>
      <c r="F1407" t="s">
        <v>30</v>
      </c>
      <c r="G1407" t="s">
        <v>24</v>
      </c>
      <c r="H1407">
        <v>6</v>
      </c>
      <c r="I1407">
        <v>20</v>
      </c>
      <c r="J1407">
        <v>58.22</v>
      </c>
      <c r="K1407">
        <v>53</v>
      </c>
      <c r="L1407">
        <v>1164.4000000000001</v>
      </c>
      <c r="M1407">
        <v>104.4</v>
      </c>
      <c r="N1407" s="1">
        <v>38106</v>
      </c>
      <c r="O1407" t="s">
        <v>25</v>
      </c>
      <c r="P1407">
        <v>2</v>
      </c>
      <c r="Q1407">
        <v>4</v>
      </c>
      <c r="R1407">
        <v>2004</v>
      </c>
      <c r="S1407" t="s">
        <v>226</v>
      </c>
    </row>
    <row r="1408" spans="1:19" x14ac:dyDescent="0.25">
      <c r="A1408">
        <v>10356</v>
      </c>
      <c r="B1408" t="s">
        <v>231</v>
      </c>
      <c r="C1408" t="s">
        <v>31</v>
      </c>
      <c r="D1408" t="s">
        <v>32</v>
      </c>
      <c r="E1408" t="s">
        <v>29</v>
      </c>
      <c r="F1408" t="s">
        <v>30</v>
      </c>
      <c r="G1408" t="s">
        <v>24</v>
      </c>
      <c r="H1408">
        <v>6</v>
      </c>
      <c r="I1408">
        <v>22</v>
      </c>
      <c r="J1408">
        <v>72.41</v>
      </c>
      <c r="K1408">
        <v>53</v>
      </c>
      <c r="L1408">
        <v>1593.02</v>
      </c>
      <c r="M1408">
        <v>427.02</v>
      </c>
      <c r="N1408" s="1">
        <v>38330</v>
      </c>
      <c r="O1408" t="s">
        <v>25</v>
      </c>
      <c r="P1408">
        <v>4</v>
      </c>
      <c r="Q1408">
        <v>12</v>
      </c>
      <c r="R1408">
        <v>2004</v>
      </c>
      <c r="S1408" t="s">
        <v>226</v>
      </c>
    </row>
    <row r="1409" spans="1:19" x14ac:dyDescent="0.25">
      <c r="A1409">
        <v>10172</v>
      </c>
      <c r="B1409" t="s">
        <v>232</v>
      </c>
      <c r="C1409" t="s">
        <v>54</v>
      </c>
      <c r="D1409" t="s">
        <v>55</v>
      </c>
      <c r="E1409" t="s">
        <v>22</v>
      </c>
      <c r="F1409" t="s">
        <v>23</v>
      </c>
      <c r="G1409" t="s">
        <v>33</v>
      </c>
      <c r="H1409">
        <v>6</v>
      </c>
      <c r="I1409">
        <v>42</v>
      </c>
      <c r="J1409">
        <v>100</v>
      </c>
      <c r="K1409">
        <v>124</v>
      </c>
      <c r="L1409">
        <v>4965.24</v>
      </c>
      <c r="M1409">
        <v>-242.76</v>
      </c>
      <c r="N1409" s="1">
        <v>37930</v>
      </c>
      <c r="O1409" t="s">
        <v>25</v>
      </c>
      <c r="P1409">
        <v>4</v>
      </c>
      <c r="Q1409">
        <v>11</v>
      </c>
      <c r="R1409">
        <v>2003</v>
      </c>
      <c r="S1409" t="s">
        <v>83</v>
      </c>
    </row>
    <row r="1410" spans="1:19" x14ac:dyDescent="0.25">
      <c r="A1410">
        <v>10212</v>
      </c>
      <c r="B1410" t="s">
        <v>232</v>
      </c>
      <c r="C1410" t="s">
        <v>78</v>
      </c>
      <c r="D1410" t="s">
        <v>79</v>
      </c>
      <c r="E1410" t="s">
        <v>80</v>
      </c>
      <c r="F1410" t="s">
        <v>30</v>
      </c>
      <c r="G1410" t="s">
        <v>33</v>
      </c>
      <c r="H1410">
        <v>6</v>
      </c>
      <c r="I1410">
        <v>38</v>
      </c>
      <c r="J1410">
        <v>100</v>
      </c>
      <c r="K1410">
        <v>124</v>
      </c>
      <c r="L1410">
        <v>4492.3599999999997</v>
      </c>
      <c r="M1410">
        <v>-219.64</v>
      </c>
      <c r="N1410" s="1">
        <v>38002</v>
      </c>
      <c r="O1410" t="s">
        <v>25</v>
      </c>
      <c r="P1410">
        <v>1</v>
      </c>
      <c r="Q1410">
        <v>1</v>
      </c>
      <c r="R1410">
        <v>2004</v>
      </c>
      <c r="S1410" t="s">
        <v>83</v>
      </c>
    </row>
    <row r="1411" spans="1:19" x14ac:dyDescent="0.25">
      <c r="A1411">
        <v>10321</v>
      </c>
      <c r="B1411" t="s">
        <v>232</v>
      </c>
      <c r="C1411" t="s">
        <v>73</v>
      </c>
      <c r="D1411" t="s">
        <v>74</v>
      </c>
      <c r="E1411" t="s">
        <v>22</v>
      </c>
      <c r="F1411" t="s">
        <v>23</v>
      </c>
      <c r="G1411" t="s">
        <v>33</v>
      </c>
      <c r="H1411">
        <v>6</v>
      </c>
      <c r="I1411">
        <v>44</v>
      </c>
      <c r="J1411">
        <v>100</v>
      </c>
      <c r="K1411">
        <v>124</v>
      </c>
      <c r="L1411">
        <v>4489.76</v>
      </c>
      <c r="M1411">
        <v>-966.24</v>
      </c>
      <c r="N1411" s="1">
        <v>38295</v>
      </c>
      <c r="O1411" t="s">
        <v>25</v>
      </c>
      <c r="P1411">
        <v>4</v>
      </c>
      <c r="Q1411">
        <v>11</v>
      </c>
      <c r="R1411">
        <v>2004</v>
      </c>
      <c r="S1411" t="s">
        <v>83</v>
      </c>
    </row>
    <row r="1412" spans="1:19" x14ac:dyDescent="0.25">
      <c r="A1412">
        <v>10327</v>
      </c>
      <c r="B1412" t="s">
        <v>233</v>
      </c>
      <c r="C1412" t="s">
        <v>135</v>
      </c>
      <c r="D1412" t="s">
        <v>136</v>
      </c>
      <c r="E1412" t="s">
        <v>137</v>
      </c>
      <c r="F1412" t="s">
        <v>30</v>
      </c>
      <c r="G1412" t="s">
        <v>24</v>
      </c>
      <c r="H1412">
        <v>6</v>
      </c>
      <c r="I1412">
        <v>25</v>
      </c>
      <c r="J1412">
        <v>100</v>
      </c>
      <c r="K1412">
        <v>157</v>
      </c>
      <c r="L1412">
        <v>2804.75</v>
      </c>
      <c r="M1412">
        <v>-1120.25</v>
      </c>
      <c r="N1412" s="1">
        <v>38301</v>
      </c>
      <c r="O1412" t="s">
        <v>169</v>
      </c>
      <c r="P1412">
        <v>4</v>
      </c>
      <c r="Q1412">
        <v>11</v>
      </c>
      <c r="R1412">
        <v>2004</v>
      </c>
      <c r="S1412" t="s">
        <v>234</v>
      </c>
    </row>
    <row r="1413" spans="1:19" x14ac:dyDescent="0.25">
      <c r="A1413">
        <v>10124</v>
      </c>
      <c r="B1413" t="s">
        <v>240</v>
      </c>
      <c r="C1413" t="s">
        <v>221</v>
      </c>
      <c r="D1413" t="s">
        <v>222</v>
      </c>
      <c r="E1413" t="s">
        <v>22</v>
      </c>
      <c r="F1413" t="s">
        <v>23</v>
      </c>
      <c r="G1413" t="s">
        <v>24</v>
      </c>
      <c r="H1413">
        <v>6</v>
      </c>
      <c r="I1413">
        <v>21</v>
      </c>
      <c r="J1413">
        <v>100</v>
      </c>
      <c r="K1413">
        <v>170</v>
      </c>
      <c r="L1413">
        <v>2856</v>
      </c>
      <c r="M1413">
        <v>-714</v>
      </c>
      <c r="N1413" s="1">
        <v>37762</v>
      </c>
      <c r="O1413" t="s">
        <v>25</v>
      </c>
      <c r="P1413">
        <v>2</v>
      </c>
      <c r="Q1413">
        <v>5</v>
      </c>
      <c r="R1413">
        <v>2003</v>
      </c>
      <c r="S1413" t="s">
        <v>226</v>
      </c>
    </row>
    <row r="1414" spans="1:19" x14ac:dyDescent="0.25">
      <c r="A1414">
        <v>10122</v>
      </c>
      <c r="B1414" t="s">
        <v>241</v>
      </c>
      <c r="C1414" t="s">
        <v>176</v>
      </c>
      <c r="D1414" t="s">
        <v>177</v>
      </c>
      <c r="E1414" t="s">
        <v>29</v>
      </c>
      <c r="F1414" t="s">
        <v>30</v>
      </c>
      <c r="G1414" t="s">
        <v>33</v>
      </c>
      <c r="H1414">
        <v>6</v>
      </c>
      <c r="I1414">
        <v>43</v>
      </c>
      <c r="J1414">
        <v>72.38</v>
      </c>
      <c r="K1414">
        <v>77</v>
      </c>
      <c r="L1414">
        <v>3112.34</v>
      </c>
      <c r="M1414">
        <v>-198.66</v>
      </c>
      <c r="N1414" s="1">
        <v>37749</v>
      </c>
      <c r="O1414" t="s">
        <v>25</v>
      </c>
      <c r="P1414">
        <v>2</v>
      </c>
      <c r="Q1414">
        <v>5</v>
      </c>
      <c r="R1414">
        <v>2003</v>
      </c>
      <c r="S1414" t="s">
        <v>83</v>
      </c>
    </row>
    <row r="1415" spans="1:19" x14ac:dyDescent="0.25">
      <c r="A1415">
        <v>10310</v>
      </c>
      <c r="B1415" t="s">
        <v>241</v>
      </c>
      <c r="C1415" t="s">
        <v>178</v>
      </c>
      <c r="D1415" t="s">
        <v>179</v>
      </c>
      <c r="E1415" t="s">
        <v>180</v>
      </c>
      <c r="F1415" t="s">
        <v>30</v>
      </c>
      <c r="G1415" t="s">
        <v>24</v>
      </c>
      <c r="H1415">
        <v>6</v>
      </c>
      <c r="I1415">
        <v>20</v>
      </c>
      <c r="J1415">
        <v>91.63</v>
      </c>
      <c r="K1415">
        <v>77</v>
      </c>
      <c r="L1415">
        <v>1832.6</v>
      </c>
      <c r="M1415">
        <v>292.60000000000002</v>
      </c>
      <c r="N1415" s="1">
        <v>38276</v>
      </c>
      <c r="O1415" t="s">
        <v>25</v>
      </c>
      <c r="P1415">
        <v>4</v>
      </c>
      <c r="Q1415">
        <v>10</v>
      </c>
      <c r="R1415">
        <v>2004</v>
      </c>
      <c r="S1415" t="s">
        <v>83</v>
      </c>
    </row>
    <row r="1416" spans="1:19" x14ac:dyDescent="0.25">
      <c r="A1416">
        <v>10377</v>
      </c>
      <c r="B1416" t="s">
        <v>242</v>
      </c>
      <c r="C1416" t="s">
        <v>60</v>
      </c>
      <c r="D1416" t="s">
        <v>61</v>
      </c>
      <c r="E1416" t="s">
        <v>62</v>
      </c>
      <c r="F1416" t="s">
        <v>30</v>
      </c>
      <c r="G1416" t="s">
        <v>33</v>
      </c>
      <c r="H1416">
        <v>6</v>
      </c>
      <c r="I1416">
        <v>36</v>
      </c>
      <c r="J1416">
        <v>100</v>
      </c>
      <c r="K1416">
        <v>142</v>
      </c>
      <c r="L1416">
        <v>4352.76</v>
      </c>
      <c r="M1416">
        <v>-759.24</v>
      </c>
      <c r="N1416" s="1">
        <v>38392</v>
      </c>
      <c r="O1416" t="s">
        <v>25</v>
      </c>
      <c r="P1416">
        <v>1</v>
      </c>
      <c r="Q1416">
        <v>2</v>
      </c>
      <c r="R1416">
        <v>2005</v>
      </c>
      <c r="S1416" t="s">
        <v>83</v>
      </c>
    </row>
    <row r="1417" spans="1:19" x14ac:dyDescent="0.25">
      <c r="A1417">
        <v>10207</v>
      </c>
      <c r="B1417" t="s">
        <v>243</v>
      </c>
      <c r="C1417" t="s">
        <v>170</v>
      </c>
      <c r="D1417" t="s">
        <v>157</v>
      </c>
      <c r="E1417" t="s">
        <v>22</v>
      </c>
      <c r="F1417" t="s">
        <v>23</v>
      </c>
      <c r="G1417" t="s">
        <v>70</v>
      </c>
      <c r="H1417">
        <v>6</v>
      </c>
      <c r="I1417">
        <v>44</v>
      </c>
      <c r="J1417">
        <v>100</v>
      </c>
      <c r="K1417">
        <v>163</v>
      </c>
      <c r="L1417">
        <v>7060.24</v>
      </c>
      <c r="M1417">
        <v>-111.76</v>
      </c>
      <c r="N1417" s="1">
        <v>37964</v>
      </c>
      <c r="O1417" t="s">
        <v>25</v>
      </c>
      <c r="P1417">
        <v>4</v>
      </c>
      <c r="Q1417">
        <v>12</v>
      </c>
      <c r="R1417">
        <v>2003</v>
      </c>
      <c r="S1417" t="s">
        <v>83</v>
      </c>
    </row>
    <row r="1418" spans="1:19" x14ac:dyDescent="0.25">
      <c r="A1418">
        <v>10336</v>
      </c>
      <c r="B1418" t="s">
        <v>243</v>
      </c>
      <c r="C1418" t="s">
        <v>166</v>
      </c>
      <c r="D1418" t="s">
        <v>32</v>
      </c>
      <c r="E1418" t="s">
        <v>29</v>
      </c>
      <c r="F1418" t="s">
        <v>30</v>
      </c>
      <c r="G1418" t="s">
        <v>70</v>
      </c>
      <c r="H1418">
        <v>6</v>
      </c>
      <c r="I1418">
        <v>49</v>
      </c>
      <c r="J1418">
        <v>100</v>
      </c>
      <c r="K1418">
        <v>163</v>
      </c>
      <c r="L1418">
        <v>7460.74</v>
      </c>
      <c r="M1418">
        <v>-526.26</v>
      </c>
      <c r="N1418" s="1">
        <v>38311</v>
      </c>
      <c r="O1418" t="s">
        <v>25</v>
      </c>
      <c r="P1418">
        <v>4</v>
      </c>
      <c r="Q1418">
        <v>11</v>
      </c>
      <c r="R1418">
        <v>2004</v>
      </c>
      <c r="S1418" t="s">
        <v>83</v>
      </c>
    </row>
    <row r="1419" spans="1:19" x14ac:dyDescent="0.25">
      <c r="A1419">
        <v>10110</v>
      </c>
      <c r="B1419" t="s">
        <v>244</v>
      </c>
      <c r="C1419" t="s">
        <v>197</v>
      </c>
      <c r="D1419" t="s">
        <v>198</v>
      </c>
      <c r="E1419" t="s">
        <v>77</v>
      </c>
      <c r="F1419" t="s">
        <v>30</v>
      </c>
      <c r="G1419" t="s">
        <v>24</v>
      </c>
      <c r="H1419">
        <v>6</v>
      </c>
      <c r="I1419">
        <v>32</v>
      </c>
      <c r="J1419">
        <v>50.25</v>
      </c>
      <c r="K1419">
        <v>60</v>
      </c>
      <c r="L1419">
        <v>1608</v>
      </c>
      <c r="M1419">
        <v>-312</v>
      </c>
      <c r="N1419" s="1">
        <v>37698</v>
      </c>
      <c r="O1419" t="s">
        <v>25</v>
      </c>
      <c r="P1419">
        <v>1</v>
      </c>
      <c r="Q1419">
        <v>3</v>
      </c>
      <c r="R1419">
        <v>2003</v>
      </c>
      <c r="S1419" t="s">
        <v>226</v>
      </c>
    </row>
    <row r="1420" spans="1:19" x14ac:dyDescent="0.25">
      <c r="A1420">
        <v>10214</v>
      </c>
      <c r="B1420" t="s">
        <v>244</v>
      </c>
      <c r="C1420" t="s">
        <v>87</v>
      </c>
      <c r="D1420" t="s">
        <v>79</v>
      </c>
      <c r="E1420" t="s">
        <v>80</v>
      </c>
      <c r="F1420" t="s">
        <v>30</v>
      </c>
      <c r="G1420" t="s">
        <v>24</v>
      </c>
      <c r="H1420">
        <v>6</v>
      </c>
      <c r="I1420">
        <v>21</v>
      </c>
      <c r="J1420">
        <v>62.96</v>
      </c>
      <c r="K1420">
        <v>60</v>
      </c>
      <c r="L1420">
        <v>1322.16</v>
      </c>
      <c r="M1420">
        <v>62.16</v>
      </c>
      <c r="N1420" s="1">
        <v>38012</v>
      </c>
      <c r="O1420" t="s">
        <v>25</v>
      </c>
      <c r="P1420">
        <v>1</v>
      </c>
      <c r="Q1420">
        <v>1</v>
      </c>
      <c r="R1420">
        <v>2004</v>
      </c>
      <c r="S1420" t="s">
        <v>226</v>
      </c>
    </row>
    <row r="1421" spans="1:19" x14ac:dyDescent="0.25">
      <c r="A1421">
        <v>10151</v>
      </c>
      <c r="B1421" t="s">
        <v>245</v>
      </c>
      <c r="C1421" t="s">
        <v>160</v>
      </c>
      <c r="D1421" t="s">
        <v>161</v>
      </c>
      <c r="E1421" t="s">
        <v>62</v>
      </c>
      <c r="F1421" t="s">
        <v>30</v>
      </c>
      <c r="G1421" t="s">
        <v>33</v>
      </c>
      <c r="H1421">
        <v>6</v>
      </c>
      <c r="I1421">
        <v>49</v>
      </c>
      <c r="J1421">
        <v>100</v>
      </c>
      <c r="K1421">
        <v>122</v>
      </c>
      <c r="L1421">
        <v>5412.54</v>
      </c>
      <c r="M1421">
        <v>-565.46</v>
      </c>
      <c r="N1421" s="1">
        <v>37885</v>
      </c>
      <c r="O1421" t="s">
        <v>25</v>
      </c>
      <c r="P1421">
        <v>3</v>
      </c>
      <c r="Q1421">
        <v>9</v>
      </c>
      <c r="R1421">
        <v>2003</v>
      </c>
      <c r="S1421" t="s">
        <v>202</v>
      </c>
    </row>
    <row r="1422" spans="1:19" x14ac:dyDescent="0.25">
      <c r="A1422">
        <v>10334</v>
      </c>
      <c r="B1422" t="s">
        <v>245</v>
      </c>
      <c r="C1422" t="s">
        <v>84</v>
      </c>
      <c r="D1422" t="s">
        <v>85</v>
      </c>
      <c r="E1422" t="s">
        <v>86</v>
      </c>
      <c r="F1422" t="s">
        <v>30</v>
      </c>
      <c r="G1422" t="s">
        <v>33</v>
      </c>
      <c r="H1422">
        <v>6</v>
      </c>
      <c r="I1422">
        <v>46</v>
      </c>
      <c r="J1422">
        <v>100</v>
      </c>
      <c r="K1422">
        <v>122</v>
      </c>
      <c r="L1422">
        <v>5814.86</v>
      </c>
      <c r="M1422">
        <v>202.86</v>
      </c>
      <c r="N1422" s="1">
        <v>38310</v>
      </c>
      <c r="O1422" t="s">
        <v>164</v>
      </c>
      <c r="P1422">
        <v>4</v>
      </c>
      <c r="Q1422">
        <v>11</v>
      </c>
      <c r="R1422">
        <v>2004</v>
      </c>
      <c r="S1422" t="s">
        <v>202</v>
      </c>
    </row>
    <row r="1423" spans="1:19" x14ac:dyDescent="0.25">
      <c r="A1423">
        <v>10162</v>
      </c>
      <c r="B1423" t="s">
        <v>246</v>
      </c>
      <c r="C1423" t="s">
        <v>36</v>
      </c>
      <c r="D1423" t="s">
        <v>37</v>
      </c>
      <c r="E1423" t="s">
        <v>22</v>
      </c>
      <c r="F1423" t="s">
        <v>23</v>
      </c>
      <c r="G1423" t="s">
        <v>33</v>
      </c>
      <c r="H1423">
        <v>6</v>
      </c>
      <c r="I1423">
        <v>38</v>
      </c>
      <c r="J1423">
        <v>100</v>
      </c>
      <c r="K1423">
        <v>127</v>
      </c>
      <c r="L1423">
        <v>4299.7</v>
      </c>
      <c r="M1423">
        <v>-526.29999999999995</v>
      </c>
      <c r="N1423" s="1">
        <v>37912</v>
      </c>
      <c r="O1423" t="s">
        <v>25</v>
      </c>
      <c r="P1423">
        <v>4</v>
      </c>
      <c r="Q1423">
        <v>10</v>
      </c>
      <c r="R1423">
        <v>2003</v>
      </c>
      <c r="S1423" t="s">
        <v>226</v>
      </c>
    </row>
    <row r="1424" spans="1:19" x14ac:dyDescent="0.25">
      <c r="A1424">
        <v>10322</v>
      </c>
      <c r="B1424" t="s">
        <v>246</v>
      </c>
      <c r="C1424" t="s">
        <v>117</v>
      </c>
      <c r="D1424" t="s">
        <v>118</v>
      </c>
      <c r="E1424" t="s">
        <v>22</v>
      </c>
      <c r="F1424" t="s">
        <v>23</v>
      </c>
      <c r="G1424" t="s">
        <v>70</v>
      </c>
      <c r="H1424">
        <v>6</v>
      </c>
      <c r="I1424">
        <v>50</v>
      </c>
      <c r="J1424">
        <v>100</v>
      </c>
      <c r="K1424">
        <v>127</v>
      </c>
      <c r="L1424">
        <v>12536.5</v>
      </c>
      <c r="M1424">
        <v>6186.5</v>
      </c>
      <c r="N1424" s="1">
        <v>38295</v>
      </c>
      <c r="O1424" t="s">
        <v>25</v>
      </c>
      <c r="P1424">
        <v>4</v>
      </c>
      <c r="Q1424">
        <v>11</v>
      </c>
      <c r="R1424">
        <v>2004</v>
      </c>
      <c r="S1424" t="s">
        <v>226</v>
      </c>
    </row>
    <row r="1425" spans="1:19" x14ac:dyDescent="0.25">
      <c r="A1425">
        <v>10114</v>
      </c>
      <c r="B1425" t="s">
        <v>247</v>
      </c>
      <c r="C1425" t="s">
        <v>166</v>
      </c>
      <c r="D1425" t="s">
        <v>32</v>
      </c>
      <c r="E1425" t="s">
        <v>29</v>
      </c>
      <c r="F1425" t="s">
        <v>30</v>
      </c>
      <c r="G1425" t="s">
        <v>33</v>
      </c>
      <c r="H1425">
        <v>6</v>
      </c>
      <c r="I1425">
        <v>45</v>
      </c>
      <c r="J1425">
        <v>68.67</v>
      </c>
      <c r="K1425">
        <v>60</v>
      </c>
      <c r="L1425">
        <v>3090.15</v>
      </c>
      <c r="M1425">
        <v>390.15</v>
      </c>
      <c r="N1425" s="1">
        <v>37712</v>
      </c>
      <c r="O1425" t="s">
        <v>25</v>
      </c>
      <c r="P1425">
        <v>2</v>
      </c>
      <c r="Q1425">
        <v>4</v>
      </c>
      <c r="R1425">
        <v>2003</v>
      </c>
      <c r="S1425" t="s">
        <v>202</v>
      </c>
    </row>
    <row r="1426" spans="1:19" x14ac:dyDescent="0.25">
      <c r="A1426">
        <v>10107</v>
      </c>
      <c r="B1426" t="s">
        <v>249</v>
      </c>
      <c r="C1426" t="s">
        <v>20</v>
      </c>
      <c r="D1426" t="s">
        <v>21</v>
      </c>
      <c r="E1426" t="s">
        <v>22</v>
      </c>
      <c r="F1426" t="s">
        <v>23</v>
      </c>
      <c r="G1426" t="s">
        <v>24</v>
      </c>
      <c r="H1426">
        <v>6</v>
      </c>
      <c r="I1426">
        <v>29</v>
      </c>
      <c r="J1426">
        <v>70.87</v>
      </c>
      <c r="K1426">
        <v>60</v>
      </c>
      <c r="L1426">
        <v>2055.23</v>
      </c>
      <c r="M1426">
        <v>315.23</v>
      </c>
      <c r="N1426" s="1">
        <v>37676</v>
      </c>
      <c r="O1426" t="s">
        <v>25</v>
      </c>
      <c r="P1426">
        <v>1</v>
      </c>
      <c r="Q1426">
        <v>2</v>
      </c>
      <c r="R1426">
        <v>2003</v>
      </c>
      <c r="S1426" t="s">
        <v>26</v>
      </c>
    </row>
    <row r="1427" spans="1:19" x14ac:dyDescent="0.25">
      <c r="A1427">
        <v>10134</v>
      </c>
      <c r="B1427" t="s">
        <v>249</v>
      </c>
      <c r="C1427" t="s">
        <v>31</v>
      </c>
      <c r="D1427" t="s">
        <v>32</v>
      </c>
      <c r="E1427" t="s">
        <v>29</v>
      </c>
      <c r="F1427" t="s">
        <v>30</v>
      </c>
      <c r="G1427" t="s">
        <v>24</v>
      </c>
      <c r="H1427">
        <v>6</v>
      </c>
      <c r="I1427">
        <v>30</v>
      </c>
      <c r="J1427">
        <v>61.78</v>
      </c>
      <c r="K1427">
        <v>60</v>
      </c>
      <c r="L1427">
        <v>1853.4</v>
      </c>
      <c r="M1427">
        <v>53.4</v>
      </c>
      <c r="N1427" s="1">
        <v>37803</v>
      </c>
      <c r="O1427" t="s">
        <v>25</v>
      </c>
      <c r="P1427">
        <v>3</v>
      </c>
      <c r="Q1427">
        <v>7</v>
      </c>
      <c r="R1427">
        <v>2003</v>
      </c>
      <c r="S1427" t="s">
        <v>26</v>
      </c>
    </row>
    <row r="1428" spans="1:19" x14ac:dyDescent="0.25">
      <c r="A1428">
        <v>10201</v>
      </c>
      <c r="B1428" t="s">
        <v>249</v>
      </c>
      <c r="C1428" t="s">
        <v>45</v>
      </c>
      <c r="D1428" t="s">
        <v>37</v>
      </c>
      <c r="E1428" t="s">
        <v>22</v>
      </c>
      <c r="F1428" t="s">
        <v>23</v>
      </c>
      <c r="G1428" t="s">
        <v>24</v>
      </c>
      <c r="H1428">
        <v>6</v>
      </c>
      <c r="I1428">
        <v>30</v>
      </c>
      <c r="J1428">
        <v>64.81</v>
      </c>
      <c r="K1428">
        <v>60</v>
      </c>
      <c r="L1428">
        <v>1944.3</v>
      </c>
      <c r="M1428">
        <v>144.30000000000001</v>
      </c>
      <c r="N1428" s="1">
        <v>37956</v>
      </c>
      <c r="O1428" t="s">
        <v>25</v>
      </c>
      <c r="P1428">
        <v>4</v>
      </c>
      <c r="Q1428">
        <v>12</v>
      </c>
      <c r="R1428">
        <v>2003</v>
      </c>
      <c r="S1428" t="s">
        <v>26</v>
      </c>
    </row>
    <row r="1429" spans="1:19" x14ac:dyDescent="0.25">
      <c r="A1429">
        <v>10251</v>
      </c>
      <c r="B1429" t="s">
        <v>249</v>
      </c>
      <c r="C1429" t="s">
        <v>52</v>
      </c>
      <c r="D1429" t="s">
        <v>53</v>
      </c>
      <c r="E1429" t="s">
        <v>22</v>
      </c>
      <c r="F1429" t="s">
        <v>23</v>
      </c>
      <c r="G1429" t="s">
        <v>24</v>
      </c>
      <c r="H1429">
        <v>6</v>
      </c>
      <c r="I1429">
        <v>29</v>
      </c>
      <c r="J1429">
        <v>61.18</v>
      </c>
      <c r="K1429">
        <v>60</v>
      </c>
      <c r="L1429">
        <v>1774.22</v>
      </c>
      <c r="M1429">
        <v>34.22</v>
      </c>
      <c r="N1429" s="1">
        <v>38125</v>
      </c>
      <c r="O1429" t="s">
        <v>25</v>
      </c>
      <c r="P1429">
        <v>2</v>
      </c>
      <c r="Q1429">
        <v>5</v>
      </c>
      <c r="R1429">
        <v>2004</v>
      </c>
      <c r="S1429" t="s">
        <v>26</v>
      </c>
    </row>
    <row r="1430" spans="1:19" x14ac:dyDescent="0.25">
      <c r="A1430">
        <v>10263</v>
      </c>
      <c r="B1430" t="s">
        <v>249</v>
      </c>
      <c r="C1430" t="s">
        <v>54</v>
      </c>
      <c r="D1430" t="s">
        <v>55</v>
      </c>
      <c r="E1430" t="s">
        <v>22</v>
      </c>
      <c r="F1430" t="s">
        <v>23</v>
      </c>
      <c r="G1430" t="s">
        <v>24</v>
      </c>
      <c r="H1430">
        <v>6</v>
      </c>
      <c r="I1430">
        <v>34</v>
      </c>
      <c r="J1430">
        <v>58.75</v>
      </c>
      <c r="K1430">
        <v>60</v>
      </c>
      <c r="L1430">
        <v>1997.5</v>
      </c>
      <c r="M1430">
        <v>-42.5</v>
      </c>
      <c r="N1430" s="1">
        <v>38166</v>
      </c>
      <c r="O1430" t="s">
        <v>25</v>
      </c>
      <c r="P1430">
        <v>2</v>
      </c>
      <c r="Q1430">
        <v>6</v>
      </c>
      <c r="R1430">
        <v>2004</v>
      </c>
      <c r="S1430" t="s">
        <v>26</v>
      </c>
    </row>
    <row r="1431" spans="1:19" x14ac:dyDescent="0.25">
      <c r="A1431">
        <v>10417</v>
      </c>
      <c r="B1431" t="s">
        <v>249</v>
      </c>
      <c r="C1431" t="s">
        <v>78</v>
      </c>
      <c r="D1431" t="s">
        <v>79</v>
      </c>
      <c r="E1431" t="s">
        <v>80</v>
      </c>
      <c r="F1431" t="s">
        <v>30</v>
      </c>
      <c r="G1431" t="s">
        <v>24</v>
      </c>
      <c r="H1431">
        <v>6</v>
      </c>
      <c r="I1431">
        <v>36</v>
      </c>
      <c r="J1431">
        <v>61.18</v>
      </c>
      <c r="K1431">
        <v>60</v>
      </c>
      <c r="L1431">
        <v>2202.48</v>
      </c>
      <c r="M1431">
        <v>42.48</v>
      </c>
      <c r="N1431" s="1">
        <v>38485</v>
      </c>
      <c r="O1431" t="s">
        <v>81</v>
      </c>
      <c r="P1431">
        <v>2</v>
      </c>
      <c r="Q1431">
        <v>5</v>
      </c>
      <c r="R1431">
        <v>2005</v>
      </c>
      <c r="S1431" t="s">
        <v>26</v>
      </c>
    </row>
    <row r="1432" spans="1:19" x14ac:dyDescent="0.25">
      <c r="A1432">
        <v>10347</v>
      </c>
      <c r="B1432" t="s">
        <v>250</v>
      </c>
      <c r="C1432" t="s">
        <v>47</v>
      </c>
      <c r="D1432" t="s">
        <v>48</v>
      </c>
      <c r="E1432" t="s">
        <v>49</v>
      </c>
      <c r="F1432" t="s">
        <v>50</v>
      </c>
      <c r="G1432" t="s">
        <v>33</v>
      </c>
      <c r="H1432">
        <v>6</v>
      </c>
      <c r="I1432">
        <v>21</v>
      </c>
      <c r="J1432">
        <v>100</v>
      </c>
      <c r="K1432">
        <v>168</v>
      </c>
      <c r="L1432">
        <v>4815.3</v>
      </c>
      <c r="M1432">
        <v>1287.3</v>
      </c>
      <c r="N1432" s="1">
        <v>38320</v>
      </c>
      <c r="O1432" t="s">
        <v>25</v>
      </c>
      <c r="P1432">
        <v>4</v>
      </c>
      <c r="Q1432">
        <v>11</v>
      </c>
      <c r="R1432">
        <v>2004</v>
      </c>
      <c r="S1432" t="s">
        <v>226</v>
      </c>
    </row>
    <row r="1433" spans="1:19" x14ac:dyDescent="0.25">
      <c r="A1433">
        <v>10357</v>
      </c>
      <c r="B1433" t="s">
        <v>252</v>
      </c>
      <c r="C1433" t="s">
        <v>115</v>
      </c>
      <c r="D1433" t="s">
        <v>116</v>
      </c>
      <c r="E1433" t="s">
        <v>22</v>
      </c>
      <c r="F1433" t="s">
        <v>23</v>
      </c>
      <c r="G1433" t="s">
        <v>33</v>
      </c>
      <c r="H1433">
        <v>6</v>
      </c>
      <c r="I1433">
        <v>41</v>
      </c>
      <c r="J1433">
        <v>87.13</v>
      </c>
      <c r="K1433">
        <v>101</v>
      </c>
      <c r="L1433">
        <v>3572.33</v>
      </c>
      <c r="M1433">
        <v>-568.66999999999996</v>
      </c>
      <c r="N1433" s="1">
        <v>38331</v>
      </c>
      <c r="O1433" t="s">
        <v>25</v>
      </c>
      <c r="P1433">
        <v>4</v>
      </c>
      <c r="Q1433">
        <v>12</v>
      </c>
      <c r="R1433">
        <v>2004</v>
      </c>
      <c r="S1433" t="s">
        <v>226</v>
      </c>
    </row>
    <row r="1434" spans="1:19" x14ac:dyDescent="0.25">
      <c r="A1434">
        <v>10391</v>
      </c>
      <c r="B1434" t="s">
        <v>252</v>
      </c>
      <c r="C1434" t="s">
        <v>121</v>
      </c>
      <c r="D1434" t="s">
        <v>122</v>
      </c>
      <c r="E1434" t="s">
        <v>49</v>
      </c>
      <c r="F1434" t="s">
        <v>50</v>
      </c>
      <c r="G1434" t="s">
        <v>24</v>
      </c>
      <c r="H1434">
        <v>6</v>
      </c>
      <c r="I1434">
        <v>32</v>
      </c>
      <c r="J1434">
        <v>45.25</v>
      </c>
      <c r="K1434">
        <v>101</v>
      </c>
      <c r="L1434">
        <v>1448</v>
      </c>
      <c r="M1434">
        <v>-1784</v>
      </c>
      <c r="N1434" s="1">
        <v>38420</v>
      </c>
      <c r="O1434" t="s">
        <v>25</v>
      </c>
      <c r="P1434">
        <v>1</v>
      </c>
      <c r="Q1434">
        <v>3</v>
      </c>
      <c r="R1434">
        <v>2005</v>
      </c>
      <c r="S1434" t="s">
        <v>226</v>
      </c>
    </row>
    <row r="1435" spans="1:19" x14ac:dyDescent="0.25">
      <c r="A1435">
        <v>10215</v>
      </c>
      <c r="B1435" t="s">
        <v>253</v>
      </c>
      <c r="C1435" t="s">
        <v>100</v>
      </c>
      <c r="D1435" t="s">
        <v>101</v>
      </c>
      <c r="E1435" t="s">
        <v>22</v>
      </c>
      <c r="F1435" t="s">
        <v>23</v>
      </c>
      <c r="G1435" t="s">
        <v>24</v>
      </c>
      <c r="H1435">
        <v>6</v>
      </c>
      <c r="I1435">
        <v>31</v>
      </c>
      <c r="J1435">
        <v>58.71</v>
      </c>
      <c r="K1435">
        <v>62</v>
      </c>
      <c r="L1435">
        <v>1820.01</v>
      </c>
      <c r="M1435">
        <v>-101.99</v>
      </c>
      <c r="N1435" s="1">
        <v>38015</v>
      </c>
      <c r="O1435" t="s">
        <v>25</v>
      </c>
      <c r="P1435">
        <v>1</v>
      </c>
      <c r="Q1435">
        <v>1</v>
      </c>
      <c r="R1435">
        <v>2004</v>
      </c>
      <c r="S1435" t="s">
        <v>226</v>
      </c>
    </row>
    <row r="1436" spans="1:19" x14ac:dyDescent="0.25">
      <c r="A1436">
        <v>10312</v>
      </c>
      <c r="B1436" t="s">
        <v>253</v>
      </c>
      <c r="C1436" t="s">
        <v>115</v>
      </c>
      <c r="D1436" t="s">
        <v>116</v>
      </c>
      <c r="E1436" t="s">
        <v>22</v>
      </c>
      <c r="F1436" t="s">
        <v>23</v>
      </c>
      <c r="G1436" t="s">
        <v>24</v>
      </c>
      <c r="H1436">
        <v>6</v>
      </c>
      <c r="I1436">
        <v>35</v>
      </c>
      <c r="J1436">
        <v>53.72</v>
      </c>
      <c r="K1436">
        <v>62</v>
      </c>
      <c r="L1436">
        <v>1880.2</v>
      </c>
      <c r="M1436">
        <v>-289.8</v>
      </c>
      <c r="N1436" s="1">
        <v>38281</v>
      </c>
      <c r="O1436" t="s">
        <v>25</v>
      </c>
      <c r="P1436">
        <v>4</v>
      </c>
      <c r="Q1436">
        <v>10</v>
      </c>
      <c r="R1436">
        <v>2004</v>
      </c>
      <c r="S1436" t="s">
        <v>226</v>
      </c>
    </row>
    <row r="1437" spans="1:19" x14ac:dyDescent="0.25">
      <c r="A1437">
        <v>10369</v>
      </c>
      <c r="B1437" t="s">
        <v>253</v>
      </c>
      <c r="C1437" t="s">
        <v>119</v>
      </c>
      <c r="D1437" t="s">
        <v>120</v>
      </c>
      <c r="E1437" t="s">
        <v>22</v>
      </c>
      <c r="F1437" t="s">
        <v>23</v>
      </c>
      <c r="G1437" t="s">
        <v>24</v>
      </c>
      <c r="H1437">
        <v>6</v>
      </c>
      <c r="I1437">
        <v>28</v>
      </c>
      <c r="J1437">
        <v>44.21</v>
      </c>
      <c r="K1437">
        <v>62</v>
      </c>
      <c r="L1437">
        <v>1237.8800000000001</v>
      </c>
      <c r="M1437">
        <v>-498.12</v>
      </c>
      <c r="N1437" s="1">
        <v>38372</v>
      </c>
      <c r="O1437" t="s">
        <v>25</v>
      </c>
      <c r="P1437">
        <v>1</v>
      </c>
      <c r="Q1437">
        <v>1</v>
      </c>
      <c r="R1437">
        <v>2005</v>
      </c>
      <c r="S1437" t="s">
        <v>226</v>
      </c>
    </row>
    <row r="1438" spans="1:19" x14ac:dyDescent="0.25">
      <c r="A1438">
        <v>10209</v>
      </c>
      <c r="B1438" t="s">
        <v>254</v>
      </c>
      <c r="C1438" t="s">
        <v>147</v>
      </c>
      <c r="D1438" t="s">
        <v>148</v>
      </c>
      <c r="E1438" t="s">
        <v>22</v>
      </c>
      <c r="F1438" t="s">
        <v>23</v>
      </c>
      <c r="G1438" t="s">
        <v>24</v>
      </c>
      <c r="H1438">
        <v>6</v>
      </c>
      <c r="I1438">
        <v>28</v>
      </c>
      <c r="J1438">
        <v>100</v>
      </c>
      <c r="K1438">
        <v>86</v>
      </c>
      <c r="L1438">
        <v>2817.92</v>
      </c>
      <c r="M1438">
        <v>409.92</v>
      </c>
      <c r="N1438" s="1">
        <v>37995</v>
      </c>
      <c r="O1438" t="s">
        <v>25</v>
      </c>
      <c r="P1438">
        <v>1</v>
      </c>
      <c r="Q1438">
        <v>1</v>
      </c>
      <c r="R1438">
        <v>2004</v>
      </c>
      <c r="S1438" t="s">
        <v>255</v>
      </c>
    </row>
    <row r="1439" spans="1:19" x14ac:dyDescent="0.25">
      <c r="A1439">
        <v>10350</v>
      </c>
      <c r="B1439" t="s">
        <v>254</v>
      </c>
      <c r="C1439" t="s">
        <v>78</v>
      </c>
      <c r="D1439" t="s">
        <v>79</v>
      </c>
      <c r="E1439" t="s">
        <v>80</v>
      </c>
      <c r="F1439" t="s">
        <v>30</v>
      </c>
      <c r="G1439" t="s">
        <v>24</v>
      </c>
      <c r="H1439">
        <v>6</v>
      </c>
      <c r="I1439">
        <v>43</v>
      </c>
      <c r="J1439">
        <v>64.97</v>
      </c>
      <c r="K1439">
        <v>86</v>
      </c>
      <c r="L1439">
        <v>2793.71</v>
      </c>
      <c r="M1439">
        <v>-904.29</v>
      </c>
      <c r="N1439" s="1">
        <v>38323</v>
      </c>
      <c r="O1439" t="s">
        <v>25</v>
      </c>
      <c r="P1439">
        <v>4</v>
      </c>
      <c r="Q1439">
        <v>12</v>
      </c>
      <c r="R1439">
        <v>2004</v>
      </c>
      <c r="S1439" t="s">
        <v>255</v>
      </c>
    </row>
    <row r="1440" spans="1:19" x14ac:dyDescent="0.25">
      <c r="A1440">
        <v>10232</v>
      </c>
      <c r="B1440" t="s">
        <v>258</v>
      </c>
      <c r="C1440" t="s">
        <v>158</v>
      </c>
      <c r="D1440" t="s">
        <v>159</v>
      </c>
      <c r="E1440" t="s">
        <v>77</v>
      </c>
      <c r="F1440" t="s">
        <v>30</v>
      </c>
      <c r="G1440" t="s">
        <v>33</v>
      </c>
      <c r="H1440">
        <v>6</v>
      </c>
      <c r="I1440">
        <v>22</v>
      </c>
      <c r="J1440">
        <v>100</v>
      </c>
      <c r="K1440">
        <v>136</v>
      </c>
      <c r="L1440">
        <v>3606.02</v>
      </c>
      <c r="M1440">
        <v>614.02</v>
      </c>
      <c r="N1440" s="1">
        <v>38066</v>
      </c>
      <c r="O1440" t="s">
        <v>25</v>
      </c>
      <c r="P1440">
        <v>1</v>
      </c>
      <c r="Q1440">
        <v>3</v>
      </c>
      <c r="R1440">
        <v>2004</v>
      </c>
      <c r="S1440" t="s">
        <v>226</v>
      </c>
    </row>
    <row r="1441" spans="1:19" x14ac:dyDescent="0.25">
      <c r="A1441">
        <v>10253</v>
      </c>
      <c r="B1441" t="s">
        <v>259</v>
      </c>
      <c r="C1441" t="s">
        <v>75</v>
      </c>
      <c r="D1441" t="s">
        <v>76</v>
      </c>
      <c r="E1441" t="s">
        <v>77</v>
      </c>
      <c r="F1441" t="s">
        <v>30</v>
      </c>
      <c r="G1441" t="s">
        <v>33</v>
      </c>
      <c r="H1441">
        <v>6</v>
      </c>
      <c r="I1441">
        <v>40</v>
      </c>
      <c r="J1441">
        <v>100</v>
      </c>
      <c r="K1441">
        <v>169</v>
      </c>
      <c r="L1441">
        <v>6773.6</v>
      </c>
      <c r="M1441">
        <v>13.6</v>
      </c>
      <c r="N1441" s="1">
        <v>38139</v>
      </c>
      <c r="O1441" t="s">
        <v>141</v>
      </c>
      <c r="P1441">
        <v>2</v>
      </c>
      <c r="Q1441">
        <v>6</v>
      </c>
      <c r="R1441">
        <v>2004</v>
      </c>
      <c r="S1441" t="s">
        <v>83</v>
      </c>
    </row>
    <row r="1442" spans="1:19" x14ac:dyDescent="0.25">
      <c r="A1442">
        <v>10349</v>
      </c>
      <c r="B1442" t="s">
        <v>259</v>
      </c>
      <c r="C1442" t="s">
        <v>192</v>
      </c>
      <c r="D1442" t="s">
        <v>21</v>
      </c>
      <c r="E1442" t="s">
        <v>22</v>
      </c>
      <c r="F1442" t="s">
        <v>23</v>
      </c>
      <c r="G1442" t="s">
        <v>70</v>
      </c>
      <c r="H1442">
        <v>6</v>
      </c>
      <c r="I1442">
        <v>48</v>
      </c>
      <c r="J1442">
        <v>100</v>
      </c>
      <c r="K1442">
        <v>169</v>
      </c>
      <c r="L1442">
        <v>7396.8</v>
      </c>
      <c r="M1442">
        <v>-715.2</v>
      </c>
      <c r="N1442" s="1">
        <v>38322</v>
      </c>
      <c r="O1442" t="s">
        <v>25</v>
      </c>
      <c r="P1442">
        <v>4</v>
      </c>
      <c r="Q1442">
        <v>12</v>
      </c>
      <c r="R1442">
        <v>2004</v>
      </c>
      <c r="S1442" t="s">
        <v>83</v>
      </c>
    </row>
    <row r="1443" spans="1:19" x14ac:dyDescent="0.25">
      <c r="A1443">
        <v>10383</v>
      </c>
      <c r="B1443" t="s">
        <v>259</v>
      </c>
      <c r="C1443" t="s">
        <v>78</v>
      </c>
      <c r="D1443" t="s">
        <v>79</v>
      </c>
      <c r="E1443" t="s">
        <v>80</v>
      </c>
      <c r="F1443" t="s">
        <v>30</v>
      </c>
      <c r="G1443" t="s">
        <v>33</v>
      </c>
      <c r="H1443">
        <v>6</v>
      </c>
      <c r="I1443">
        <v>47</v>
      </c>
      <c r="J1443">
        <v>100</v>
      </c>
      <c r="K1443">
        <v>169</v>
      </c>
      <c r="L1443">
        <v>6869.05</v>
      </c>
      <c r="M1443">
        <v>-1073.95</v>
      </c>
      <c r="N1443" s="1">
        <v>38405</v>
      </c>
      <c r="O1443" t="s">
        <v>25</v>
      </c>
      <c r="P1443">
        <v>1</v>
      </c>
      <c r="Q1443">
        <v>2</v>
      </c>
      <c r="R1443">
        <v>2005</v>
      </c>
      <c r="S1443" t="s">
        <v>83</v>
      </c>
    </row>
    <row r="1444" spans="1:19" x14ac:dyDescent="0.25">
      <c r="A1444">
        <v>10419</v>
      </c>
      <c r="B1444" t="s">
        <v>259</v>
      </c>
      <c r="C1444" t="s">
        <v>67</v>
      </c>
      <c r="D1444" t="s">
        <v>68</v>
      </c>
      <c r="E1444" t="s">
        <v>69</v>
      </c>
      <c r="F1444" t="s">
        <v>30</v>
      </c>
      <c r="G1444" t="s">
        <v>33</v>
      </c>
      <c r="H1444">
        <v>6</v>
      </c>
      <c r="I1444">
        <v>35</v>
      </c>
      <c r="J1444">
        <v>100</v>
      </c>
      <c r="K1444">
        <v>169</v>
      </c>
      <c r="L1444">
        <v>5926.9</v>
      </c>
      <c r="M1444">
        <v>11.9</v>
      </c>
      <c r="N1444" s="1">
        <v>38489</v>
      </c>
      <c r="O1444" t="s">
        <v>25</v>
      </c>
      <c r="P1444">
        <v>2</v>
      </c>
      <c r="Q1444">
        <v>5</v>
      </c>
      <c r="R1444">
        <v>2005</v>
      </c>
      <c r="S1444" t="s">
        <v>83</v>
      </c>
    </row>
    <row r="1445" spans="1:19" x14ac:dyDescent="0.25">
      <c r="A1445">
        <v>10293</v>
      </c>
      <c r="B1445" t="s">
        <v>260</v>
      </c>
      <c r="C1445" t="s">
        <v>108</v>
      </c>
      <c r="D1445" t="s">
        <v>109</v>
      </c>
      <c r="E1445" t="s">
        <v>110</v>
      </c>
      <c r="F1445" t="s">
        <v>30</v>
      </c>
      <c r="G1445" t="s">
        <v>24</v>
      </c>
      <c r="H1445">
        <v>6</v>
      </c>
      <c r="I1445">
        <v>22</v>
      </c>
      <c r="J1445">
        <v>100</v>
      </c>
      <c r="K1445">
        <v>100</v>
      </c>
      <c r="L1445">
        <v>2418.2399999999998</v>
      </c>
      <c r="M1445">
        <v>218.24</v>
      </c>
      <c r="N1445" s="1">
        <v>38239</v>
      </c>
      <c r="O1445" t="s">
        <v>25</v>
      </c>
      <c r="P1445">
        <v>3</v>
      </c>
      <c r="Q1445">
        <v>9</v>
      </c>
      <c r="R1445">
        <v>2004</v>
      </c>
      <c r="S1445" t="s">
        <v>261</v>
      </c>
    </row>
    <row r="1446" spans="1:19" x14ac:dyDescent="0.25">
      <c r="A1446">
        <v>10326</v>
      </c>
      <c r="B1446" t="s">
        <v>260</v>
      </c>
      <c r="C1446" t="s">
        <v>84</v>
      </c>
      <c r="D1446" t="s">
        <v>85</v>
      </c>
      <c r="E1446" t="s">
        <v>86</v>
      </c>
      <c r="F1446" t="s">
        <v>30</v>
      </c>
      <c r="G1446" t="s">
        <v>33</v>
      </c>
      <c r="H1446">
        <v>6</v>
      </c>
      <c r="I1446">
        <v>32</v>
      </c>
      <c r="J1446">
        <v>100</v>
      </c>
      <c r="K1446">
        <v>100</v>
      </c>
      <c r="L1446">
        <v>3807.68</v>
      </c>
      <c r="M1446">
        <v>607.67999999999995</v>
      </c>
      <c r="N1446" s="1">
        <v>38300</v>
      </c>
      <c r="O1446" t="s">
        <v>25</v>
      </c>
      <c r="P1446">
        <v>4</v>
      </c>
      <c r="Q1446">
        <v>11</v>
      </c>
      <c r="R1446">
        <v>2004</v>
      </c>
      <c r="S1446" t="s">
        <v>261</v>
      </c>
    </row>
    <row r="1447" spans="1:19" x14ac:dyDescent="0.25">
      <c r="A1447">
        <v>10191</v>
      </c>
      <c r="B1447" t="s">
        <v>262</v>
      </c>
      <c r="C1447" t="s">
        <v>178</v>
      </c>
      <c r="D1447" t="s">
        <v>179</v>
      </c>
      <c r="E1447" t="s">
        <v>180</v>
      </c>
      <c r="F1447" t="s">
        <v>30</v>
      </c>
      <c r="G1447" t="s">
        <v>33</v>
      </c>
      <c r="H1447">
        <v>6</v>
      </c>
      <c r="I1447">
        <v>36</v>
      </c>
      <c r="J1447">
        <v>94.88</v>
      </c>
      <c r="K1447">
        <v>80</v>
      </c>
      <c r="L1447">
        <v>3415.68</v>
      </c>
      <c r="M1447">
        <v>535.67999999999995</v>
      </c>
      <c r="N1447" s="1">
        <v>37945</v>
      </c>
      <c r="O1447" t="s">
        <v>25</v>
      </c>
      <c r="P1447">
        <v>4</v>
      </c>
      <c r="Q1447">
        <v>11</v>
      </c>
      <c r="R1447">
        <v>2003</v>
      </c>
      <c r="S1447" t="s">
        <v>83</v>
      </c>
    </row>
    <row r="1448" spans="1:19" x14ac:dyDescent="0.25">
      <c r="A1448">
        <v>10238</v>
      </c>
      <c r="B1448" t="s">
        <v>262</v>
      </c>
      <c r="C1448" t="s">
        <v>135</v>
      </c>
      <c r="D1448" t="s">
        <v>136</v>
      </c>
      <c r="E1448" t="s">
        <v>137</v>
      </c>
      <c r="F1448" t="s">
        <v>30</v>
      </c>
      <c r="G1448" t="s">
        <v>24</v>
      </c>
      <c r="H1448">
        <v>6</v>
      </c>
      <c r="I1448">
        <v>41</v>
      </c>
      <c r="J1448">
        <v>73.17</v>
      </c>
      <c r="K1448">
        <v>80</v>
      </c>
      <c r="L1448">
        <v>2999.97</v>
      </c>
      <c r="M1448">
        <v>-280.02999999999997</v>
      </c>
      <c r="N1448" s="1">
        <v>38086</v>
      </c>
      <c r="O1448" t="s">
        <v>25</v>
      </c>
      <c r="P1448">
        <v>2</v>
      </c>
      <c r="Q1448">
        <v>4</v>
      </c>
      <c r="R1448">
        <v>2004</v>
      </c>
      <c r="S1448" t="s">
        <v>83</v>
      </c>
    </row>
    <row r="1449" spans="1:19" x14ac:dyDescent="0.25">
      <c r="A1449">
        <v>10276</v>
      </c>
      <c r="B1449" t="s">
        <v>262</v>
      </c>
      <c r="C1449" t="s">
        <v>186</v>
      </c>
      <c r="D1449" t="s">
        <v>120</v>
      </c>
      <c r="E1449" t="s">
        <v>22</v>
      </c>
      <c r="F1449" t="s">
        <v>23</v>
      </c>
      <c r="G1449" t="s">
        <v>24</v>
      </c>
      <c r="H1449">
        <v>6</v>
      </c>
      <c r="I1449">
        <v>38</v>
      </c>
      <c r="J1449">
        <v>69.959999999999994</v>
      </c>
      <c r="K1449">
        <v>80</v>
      </c>
      <c r="L1449">
        <v>2658.48</v>
      </c>
      <c r="M1449">
        <v>-381.52</v>
      </c>
      <c r="N1449" s="1">
        <v>38201</v>
      </c>
      <c r="O1449" t="s">
        <v>25</v>
      </c>
      <c r="P1449">
        <v>3</v>
      </c>
      <c r="Q1449">
        <v>8</v>
      </c>
      <c r="R1449">
        <v>2004</v>
      </c>
      <c r="S1449" t="s">
        <v>83</v>
      </c>
    </row>
    <row r="1450" spans="1:19" x14ac:dyDescent="0.25">
      <c r="A1450">
        <v>10163</v>
      </c>
      <c r="B1450" t="s">
        <v>263</v>
      </c>
      <c r="C1450" t="s">
        <v>90</v>
      </c>
      <c r="D1450" t="s">
        <v>21</v>
      </c>
      <c r="E1450" t="s">
        <v>22</v>
      </c>
      <c r="F1450" t="s">
        <v>23</v>
      </c>
      <c r="G1450" t="s">
        <v>33</v>
      </c>
      <c r="H1450">
        <v>6</v>
      </c>
      <c r="I1450">
        <v>43</v>
      </c>
      <c r="J1450">
        <v>100</v>
      </c>
      <c r="K1450">
        <v>99</v>
      </c>
      <c r="L1450">
        <v>4991.4399999999996</v>
      </c>
      <c r="M1450">
        <v>734.44</v>
      </c>
      <c r="N1450" s="1">
        <v>37914</v>
      </c>
      <c r="O1450" t="s">
        <v>25</v>
      </c>
      <c r="P1450">
        <v>4</v>
      </c>
      <c r="Q1450">
        <v>10</v>
      </c>
      <c r="R1450">
        <v>2003</v>
      </c>
      <c r="S1450" t="s">
        <v>226</v>
      </c>
    </row>
    <row r="1451" spans="1:19" x14ac:dyDescent="0.25">
      <c r="A1451">
        <v>10226</v>
      </c>
      <c r="B1451" t="s">
        <v>265</v>
      </c>
      <c r="C1451" t="s">
        <v>149</v>
      </c>
      <c r="D1451" t="s">
        <v>150</v>
      </c>
      <c r="E1451" t="s">
        <v>22</v>
      </c>
      <c r="F1451" t="s">
        <v>23</v>
      </c>
      <c r="G1451" t="s">
        <v>70</v>
      </c>
      <c r="H1451">
        <v>6</v>
      </c>
      <c r="I1451">
        <v>46</v>
      </c>
      <c r="J1451">
        <v>100</v>
      </c>
      <c r="K1451">
        <v>141</v>
      </c>
      <c r="L1451">
        <v>7343.9</v>
      </c>
      <c r="M1451">
        <v>857.9</v>
      </c>
      <c r="N1451" s="1">
        <v>38043</v>
      </c>
      <c r="O1451" t="s">
        <v>25</v>
      </c>
      <c r="P1451">
        <v>1</v>
      </c>
      <c r="Q1451">
        <v>2</v>
      </c>
      <c r="R1451">
        <v>2004</v>
      </c>
      <c r="S1451" t="s">
        <v>83</v>
      </c>
    </row>
    <row r="1452" spans="1:19" x14ac:dyDescent="0.25">
      <c r="A1452">
        <v>10301</v>
      </c>
      <c r="B1452" t="s">
        <v>265</v>
      </c>
      <c r="C1452" t="s">
        <v>223</v>
      </c>
      <c r="D1452" t="s">
        <v>224</v>
      </c>
      <c r="E1452" t="s">
        <v>44</v>
      </c>
      <c r="F1452" t="s">
        <v>30</v>
      </c>
      <c r="G1452" t="s">
        <v>33</v>
      </c>
      <c r="H1452">
        <v>6</v>
      </c>
      <c r="I1452">
        <v>39</v>
      </c>
      <c r="J1452">
        <v>100</v>
      </c>
      <c r="K1452">
        <v>141</v>
      </c>
      <c r="L1452">
        <v>6446.7</v>
      </c>
      <c r="M1452">
        <v>947.7</v>
      </c>
      <c r="N1452" s="1">
        <v>37899</v>
      </c>
      <c r="O1452" t="s">
        <v>25</v>
      </c>
      <c r="P1452">
        <v>4</v>
      </c>
      <c r="Q1452">
        <v>10</v>
      </c>
      <c r="R1452">
        <v>2003</v>
      </c>
      <c r="S1452" t="s">
        <v>83</v>
      </c>
    </row>
    <row r="1453" spans="1:19" x14ac:dyDescent="0.25">
      <c r="A1453">
        <v>10367</v>
      </c>
      <c r="B1453" t="s">
        <v>265</v>
      </c>
      <c r="C1453" t="s">
        <v>34</v>
      </c>
      <c r="D1453" t="s">
        <v>35</v>
      </c>
      <c r="E1453" t="s">
        <v>22</v>
      </c>
      <c r="F1453" t="s">
        <v>23</v>
      </c>
      <c r="G1453" t="s">
        <v>33</v>
      </c>
      <c r="H1453">
        <v>6</v>
      </c>
      <c r="I1453">
        <v>46</v>
      </c>
      <c r="J1453">
        <v>100</v>
      </c>
      <c r="K1453">
        <v>141</v>
      </c>
      <c r="L1453">
        <v>4808.38</v>
      </c>
      <c r="M1453">
        <v>-1677.62</v>
      </c>
      <c r="N1453" s="1">
        <v>38364</v>
      </c>
      <c r="O1453" t="s">
        <v>169</v>
      </c>
      <c r="P1453">
        <v>1</v>
      </c>
      <c r="Q1453">
        <v>1</v>
      </c>
      <c r="R1453">
        <v>2005</v>
      </c>
      <c r="S1453" t="s">
        <v>83</v>
      </c>
    </row>
    <row r="1454" spans="1:19" x14ac:dyDescent="0.25">
      <c r="A1454">
        <v>10167</v>
      </c>
      <c r="B1454" t="s">
        <v>267</v>
      </c>
      <c r="C1454" t="s">
        <v>111</v>
      </c>
      <c r="D1454" t="s">
        <v>112</v>
      </c>
      <c r="E1454" t="s">
        <v>86</v>
      </c>
      <c r="F1454" t="s">
        <v>30</v>
      </c>
      <c r="G1454" t="s">
        <v>33</v>
      </c>
      <c r="H1454">
        <v>6</v>
      </c>
      <c r="I1454">
        <v>34</v>
      </c>
      <c r="J1454">
        <v>100</v>
      </c>
      <c r="K1454">
        <v>105</v>
      </c>
      <c r="L1454">
        <v>3599.58</v>
      </c>
      <c r="M1454">
        <v>29.58</v>
      </c>
      <c r="N1454" s="1">
        <v>37917</v>
      </c>
      <c r="O1454" t="s">
        <v>141</v>
      </c>
      <c r="P1454">
        <v>4</v>
      </c>
      <c r="Q1454">
        <v>10</v>
      </c>
      <c r="R1454">
        <v>2003</v>
      </c>
      <c r="S1454" t="s">
        <v>226</v>
      </c>
    </row>
    <row r="1455" spans="1:19" x14ac:dyDescent="0.25">
      <c r="A1455">
        <v>10186</v>
      </c>
      <c r="B1455" t="s">
        <v>267</v>
      </c>
      <c r="C1455" t="s">
        <v>144</v>
      </c>
      <c r="D1455" t="s">
        <v>139</v>
      </c>
      <c r="E1455" t="s">
        <v>77</v>
      </c>
      <c r="F1455" t="s">
        <v>30</v>
      </c>
      <c r="G1455" t="s">
        <v>33</v>
      </c>
      <c r="H1455">
        <v>6</v>
      </c>
      <c r="I1455">
        <v>46</v>
      </c>
      <c r="J1455">
        <v>100</v>
      </c>
      <c r="K1455">
        <v>105</v>
      </c>
      <c r="L1455">
        <v>4918.78</v>
      </c>
      <c r="M1455">
        <v>88.78</v>
      </c>
      <c r="N1455" s="1">
        <v>37939</v>
      </c>
      <c r="O1455" t="s">
        <v>25</v>
      </c>
      <c r="P1455">
        <v>4</v>
      </c>
      <c r="Q1455">
        <v>11</v>
      </c>
      <c r="R1455">
        <v>2003</v>
      </c>
      <c r="S1455" t="s">
        <v>226</v>
      </c>
    </row>
    <row r="1456" spans="1:19" x14ac:dyDescent="0.25">
      <c r="A1456">
        <v>10307</v>
      </c>
      <c r="B1456" t="s">
        <v>267</v>
      </c>
      <c r="C1456" t="s">
        <v>93</v>
      </c>
      <c r="D1456" t="s">
        <v>94</v>
      </c>
      <c r="E1456" t="s">
        <v>22</v>
      </c>
      <c r="F1456" t="s">
        <v>23</v>
      </c>
      <c r="G1456" t="s">
        <v>33</v>
      </c>
      <c r="H1456">
        <v>6</v>
      </c>
      <c r="I1456">
        <v>48</v>
      </c>
      <c r="J1456">
        <v>86.81</v>
      </c>
      <c r="K1456">
        <v>105</v>
      </c>
      <c r="L1456">
        <v>4166.88</v>
      </c>
      <c r="M1456">
        <v>-873.12</v>
      </c>
      <c r="N1456" s="1">
        <v>38274</v>
      </c>
      <c r="O1456" t="s">
        <v>25</v>
      </c>
      <c r="P1456">
        <v>4</v>
      </c>
      <c r="Q1456">
        <v>10</v>
      </c>
      <c r="R1456">
        <v>2004</v>
      </c>
      <c r="S1456" t="s">
        <v>226</v>
      </c>
    </row>
    <row r="1457" spans="1:19" x14ac:dyDescent="0.25">
      <c r="A1457">
        <v>10328</v>
      </c>
      <c r="B1457" t="s">
        <v>267</v>
      </c>
      <c r="C1457" t="s">
        <v>227</v>
      </c>
      <c r="D1457" t="s">
        <v>228</v>
      </c>
      <c r="E1457" t="s">
        <v>110</v>
      </c>
      <c r="F1457" t="s">
        <v>30</v>
      </c>
      <c r="G1457" t="s">
        <v>33</v>
      </c>
      <c r="H1457">
        <v>6</v>
      </c>
      <c r="I1457">
        <v>34</v>
      </c>
      <c r="J1457">
        <v>100</v>
      </c>
      <c r="K1457">
        <v>105</v>
      </c>
      <c r="L1457">
        <v>3815.48</v>
      </c>
      <c r="M1457">
        <v>245.48</v>
      </c>
      <c r="N1457" s="1">
        <v>38303</v>
      </c>
      <c r="O1457" t="s">
        <v>25</v>
      </c>
      <c r="P1457">
        <v>4</v>
      </c>
      <c r="Q1457">
        <v>11</v>
      </c>
      <c r="R1457">
        <v>2004</v>
      </c>
      <c r="S1457" t="s">
        <v>226</v>
      </c>
    </row>
    <row r="1458" spans="1:19" x14ac:dyDescent="0.25">
      <c r="A1458">
        <v>10373</v>
      </c>
      <c r="B1458" t="s">
        <v>267</v>
      </c>
      <c r="C1458" t="s">
        <v>160</v>
      </c>
      <c r="D1458" t="s">
        <v>161</v>
      </c>
      <c r="E1458" t="s">
        <v>62</v>
      </c>
      <c r="F1458" t="s">
        <v>30</v>
      </c>
      <c r="G1458" t="s">
        <v>33</v>
      </c>
      <c r="H1458">
        <v>6</v>
      </c>
      <c r="I1458">
        <v>50</v>
      </c>
      <c r="J1458">
        <v>60.49</v>
      </c>
      <c r="K1458">
        <v>105</v>
      </c>
      <c r="L1458">
        <v>3024.5</v>
      </c>
      <c r="M1458">
        <v>-2225.5</v>
      </c>
      <c r="N1458" s="1">
        <v>38383</v>
      </c>
      <c r="O1458" t="s">
        <v>25</v>
      </c>
      <c r="P1458">
        <v>1</v>
      </c>
      <c r="Q1458">
        <v>1</v>
      </c>
      <c r="R1458">
        <v>2005</v>
      </c>
      <c r="S1458" t="s">
        <v>226</v>
      </c>
    </row>
    <row r="1459" spans="1:19" x14ac:dyDescent="0.25">
      <c r="A1459">
        <v>10386</v>
      </c>
      <c r="B1459" t="s">
        <v>267</v>
      </c>
      <c r="C1459" t="s">
        <v>78</v>
      </c>
      <c r="D1459" t="s">
        <v>79</v>
      </c>
      <c r="E1459" t="s">
        <v>80</v>
      </c>
      <c r="F1459" t="s">
        <v>30</v>
      </c>
      <c r="G1459" t="s">
        <v>24</v>
      </c>
      <c r="H1459">
        <v>6</v>
      </c>
      <c r="I1459">
        <v>22</v>
      </c>
      <c r="J1459">
        <v>57.55</v>
      </c>
      <c r="K1459">
        <v>105</v>
      </c>
      <c r="L1459">
        <v>1266.0999999999999</v>
      </c>
      <c r="M1459">
        <v>-1043.9000000000001</v>
      </c>
      <c r="N1459" s="1">
        <v>38412</v>
      </c>
      <c r="O1459" t="s">
        <v>169</v>
      </c>
      <c r="P1459">
        <v>1</v>
      </c>
      <c r="Q1459">
        <v>3</v>
      </c>
      <c r="R1459">
        <v>2005</v>
      </c>
      <c r="S1459" t="s">
        <v>226</v>
      </c>
    </row>
    <row r="1460" spans="1:19" x14ac:dyDescent="0.25">
      <c r="A1460">
        <v>10400</v>
      </c>
      <c r="B1460" t="s">
        <v>267</v>
      </c>
      <c r="C1460" t="s">
        <v>162</v>
      </c>
      <c r="D1460" t="s">
        <v>163</v>
      </c>
      <c r="E1460" t="s">
        <v>22</v>
      </c>
      <c r="F1460" t="s">
        <v>23</v>
      </c>
      <c r="G1460" t="s">
        <v>70</v>
      </c>
      <c r="H1460">
        <v>6</v>
      </c>
      <c r="I1460">
        <v>58</v>
      </c>
      <c r="J1460">
        <v>100</v>
      </c>
      <c r="K1460">
        <v>105</v>
      </c>
      <c r="L1460">
        <v>7307.42</v>
      </c>
      <c r="M1460">
        <v>1217.42</v>
      </c>
      <c r="N1460" s="1">
        <v>38443</v>
      </c>
      <c r="O1460" t="s">
        <v>25</v>
      </c>
      <c r="P1460">
        <v>2</v>
      </c>
      <c r="Q1460">
        <v>4</v>
      </c>
      <c r="R1460">
        <v>2005</v>
      </c>
      <c r="S1460" t="s">
        <v>226</v>
      </c>
    </row>
    <row r="1461" spans="1:19" x14ac:dyDescent="0.25">
      <c r="A1461">
        <v>10165</v>
      </c>
      <c r="B1461" t="s">
        <v>268</v>
      </c>
      <c r="C1461" t="s">
        <v>88</v>
      </c>
      <c r="D1461" t="s">
        <v>89</v>
      </c>
      <c r="E1461" t="s">
        <v>89</v>
      </c>
      <c r="F1461" t="s">
        <v>50</v>
      </c>
      <c r="G1461" t="s">
        <v>33</v>
      </c>
      <c r="H1461">
        <v>6</v>
      </c>
      <c r="I1461">
        <v>28</v>
      </c>
      <c r="J1461">
        <v>100</v>
      </c>
      <c r="K1461">
        <v>143</v>
      </c>
      <c r="L1461">
        <v>3337.6</v>
      </c>
      <c r="M1461">
        <v>-666.4</v>
      </c>
      <c r="N1461" s="1">
        <v>37916</v>
      </c>
      <c r="O1461" t="s">
        <v>25</v>
      </c>
      <c r="P1461">
        <v>4</v>
      </c>
      <c r="Q1461">
        <v>10</v>
      </c>
      <c r="R1461">
        <v>2003</v>
      </c>
      <c r="S1461" t="s">
        <v>83</v>
      </c>
    </row>
    <row r="1462" spans="1:19" x14ac:dyDescent="0.25">
      <c r="A1462">
        <v>10372</v>
      </c>
      <c r="B1462" t="s">
        <v>268</v>
      </c>
      <c r="C1462" t="s">
        <v>105</v>
      </c>
      <c r="D1462" t="s">
        <v>106</v>
      </c>
      <c r="E1462" t="s">
        <v>107</v>
      </c>
      <c r="F1462" t="s">
        <v>50</v>
      </c>
      <c r="G1462" t="s">
        <v>70</v>
      </c>
      <c r="H1462">
        <v>6</v>
      </c>
      <c r="I1462">
        <v>48</v>
      </c>
      <c r="J1462">
        <v>100</v>
      </c>
      <c r="K1462">
        <v>143</v>
      </c>
      <c r="L1462">
        <v>7031.52</v>
      </c>
      <c r="M1462">
        <v>167.52</v>
      </c>
      <c r="N1462" s="1">
        <v>38378</v>
      </c>
      <c r="O1462" t="s">
        <v>25</v>
      </c>
      <c r="P1462">
        <v>1</v>
      </c>
      <c r="Q1462">
        <v>1</v>
      </c>
      <c r="R1462">
        <v>2005</v>
      </c>
      <c r="S1462" t="s">
        <v>83</v>
      </c>
    </row>
    <row r="1463" spans="1:19" x14ac:dyDescent="0.25">
      <c r="A1463">
        <v>10288</v>
      </c>
      <c r="B1463" t="s">
        <v>269</v>
      </c>
      <c r="C1463" t="s">
        <v>171</v>
      </c>
      <c r="D1463" t="s">
        <v>89</v>
      </c>
      <c r="E1463" t="s">
        <v>89</v>
      </c>
      <c r="F1463" t="s">
        <v>50</v>
      </c>
      <c r="G1463" t="s">
        <v>24</v>
      </c>
      <c r="H1463">
        <v>6</v>
      </c>
      <c r="I1463">
        <v>35</v>
      </c>
      <c r="J1463">
        <v>80.989999999999995</v>
      </c>
      <c r="K1463">
        <v>92</v>
      </c>
      <c r="L1463">
        <v>2834.65</v>
      </c>
      <c r="M1463">
        <v>-385.35</v>
      </c>
      <c r="N1463" s="1">
        <v>38231</v>
      </c>
      <c r="O1463" t="s">
        <v>25</v>
      </c>
      <c r="P1463">
        <v>3</v>
      </c>
      <c r="Q1463">
        <v>9</v>
      </c>
      <c r="R1463">
        <v>2004</v>
      </c>
      <c r="S1463" t="s">
        <v>226</v>
      </c>
    </row>
    <row r="1464" spans="1:19" x14ac:dyDescent="0.25">
      <c r="A1464">
        <v>10420</v>
      </c>
      <c r="B1464" t="s">
        <v>269</v>
      </c>
      <c r="C1464" t="s">
        <v>71</v>
      </c>
      <c r="D1464" t="s">
        <v>72</v>
      </c>
      <c r="E1464" t="s">
        <v>49</v>
      </c>
      <c r="F1464" t="s">
        <v>50</v>
      </c>
      <c r="G1464" t="s">
        <v>33</v>
      </c>
      <c r="H1464">
        <v>6</v>
      </c>
      <c r="I1464">
        <v>66</v>
      </c>
      <c r="J1464">
        <v>92.95</v>
      </c>
      <c r="K1464">
        <v>92</v>
      </c>
      <c r="L1464">
        <v>6134.7</v>
      </c>
      <c r="M1464">
        <v>62.7</v>
      </c>
      <c r="N1464" s="1">
        <v>38501</v>
      </c>
      <c r="O1464" t="s">
        <v>125</v>
      </c>
      <c r="P1464">
        <v>2</v>
      </c>
      <c r="Q1464">
        <v>5</v>
      </c>
      <c r="R1464">
        <v>2005</v>
      </c>
      <c r="S1464" t="s">
        <v>226</v>
      </c>
    </row>
    <row r="1465" spans="1:19" x14ac:dyDescent="0.25">
      <c r="A1465">
        <v>10153</v>
      </c>
      <c r="B1465" t="s">
        <v>270</v>
      </c>
      <c r="C1465" t="s">
        <v>78</v>
      </c>
      <c r="D1465" t="s">
        <v>79</v>
      </c>
      <c r="E1465" t="s">
        <v>80</v>
      </c>
      <c r="F1465" t="s">
        <v>30</v>
      </c>
      <c r="G1465" t="s">
        <v>24</v>
      </c>
      <c r="H1465">
        <v>6</v>
      </c>
      <c r="I1465">
        <v>22</v>
      </c>
      <c r="J1465">
        <v>83.38</v>
      </c>
      <c r="K1465">
        <v>87</v>
      </c>
      <c r="L1465">
        <v>1834.36</v>
      </c>
      <c r="M1465">
        <v>-79.64</v>
      </c>
      <c r="N1465" s="1">
        <v>37892</v>
      </c>
      <c r="O1465" t="s">
        <v>25</v>
      </c>
      <c r="P1465">
        <v>3</v>
      </c>
      <c r="Q1465">
        <v>9</v>
      </c>
      <c r="R1465">
        <v>2003</v>
      </c>
      <c r="S1465" t="s">
        <v>226</v>
      </c>
    </row>
    <row r="1466" spans="1:19" x14ac:dyDescent="0.25">
      <c r="A1466">
        <v>10370</v>
      </c>
      <c r="B1466" t="s">
        <v>271</v>
      </c>
      <c r="C1466" t="s">
        <v>121</v>
      </c>
      <c r="D1466" t="s">
        <v>122</v>
      </c>
      <c r="E1466" t="s">
        <v>49</v>
      </c>
      <c r="F1466" t="s">
        <v>50</v>
      </c>
      <c r="G1466" t="s">
        <v>24</v>
      </c>
      <c r="H1466">
        <v>6</v>
      </c>
      <c r="I1466">
        <v>29</v>
      </c>
      <c r="J1466">
        <v>57.53</v>
      </c>
      <c r="K1466">
        <v>121</v>
      </c>
      <c r="L1466">
        <v>1668.37</v>
      </c>
      <c r="M1466">
        <v>-1840.63</v>
      </c>
      <c r="N1466" s="1">
        <v>38372</v>
      </c>
      <c r="O1466" t="s">
        <v>25</v>
      </c>
      <c r="P1466">
        <v>1</v>
      </c>
      <c r="Q1466">
        <v>1</v>
      </c>
      <c r="R1466">
        <v>2005</v>
      </c>
      <c r="S1466" t="s">
        <v>202</v>
      </c>
    </row>
    <row r="1467" spans="1:19" x14ac:dyDescent="0.25">
      <c r="A1467">
        <v>10150</v>
      </c>
      <c r="B1467" t="s">
        <v>272</v>
      </c>
      <c r="C1467" t="s">
        <v>88</v>
      </c>
      <c r="D1467" t="s">
        <v>89</v>
      </c>
      <c r="E1467" t="s">
        <v>89</v>
      </c>
      <c r="F1467" t="s">
        <v>50</v>
      </c>
      <c r="G1467" t="s">
        <v>24</v>
      </c>
      <c r="H1467">
        <v>6</v>
      </c>
      <c r="I1467">
        <v>30</v>
      </c>
      <c r="J1467">
        <v>42.76</v>
      </c>
      <c r="K1467">
        <v>50</v>
      </c>
      <c r="L1467">
        <v>1282.8</v>
      </c>
      <c r="M1467">
        <v>-217.2</v>
      </c>
      <c r="N1467" s="1">
        <v>37883</v>
      </c>
      <c r="O1467" t="s">
        <v>25</v>
      </c>
      <c r="P1467">
        <v>3</v>
      </c>
      <c r="Q1467">
        <v>9</v>
      </c>
      <c r="R1467">
        <v>2003</v>
      </c>
      <c r="S1467" t="s">
        <v>226</v>
      </c>
    </row>
    <row r="1468" spans="1:19" x14ac:dyDescent="0.25">
      <c r="A1468">
        <v>10183</v>
      </c>
      <c r="B1468" t="s">
        <v>272</v>
      </c>
      <c r="C1468" t="s">
        <v>93</v>
      </c>
      <c r="D1468" t="s">
        <v>94</v>
      </c>
      <c r="E1468" t="s">
        <v>22</v>
      </c>
      <c r="F1468" t="s">
        <v>23</v>
      </c>
      <c r="G1468" t="s">
        <v>24</v>
      </c>
      <c r="H1468">
        <v>6</v>
      </c>
      <c r="I1468">
        <v>40</v>
      </c>
      <c r="J1468">
        <v>49.3</v>
      </c>
      <c r="K1468">
        <v>50</v>
      </c>
      <c r="L1468">
        <v>1972</v>
      </c>
      <c r="M1468">
        <v>-28</v>
      </c>
      <c r="N1468" s="1">
        <v>37938</v>
      </c>
      <c r="O1468" t="s">
        <v>25</v>
      </c>
      <c r="P1468">
        <v>4</v>
      </c>
      <c r="Q1468">
        <v>11</v>
      </c>
      <c r="R1468">
        <v>2003</v>
      </c>
      <c r="S1468" t="s">
        <v>226</v>
      </c>
    </row>
    <row r="1469" spans="1:19" x14ac:dyDescent="0.25">
      <c r="A1469">
        <v>10324</v>
      </c>
      <c r="B1469" t="s">
        <v>272</v>
      </c>
      <c r="C1469" t="s">
        <v>51</v>
      </c>
      <c r="D1469" t="s">
        <v>21</v>
      </c>
      <c r="E1469" t="s">
        <v>22</v>
      </c>
      <c r="F1469" t="s">
        <v>23</v>
      </c>
      <c r="G1469" t="s">
        <v>33</v>
      </c>
      <c r="H1469">
        <v>6</v>
      </c>
      <c r="I1469">
        <v>38</v>
      </c>
      <c r="J1469">
        <v>100</v>
      </c>
      <c r="K1469">
        <v>50</v>
      </c>
      <c r="L1469">
        <v>6832.02</v>
      </c>
      <c r="M1469">
        <v>4932.0200000000004</v>
      </c>
      <c r="N1469" s="1">
        <v>38296</v>
      </c>
      <c r="O1469" t="s">
        <v>25</v>
      </c>
      <c r="P1469">
        <v>4</v>
      </c>
      <c r="Q1469">
        <v>11</v>
      </c>
      <c r="R1469">
        <v>2004</v>
      </c>
      <c r="S1469" t="s">
        <v>226</v>
      </c>
    </row>
    <row r="1470" spans="1:19" x14ac:dyDescent="0.25">
      <c r="A1470">
        <v>10348</v>
      </c>
      <c r="B1470" t="s">
        <v>272</v>
      </c>
      <c r="C1470" t="s">
        <v>87</v>
      </c>
      <c r="D1470" t="s">
        <v>79</v>
      </c>
      <c r="E1470" t="s">
        <v>80</v>
      </c>
      <c r="F1470" t="s">
        <v>30</v>
      </c>
      <c r="G1470" t="s">
        <v>70</v>
      </c>
      <c r="H1470">
        <v>6</v>
      </c>
      <c r="I1470">
        <v>29</v>
      </c>
      <c r="J1470">
        <v>100</v>
      </c>
      <c r="K1470">
        <v>50</v>
      </c>
      <c r="L1470">
        <v>7110.8</v>
      </c>
      <c r="M1470">
        <v>5660.8</v>
      </c>
      <c r="N1470" s="1">
        <v>38292</v>
      </c>
      <c r="O1470" t="s">
        <v>25</v>
      </c>
      <c r="P1470">
        <v>4</v>
      </c>
      <c r="Q1470">
        <v>11</v>
      </c>
      <c r="R1470">
        <v>2004</v>
      </c>
      <c r="S1470" t="s">
        <v>226</v>
      </c>
    </row>
    <row r="1471" spans="1:19" x14ac:dyDescent="0.25">
      <c r="A1471">
        <v>10204</v>
      </c>
      <c r="B1471" t="s">
        <v>274</v>
      </c>
      <c r="C1471" t="s">
        <v>192</v>
      </c>
      <c r="D1471" t="s">
        <v>21</v>
      </c>
      <c r="E1471" t="s">
        <v>22</v>
      </c>
      <c r="F1471" t="s">
        <v>23</v>
      </c>
      <c r="G1471" t="s">
        <v>33</v>
      </c>
      <c r="H1471">
        <v>6</v>
      </c>
      <c r="I1471">
        <v>45</v>
      </c>
      <c r="J1471">
        <v>76.260000000000005</v>
      </c>
      <c r="K1471">
        <v>71</v>
      </c>
      <c r="L1471">
        <v>3431.7</v>
      </c>
      <c r="M1471">
        <v>236.7</v>
      </c>
      <c r="N1471" s="1">
        <v>37957</v>
      </c>
      <c r="O1471" t="s">
        <v>25</v>
      </c>
      <c r="P1471">
        <v>4</v>
      </c>
      <c r="Q1471">
        <v>12</v>
      </c>
      <c r="R1471">
        <v>2003</v>
      </c>
      <c r="S1471" t="s">
        <v>83</v>
      </c>
    </row>
    <row r="1472" spans="1:19" x14ac:dyDescent="0.25">
      <c r="A1472">
        <v>10148</v>
      </c>
      <c r="B1472" t="s">
        <v>275</v>
      </c>
      <c r="C1472" t="s">
        <v>121</v>
      </c>
      <c r="D1472" t="s">
        <v>122</v>
      </c>
      <c r="E1472" t="s">
        <v>49</v>
      </c>
      <c r="F1472" t="s">
        <v>50</v>
      </c>
      <c r="G1472" t="s">
        <v>24</v>
      </c>
      <c r="H1472">
        <v>6</v>
      </c>
      <c r="I1472">
        <v>25</v>
      </c>
      <c r="J1472">
        <v>60.26</v>
      </c>
      <c r="K1472">
        <v>73</v>
      </c>
      <c r="L1472">
        <v>1506.5</v>
      </c>
      <c r="M1472">
        <v>-318.5</v>
      </c>
      <c r="N1472" s="1">
        <v>37875</v>
      </c>
      <c r="O1472" t="s">
        <v>25</v>
      </c>
      <c r="P1472">
        <v>3</v>
      </c>
      <c r="Q1472">
        <v>9</v>
      </c>
      <c r="R1472">
        <v>2003</v>
      </c>
      <c r="S1472" t="s">
        <v>83</v>
      </c>
    </row>
    <row r="1473" spans="1:19" x14ac:dyDescent="0.25">
      <c r="A1473">
        <v>10311</v>
      </c>
      <c r="B1473" t="s">
        <v>275</v>
      </c>
      <c r="C1473" t="s">
        <v>78</v>
      </c>
      <c r="D1473" t="s">
        <v>79</v>
      </c>
      <c r="E1473" t="s">
        <v>80</v>
      </c>
      <c r="F1473" t="s">
        <v>30</v>
      </c>
      <c r="G1473" t="s">
        <v>24</v>
      </c>
      <c r="H1473">
        <v>6</v>
      </c>
      <c r="I1473">
        <v>26</v>
      </c>
      <c r="J1473">
        <v>87.45</v>
      </c>
      <c r="K1473">
        <v>73</v>
      </c>
      <c r="L1473">
        <v>2273.6999999999998</v>
      </c>
      <c r="M1473">
        <v>375.7</v>
      </c>
      <c r="N1473" s="1">
        <v>38276</v>
      </c>
      <c r="O1473" t="s">
        <v>25</v>
      </c>
      <c r="P1473">
        <v>4</v>
      </c>
      <c r="Q1473">
        <v>10</v>
      </c>
      <c r="R1473">
        <v>2004</v>
      </c>
      <c r="S1473" t="s">
        <v>83</v>
      </c>
    </row>
    <row r="1474" spans="1:19" x14ac:dyDescent="0.25">
      <c r="A1474">
        <v>10104</v>
      </c>
      <c r="B1474" t="s">
        <v>276</v>
      </c>
      <c r="C1474" t="s">
        <v>78</v>
      </c>
      <c r="D1474" t="s">
        <v>79</v>
      </c>
      <c r="E1474" t="s">
        <v>80</v>
      </c>
      <c r="F1474" t="s">
        <v>30</v>
      </c>
      <c r="G1474" t="s">
        <v>24</v>
      </c>
      <c r="H1474">
        <v>6</v>
      </c>
      <c r="I1474">
        <v>35</v>
      </c>
      <c r="J1474">
        <v>55.49</v>
      </c>
      <c r="K1474">
        <v>57</v>
      </c>
      <c r="L1474">
        <v>1942.15</v>
      </c>
      <c r="M1474">
        <v>-52.85</v>
      </c>
      <c r="N1474" s="1">
        <v>37652</v>
      </c>
      <c r="O1474" t="s">
        <v>25</v>
      </c>
      <c r="P1474">
        <v>1</v>
      </c>
      <c r="Q1474">
        <v>1</v>
      </c>
      <c r="R1474">
        <v>2003</v>
      </c>
      <c r="S1474" t="s">
        <v>83</v>
      </c>
    </row>
    <row r="1475" spans="1:19" x14ac:dyDescent="0.25">
      <c r="A1475">
        <v>10230</v>
      </c>
      <c r="B1475" t="s">
        <v>276</v>
      </c>
      <c r="C1475" t="s">
        <v>187</v>
      </c>
      <c r="D1475" t="s">
        <v>188</v>
      </c>
      <c r="E1475" t="s">
        <v>180</v>
      </c>
      <c r="F1475" t="s">
        <v>30</v>
      </c>
      <c r="G1475" t="s">
        <v>24</v>
      </c>
      <c r="H1475">
        <v>6</v>
      </c>
      <c r="I1475">
        <v>36</v>
      </c>
      <c r="J1475">
        <v>54.33</v>
      </c>
      <c r="K1475">
        <v>57</v>
      </c>
      <c r="L1475">
        <v>1955.88</v>
      </c>
      <c r="M1475">
        <v>-96.12</v>
      </c>
      <c r="N1475" s="1">
        <v>38061</v>
      </c>
      <c r="O1475" t="s">
        <v>25</v>
      </c>
      <c r="P1475">
        <v>1</v>
      </c>
      <c r="Q1475">
        <v>3</v>
      </c>
      <c r="R1475">
        <v>2004</v>
      </c>
      <c r="S1475" t="s">
        <v>83</v>
      </c>
    </row>
    <row r="1476" spans="1:19" x14ac:dyDescent="0.25">
      <c r="A1476">
        <v>10309</v>
      </c>
      <c r="B1476" t="s">
        <v>277</v>
      </c>
      <c r="C1476" t="s">
        <v>63</v>
      </c>
      <c r="D1476" t="s">
        <v>64</v>
      </c>
      <c r="E1476" t="s">
        <v>44</v>
      </c>
      <c r="F1476" t="s">
        <v>30</v>
      </c>
      <c r="G1476" t="s">
        <v>24</v>
      </c>
      <c r="H1476">
        <v>6</v>
      </c>
      <c r="I1476">
        <v>21</v>
      </c>
      <c r="J1476">
        <v>100</v>
      </c>
      <c r="K1476">
        <v>112</v>
      </c>
      <c r="L1476">
        <v>2650.62</v>
      </c>
      <c r="M1476">
        <v>298.62</v>
      </c>
      <c r="N1476" s="1">
        <v>38275</v>
      </c>
      <c r="O1476" t="s">
        <v>25</v>
      </c>
      <c r="P1476">
        <v>4</v>
      </c>
      <c r="Q1476">
        <v>10</v>
      </c>
      <c r="R1476">
        <v>2004</v>
      </c>
      <c r="S1476" t="s">
        <v>26</v>
      </c>
    </row>
    <row r="1477" spans="1:19" x14ac:dyDescent="0.25">
      <c r="A1477">
        <v>10374</v>
      </c>
      <c r="B1477" t="s">
        <v>277</v>
      </c>
      <c r="C1477" t="s">
        <v>91</v>
      </c>
      <c r="D1477" t="s">
        <v>92</v>
      </c>
      <c r="E1477" t="s">
        <v>49</v>
      </c>
      <c r="F1477" t="s">
        <v>50</v>
      </c>
      <c r="G1477" t="s">
        <v>33</v>
      </c>
      <c r="H1477">
        <v>6</v>
      </c>
      <c r="I1477">
        <v>38</v>
      </c>
      <c r="J1477">
        <v>100</v>
      </c>
      <c r="K1477">
        <v>112</v>
      </c>
      <c r="L1477">
        <v>4197.1000000000004</v>
      </c>
      <c r="M1477">
        <v>-58.9</v>
      </c>
      <c r="N1477" s="1">
        <v>38385</v>
      </c>
      <c r="O1477" t="s">
        <v>25</v>
      </c>
      <c r="P1477">
        <v>1</v>
      </c>
      <c r="Q1477">
        <v>2</v>
      </c>
      <c r="R1477">
        <v>2005</v>
      </c>
      <c r="S1477" t="s">
        <v>26</v>
      </c>
    </row>
    <row r="1478" spans="1:19" x14ac:dyDescent="0.25">
      <c r="A1478">
        <v>10192</v>
      </c>
      <c r="B1478" t="s">
        <v>278</v>
      </c>
      <c r="C1478" t="s">
        <v>117</v>
      </c>
      <c r="D1478" t="s">
        <v>118</v>
      </c>
      <c r="E1478" t="s">
        <v>22</v>
      </c>
      <c r="F1478" t="s">
        <v>23</v>
      </c>
      <c r="G1478" t="s">
        <v>24</v>
      </c>
      <c r="H1478">
        <v>6</v>
      </c>
      <c r="I1478">
        <v>47</v>
      </c>
      <c r="J1478">
        <v>53.83</v>
      </c>
      <c r="K1478">
        <v>50</v>
      </c>
      <c r="L1478">
        <v>2530.0100000000002</v>
      </c>
      <c r="M1478">
        <v>180.01</v>
      </c>
      <c r="N1478" s="1">
        <v>37945</v>
      </c>
      <c r="O1478" t="s">
        <v>25</v>
      </c>
      <c r="P1478">
        <v>4</v>
      </c>
      <c r="Q1478">
        <v>11</v>
      </c>
      <c r="R1478">
        <v>2003</v>
      </c>
      <c r="S1478" t="s">
        <v>83</v>
      </c>
    </row>
    <row r="1479" spans="1:19" x14ac:dyDescent="0.25">
      <c r="A1479">
        <v>10343</v>
      </c>
      <c r="B1479" t="s">
        <v>278</v>
      </c>
      <c r="C1479" t="s">
        <v>27</v>
      </c>
      <c r="D1479" t="s">
        <v>28</v>
      </c>
      <c r="E1479" t="s">
        <v>29</v>
      </c>
      <c r="F1479" t="s">
        <v>30</v>
      </c>
      <c r="G1479" t="s">
        <v>24</v>
      </c>
      <c r="H1479">
        <v>6</v>
      </c>
      <c r="I1479">
        <v>27</v>
      </c>
      <c r="J1479">
        <v>36.21</v>
      </c>
      <c r="K1479">
        <v>50</v>
      </c>
      <c r="L1479">
        <v>977.67</v>
      </c>
      <c r="M1479">
        <v>-372.33</v>
      </c>
      <c r="N1479" s="1">
        <v>38315</v>
      </c>
      <c r="O1479" t="s">
        <v>25</v>
      </c>
      <c r="P1479">
        <v>4</v>
      </c>
      <c r="Q1479">
        <v>11</v>
      </c>
      <c r="R1479">
        <v>2004</v>
      </c>
      <c r="S1479" t="s">
        <v>83</v>
      </c>
    </row>
    <row r="1480" spans="1:19" x14ac:dyDescent="0.25">
      <c r="A1480">
        <v>10250</v>
      </c>
      <c r="B1480" t="s">
        <v>279</v>
      </c>
      <c r="C1480" t="s">
        <v>162</v>
      </c>
      <c r="D1480" t="s">
        <v>163</v>
      </c>
      <c r="E1480" t="s">
        <v>22</v>
      </c>
      <c r="F1480" t="s">
        <v>23</v>
      </c>
      <c r="G1480" t="s">
        <v>24</v>
      </c>
      <c r="H1480">
        <v>6</v>
      </c>
      <c r="I1480">
        <v>31</v>
      </c>
      <c r="J1480">
        <v>88.63</v>
      </c>
      <c r="K1480">
        <v>109</v>
      </c>
      <c r="L1480">
        <v>2747.53</v>
      </c>
      <c r="M1480">
        <v>-631.47</v>
      </c>
      <c r="N1480" s="1">
        <v>38118</v>
      </c>
      <c r="O1480" t="s">
        <v>25</v>
      </c>
      <c r="P1480">
        <v>2</v>
      </c>
      <c r="Q1480">
        <v>5</v>
      </c>
      <c r="R1480">
        <v>2004</v>
      </c>
      <c r="S1480" t="s">
        <v>234</v>
      </c>
    </row>
    <row r="1481" spans="1:19" x14ac:dyDescent="0.25">
      <c r="A1481">
        <v>10297</v>
      </c>
      <c r="B1481" t="s">
        <v>279</v>
      </c>
      <c r="C1481" t="s">
        <v>193</v>
      </c>
      <c r="D1481" t="s">
        <v>194</v>
      </c>
      <c r="E1481" t="s">
        <v>195</v>
      </c>
      <c r="F1481" t="s">
        <v>30</v>
      </c>
      <c r="G1481" t="s">
        <v>33</v>
      </c>
      <c r="H1481">
        <v>6</v>
      </c>
      <c r="I1481">
        <v>32</v>
      </c>
      <c r="J1481">
        <v>100</v>
      </c>
      <c r="K1481">
        <v>109</v>
      </c>
      <c r="L1481">
        <v>4061.76</v>
      </c>
      <c r="M1481">
        <v>573.76</v>
      </c>
      <c r="N1481" s="1">
        <v>38246</v>
      </c>
      <c r="O1481" t="s">
        <v>25</v>
      </c>
      <c r="P1481">
        <v>3</v>
      </c>
      <c r="Q1481">
        <v>9</v>
      </c>
      <c r="R1481">
        <v>2004</v>
      </c>
      <c r="S1481" t="s">
        <v>234</v>
      </c>
    </row>
    <row r="1482" spans="1:19" x14ac:dyDescent="0.25">
      <c r="A1482">
        <v>10416</v>
      </c>
      <c r="B1482" t="s">
        <v>279</v>
      </c>
      <c r="C1482" t="s">
        <v>184</v>
      </c>
      <c r="D1482" t="s">
        <v>185</v>
      </c>
      <c r="E1482" t="s">
        <v>110</v>
      </c>
      <c r="F1482" t="s">
        <v>30</v>
      </c>
      <c r="G1482" t="s">
        <v>33</v>
      </c>
      <c r="H1482">
        <v>6</v>
      </c>
      <c r="I1482">
        <v>47</v>
      </c>
      <c r="J1482">
        <v>88.63</v>
      </c>
      <c r="K1482">
        <v>109</v>
      </c>
      <c r="L1482">
        <v>4165.6099999999997</v>
      </c>
      <c r="M1482">
        <v>-957.39</v>
      </c>
      <c r="N1482" s="1">
        <v>38482</v>
      </c>
      <c r="O1482" t="s">
        <v>25</v>
      </c>
      <c r="P1482">
        <v>2</v>
      </c>
      <c r="Q1482">
        <v>5</v>
      </c>
      <c r="R1482">
        <v>2005</v>
      </c>
      <c r="S1482" t="s">
        <v>234</v>
      </c>
    </row>
    <row r="1483" spans="1:19" x14ac:dyDescent="0.25">
      <c r="A1483">
        <v>10182</v>
      </c>
      <c r="B1483" t="s">
        <v>280</v>
      </c>
      <c r="C1483" t="s">
        <v>115</v>
      </c>
      <c r="D1483" t="s">
        <v>116</v>
      </c>
      <c r="E1483" t="s">
        <v>22</v>
      </c>
      <c r="F1483" t="s">
        <v>23</v>
      </c>
      <c r="G1483" t="s">
        <v>24</v>
      </c>
      <c r="H1483">
        <v>6</v>
      </c>
      <c r="I1483">
        <v>39</v>
      </c>
      <c r="J1483">
        <v>36.840000000000003</v>
      </c>
      <c r="K1483">
        <v>33</v>
      </c>
      <c r="L1483">
        <v>1436.76</v>
      </c>
      <c r="M1483">
        <v>149.76</v>
      </c>
      <c r="N1483" s="1">
        <v>37937</v>
      </c>
      <c r="O1483" t="s">
        <v>25</v>
      </c>
      <c r="P1483">
        <v>4</v>
      </c>
      <c r="Q1483">
        <v>11</v>
      </c>
      <c r="R1483">
        <v>2003</v>
      </c>
      <c r="S1483" t="s">
        <v>226</v>
      </c>
    </row>
    <row r="1484" spans="1:19" x14ac:dyDescent="0.25">
      <c r="A1484">
        <v>10227</v>
      </c>
      <c r="B1484" t="s">
        <v>280</v>
      </c>
      <c r="C1484" t="s">
        <v>95</v>
      </c>
      <c r="D1484" t="s">
        <v>96</v>
      </c>
      <c r="E1484" t="s">
        <v>29</v>
      </c>
      <c r="F1484" t="s">
        <v>30</v>
      </c>
      <c r="G1484" t="s">
        <v>24</v>
      </c>
      <c r="H1484">
        <v>6</v>
      </c>
      <c r="I1484">
        <v>42</v>
      </c>
      <c r="J1484">
        <v>29.21</v>
      </c>
      <c r="K1484">
        <v>33</v>
      </c>
      <c r="L1484">
        <v>1226.82</v>
      </c>
      <c r="M1484">
        <v>-159.18</v>
      </c>
      <c r="N1484" s="1">
        <v>38048</v>
      </c>
      <c r="O1484" t="s">
        <v>25</v>
      </c>
      <c r="P1484">
        <v>1</v>
      </c>
      <c r="Q1484">
        <v>3</v>
      </c>
      <c r="R1484">
        <v>2004</v>
      </c>
      <c r="S1484" t="s">
        <v>226</v>
      </c>
    </row>
    <row r="1485" spans="1:19" x14ac:dyDescent="0.25">
      <c r="A1485">
        <v>10332</v>
      </c>
      <c r="B1485" t="s">
        <v>280</v>
      </c>
      <c r="C1485" t="s">
        <v>197</v>
      </c>
      <c r="D1485" t="s">
        <v>198</v>
      </c>
      <c r="E1485" t="s">
        <v>77</v>
      </c>
      <c r="F1485" t="s">
        <v>30</v>
      </c>
      <c r="G1485" t="s">
        <v>33</v>
      </c>
      <c r="H1485">
        <v>6</v>
      </c>
      <c r="I1485">
        <v>45</v>
      </c>
      <c r="J1485">
        <v>81.91</v>
      </c>
      <c r="K1485">
        <v>33</v>
      </c>
      <c r="L1485">
        <v>3685.95</v>
      </c>
      <c r="M1485">
        <v>2200.9499999999998</v>
      </c>
      <c r="N1485" s="1">
        <v>38308</v>
      </c>
      <c r="O1485" t="s">
        <v>25</v>
      </c>
      <c r="P1485">
        <v>4</v>
      </c>
      <c r="Q1485">
        <v>11</v>
      </c>
      <c r="R1485">
        <v>2004</v>
      </c>
      <c r="S1485" t="s">
        <v>226</v>
      </c>
    </row>
    <row r="1486" spans="1:19" x14ac:dyDescent="0.25">
      <c r="A1486">
        <v>10344</v>
      </c>
      <c r="B1486" t="s">
        <v>280</v>
      </c>
      <c r="C1486" t="s">
        <v>176</v>
      </c>
      <c r="D1486" t="s">
        <v>177</v>
      </c>
      <c r="E1486" t="s">
        <v>29</v>
      </c>
      <c r="F1486" t="s">
        <v>30</v>
      </c>
      <c r="G1486" t="s">
        <v>24</v>
      </c>
      <c r="H1486">
        <v>6</v>
      </c>
      <c r="I1486">
        <v>20</v>
      </c>
      <c r="J1486">
        <v>35.18</v>
      </c>
      <c r="K1486">
        <v>33</v>
      </c>
      <c r="L1486">
        <v>703.6</v>
      </c>
      <c r="M1486">
        <v>43.6</v>
      </c>
      <c r="N1486" s="1">
        <v>38316</v>
      </c>
      <c r="O1486" t="s">
        <v>25</v>
      </c>
      <c r="P1486">
        <v>4</v>
      </c>
      <c r="Q1486">
        <v>11</v>
      </c>
      <c r="R1486">
        <v>2004</v>
      </c>
      <c r="S1486" t="s">
        <v>226</v>
      </c>
    </row>
    <row r="1487" spans="1:19" x14ac:dyDescent="0.25">
      <c r="A1487">
        <v>10168</v>
      </c>
      <c r="B1487" t="s">
        <v>281</v>
      </c>
      <c r="C1487" t="s">
        <v>38</v>
      </c>
      <c r="D1487" t="s">
        <v>39</v>
      </c>
      <c r="E1487" t="s">
        <v>22</v>
      </c>
      <c r="F1487" t="s">
        <v>23</v>
      </c>
      <c r="G1487" t="s">
        <v>24</v>
      </c>
      <c r="H1487">
        <v>6</v>
      </c>
      <c r="I1487">
        <v>29</v>
      </c>
      <c r="J1487">
        <v>75.41</v>
      </c>
      <c r="K1487">
        <v>76</v>
      </c>
      <c r="L1487">
        <v>2186.89</v>
      </c>
      <c r="M1487">
        <v>-17.11</v>
      </c>
      <c r="N1487" s="1">
        <v>37922</v>
      </c>
      <c r="O1487" t="s">
        <v>25</v>
      </c>
      <c r="P1487">
        <v>4</v>
      </c>
      <c r="Q1487">
        <v>10</v>
      </c>
      <c r="R1487">
        <v>2003</v>
      </c>
      <c r="S1487" t="s">
        <v>26</v>
      </c>
    </row>
    <row r="1488" spans="1:19" x14ac:dyDescent="0.25">
      <c r="A1488">
        <v>10188</v>
      </c>
      <c r="B1488" t="s">
        <v>281</v>
      </c>
      <c r="C1488" t="s">
        <v>42</v>
      </c>
      <c r="D1488" t="s">
        <v>43</v>
      </c>
      <c r="E1488" t="s">
        <v>44</v>
      </c>
      <c r="F1488" t="s">
        <v>30</v>
      </c>
      <c r="G1488" t="s">
        <v>33</v>
      </c>
      <c r="H1488">
        <v>6</v>
      </c>
      <c r="I1488">
        <v>40</v>
      </c>
      <c r="J1488">
        <v>91.4</v>
      </c>
      <c r="K1488">
        <v>76</v>
      </c>
      <c r="L1488">
        <v>3656</v>
      </c>
      <c r="M1488">
        <v>616</v>
      </c>
      <c r="N1488" s="1">
        <v>37943</v>
      </c>
      <c r="O1488" t="s">
        <v>25</v>
      </c>
      <c r="P1488">
        <v>4</v>
      </c>
      <c r="Q1488">
        <v>11</v>
      </c>
      <c r="R1488">
        <v>2003</v>
      </c>
      <c r="S1488" t="s">
        <v>26</v>
      </c>
    </row>
    <row r="1489" spans="1:19" x14ac:dyDescent="0.25">
      <c r="A1489">
        <v>10223</v>
      </c>
      <c r="B1489" t="s">
        <v>281</v>
      </c>
      <c r="C1489" t="s">
        <v>47</v>
      </c>
      <c r="D1489" t="s">
        <v>48</v>
      </c>
      <c r="E1489" t="s">
        <v>49</v>
      </c>
      <c r="F1489" t="s">
        <v>50</v>
      </c>
      <c r="G1489" t="s">
        <v>24</v>
      </c>
      <c r="H1489">
        <v>6</v>
      </c>
      <c r="I1489">
        <v>38</v>
      </c>
      <c r="J1489">
        <v>69.31</v>
      </c>
      <c r="K1489">
        <v>76</v>
      </c>
      <c r="L1489">
        <v>2633.78</v>
      </c>
      <c r="M1489">
        <v>-254.22</v>
      </c>
      <c r="N1489" s="1">
        <v>38037</v>
      </c>
      <c r="O1489" t="s">
        <v>25</v>
      </c>
      <c r="P1489">
        <v>1</v>
      </c>
      <c r="Q1489">
        <v>2</v>
      </c>
      <c r="R1489">
        <v>2004</v>
      </c>
      <c r="S1489" t="s">
        <v>26</v>
      </c>
    </row>
    <row r="1490" spans="1:19" x14ac:dyDescent="0.25">
      <c r="A1490">
        <v>10275</v>
      </c>
      <c r="B1490" t="s">
        <v>281</v>
      </c>
      <c r="C1490" t="s">
        <v>56</v>
      </c>
      <c r="D1490" t="s">
        <v>57</v>
      </c>
      <c r="E1490" t="s">
        <v>29</v>
      </c>
      <c r="F1490" t="s">
        <v>30</v>
      </c>
      <c r="G1490" t="s">
        <v>24</v>
      </c>
      <c r="H1490">
        <v>6</v>
      </c>
      <c r="I1490">
        <v>30</v>
      </c>
      <c r="J1490">
        <v>79.98</v>
      </c>
      <c r="K1490">
        <v>76</v>
      </c>
      <c r="L1490">
        <v>2399.4</v>
      </c>
      <c r="M1490">
        <v>119.4</v>
      </c>
      <c r="N1490" s="1">
        <v>38191</v>
      </c>
      <c r="O1490" t="s">
        <v>25</v>
      </c>
      <c r="P1490">
        <v>3</v>
      </c>
      <c r="Q1490">
        <v>7</v>
      </c>
      <c r="R1490">
        <v>2004</v>
      </c>
      <c r="S1490" t="s">
        <v>26</v>
      </c>
    </row>
    <row r="1491" spans="1:19" x14ac:dyDescent="0.25">
      <c r="A1491">
        <v>10318</v>
      </c>
      <c r="B1491" t="s">
        <v>281</v>
      </c>
      <c r="C1491" t="s">
        <v>65</v>
      </c>
      <c r="D1491" t="s">
        <v>66</v>
      </c>
      <c r="E1491" t="s">
        <v>22</v>
      </c>
      <c r="F1491" t="s">
        <v>23</v>
      </c>
      <c r="G1491" t="s">
        <v>24</v>
      </c>
      <c r="H1491">
        <v>6</v>
      </c>
      <c r="I1491">
        <v>26</v>
      </c>
      <c r="J1491">
        <v>86.83</v>
      </c>
      <c r="K1491">
        <v>76</v>
      </c>
      <c r="L1491">
        <v>2257.58</v>
      </c>
      <c r="M1491">
        <v>281.58</v>
      </c>
      <c r="N1491" s="1">
        <v>38293</v>
      </c>
      <c r="O1491" t="s">
        <v>25</v>
      </c>
      <c r="P1491">
        <v>4</v>
      </c>
      <c r="Q1491">
        <v>11</v>
      </c>
      <c r="R1491">
        <v>2004</v>
      </c>
      <c r="S1491" t="s">
        <v>26</v>
      </c>
    </row>
    <row r="1492" spans="1:19" x14ac:dyDescent="0.25">
      <c r="A1492">
        <v>10142</v>
      </c>
      <c r="B1492" t="s">
        <v>282</v>
      </c>
      <c r="C1492" t="s">
        <v>115</v>
      </c>
      <c r="D1492" t="s">
        <v>116</v>
      </c>
      <c r="E1492" t="s">
        <v>22</v>
      </c>
      <c r="F1492" t="s">
        <v>23</v>
      </c>
      <c r="G1492" t="s">
        <v>33</v>
      </c>
      <c r="H1492">
        <v>6</v>
      </c>
      <c r="I1492">
        <v>33</v>
      </c>
      <c r="J1492">
        <v>100</v>
      </c>
      <c r="K1492">
        <v>122</v>
      </c>
      <c r="L1492">
        <v>3366</v>
      </c>
      <c r="M1492">
        <v>-660</v>
      </c>
      <c r="N1492" s="1">
        <v>37841</v>
      </c>
      <c r="O1492" t="s">
        <v>25</v>
      </c>
      <c r="P1492">
        <v>3</v>
      </c>
      <c r="Q1492">
        <v>8</v>
      </c>
      <c r="R1492">
        <v>2003</v>
      </c>
      <c r="S1492" t="s">
        <v>255</v>
      </c>
    </row>
    <row r="1493" spans="1:19" x14ac:dyDescent="0.25">
      <c r="A1493">
        <v>10315</v>
      </c>
      <c r="B1493" t="s">
        <v>282</v>
      </c>
      <c r="C1493" t="s">
        <v>56</v>
      </c>
      <c r="D1493" t="s">
        <v>57</v>
      </c>
      <c r="E1493" t="s">
        <v>29</v>
      </c>
      <c r="F1493" t="s">
        <v>30</v>
      </c>
      <c r="G1493" t="s">
        <v>33</v>
      </c>
      <c r="H1493">
        <v>6</v>
      </c>
      <c r="I1493">
        <v>35</v>
      </c>
      <c r="J1493">
        <v>100</v>
      </c>
      <c r="K1493">
        <v>122</v>
      </c>
      <c r="L1493">
        <v>4215.05</v>
      </c>
      <c r="M1493">
        <v>-54.95</v>
      </c>
      <c r="N1493" s="1">
        <v>38289</v>
      </c>
      <c r="O1493" t="s">
        <v>25</v>
      </c>
      <c r="P1493">
        <v>4</v>
      </c>
      <c r="Q1493">
        <v>10</v>
      </c>
      <c r="R1493">
        <v>2004</v>
      </c>
      <c r="S1493" t="s">
        <v>255</v>
      </c>
    </row>
    <row r="1494" spans="1:19" x14ac:dyDescent="0.25">
      <c r="A1494">
        <v>10396</v>
      </c>
      <c r="B1494" t="s">
        <v>282</v>
      </c>
      <c r="C1494" t="s">
        <v>115</v>
      </c>
      <c r="D1494" t="s">
        <v>116</v>
      </c>
      <c r="E1494" t="s">
        <v>22</v>
      </c>
      <c r="F1494" t="s">
        <v>23</v>
      </c>
      <c r="G1494" t="s">
        <v>33</v>
      </c>
      <c r="H1494">
        <v>6</v>
      </c>
      <c r="I1494">
        <v>49</v>
      </c>
      <c r="J1494">
        <v>100</v>
      </c>
      <c r="K1494">
        <v>122</v>
      </c>
      <c r="L1494">
        <v>5720.75</v>
      </c>
      <c r="M1494">
        <v>-257.25</v>
      </c>
      <c r="N1494" s="1">
        <v>38434</v>
      </c>
      <c r="O1494" t="s">
        <v>25</v>
      </c>
      <c r="P1494">
        <v>1</v>
      </c>
      <c r="Q1494">
        <v>3</v>
      </c>
      <c r="R1494">
        <v>2005</v>
      </c>
      <c r="S1494" t="s">
        <v>255</v>
      </c>
    </row>
    <row r="1495" spans="1:19" x14ac:dyDescent="0.25">
      <c r="A1495">
        <v>10149</v>
      </c>
      <c r="B1495" t="s">
        <v>283</v>
      </c>
      <c r="C1495" t="s">
        <v>214</v>
      </c>
      <c r="D1495" t="s">
        <v>215</v>
      </c>
      <c r="E1495" t="s">
        <v>22</v>
      </c>
      <c r="F1495" t="s">
        <v>23</v>
      </c>
      <c r="G1495" t="s">
        <v>24</v>
      </c>
      <c r="H1495">
        <v>6</v>
      </c>
      <c r="I1495">
        <v>49</v>
      </c>
      <c r="J1495">
        <v>49.28</v>
      </c>
      <c r="K1495">
        <v>44</v>
      </c>
      <c r="L1495">
        <v>2414.7199999999998</v>
      </c>
      <c r="M1495">
        <v>258.72000000000003</v>
      </c>
      <c r="N1495" s="1">
        <v>37876</v>
      </c>
      <c r="O1495" t="s">
        <v>25</v>
      </c>
      <c r="P1495">
        <v>3</v>
      </c>
      <c r="Q1495">
        <v>9</v>
      </c>
      <c r="R1495">
        <v>2003</v>
      </c>
      <c r="S1495" t="s">
        <v>226</v>
      </c>
    </row>
    <row r="1496" spans="1:19" x14ac:dyDescent="0.25">
      <c r="A1496">
        <v>10175</v>
      </c>
      <c r="B1496" t="s">
        <v>284</v>
      </c>
      <c r="C1496" t="s">
        <v>138</v>
      </c>
      <c r="D1496" t="s">
        <v>139</v>
      </c>
      <c r="E1496" t="s">
        <v>77</v>
      </c>
      <c r="F1496" t="s">
        <v>30</v>
      </c>
      <c r="G1496" t="s">
        <v>24</v>
      </c>
      <c r="H1496">
        <v>6</v>
      </c>
      <c r="I1496">
        <v>28</v>
      </c>
      <c r="J1496">
        <v>100</v>
      </c>
      <c r="K1496">
        <v>127</v>
      </c>
      <c r="L1496">
        <v>2969.96</v>
      </c>
      <c r="M1496">
        <v>-586.04</v>
      </c>
      <c r="N1496" s="1">
        <v>37931</v>
      </c>
      <c r="O1496" t="s">
        <v>25</v>
      </c>
      <c r="P1496">
        <v>4</v>
      </c>
      <c r="Q1496">
        <v>11</v>
      </c>
      <c r="R1496">
        <v>2003</v>
      </c>
      <c r="S1496" t="s">
        <v>202</v>
      </c>
    </row>
    <row r="1497" spans="1:19" x14ac:dyDescent="0.25">
      <c r="A1497">
        <v>10229</v>
      </c>
      <c r="B1497" t="s">
        <v>284</v>
      </c>
      <c r="C1497" t="s">
        <v>115</v>
      </c>
      <c r="D1497" t="s">
        <v>116</v>
      </c>
      <c r="E1497" t="s">
        <v>22</v>
      </c>
      <c r="F1497" t="s">
        <v>23</v>
      </c>
      <c r="G1497" t="s">
        <v>33</v>
      </c>
      <c r="H1497">
        <v>6</v>
      </c>
      <c r="I1497">
        <v>48</v>
      </c>
      <c r="J1497">
        <v>100</v>
      </c>
      <c r="K1497">
        <v>127</v>
      </c>
      <c r="L1497">
        <v>5704.32</v>
      </c>
      <c r="M1497">
        <v>-391.68</v>
      </c>
      <c r="N1497" s="1">
        <v>38057</v>
      </c>
      <c r="O1497" t="s">
        <v>25</v>
      </c>
      <c r="P1497">
        <v>1</v>
      </c>
      <c r="Q1497">
        <v>3</v>
      </c>
      <c r="R1497">
        <v>2004</v>
      </c>
      <c r="S1497" t="s">
        <v>202</v>
      </c>
    </row>
    <row r="1498" spans="1:19" x14ac:dyDescent="0.25">
      <c r="A1498">
        <v>10281</v>
      </c>
      <c r="B1498" t="s">
        <v>284</v>
      </c>
      <c r="C1498" t="s">
        <v>65</v>
      </c>
      <c r="D1498" t="s">
        <v>66</v>
      </c>
      <c r="E1498" t="s">
        <v>22</v>
      </c>
      <c r="F1498" t="s">
        <v>23</v>
      </c>
      <c r="G1498" t="s">
        <v>24</v>
      </c>
      <c r="H1498">
        <v>6</v>
      </c>
      <c r="I1498">
        <v>25</v>
      </c>
      <c r="J1498">
        <v>100</v>
      </c>
      <c r="K1498">
        <v>127</v>
      </c>
      <c r="L1498">
        <v>2779.5</v>
      </c>
      <c r="M1498">
        <v>-395.5</v>
      </c>
      <c r="N1498" s="1">
        <v>38218</v>
      </c>
      <c r="O1498" t="s">
        <v>25</v>
      </c>
      <c r="P1498">
        <v>3</v>
      </c>
      <c r="Q1498">
        <v>8</v>
      </c>
      <c r="R1498">
        <v>2004</v>
      </c>
      <c r="S1498" t="s">
        <v>202</v>
      </c>
    </row>
    <row r="1499" spans="1:19" x14ac:dyDescent="0.25">
      <c r="A1499">
        <v>10180</v>
      </c>
      <c r="B1499" t="s">
        <v>285</v>
      </c>
      <c r="C1499" t="s">
        <v>40</v>
      </c>
      <c r="D1499" t="s">
        <v>41</v>
      </c>
      <c r="E1499" t="s">
        <v>29</v>
      </c>
      <c r="F1499" t="s">
        <v>30</v>
      </c>
      <c r="G1499" t="s">
        <v>24</v>
      </c>
      <c r="H1499">
        <v>6</v>
      </c>
      <c r="I1499">
        <v>35</v>
      </c>
      <c r="J1499">
        <v>72.03</v>
      </c>
      <c r="K1499">
        <v>69</v>
      </c>
      <c r="L1499">
        <v>2521.0500000000002</v>
      </c>
      <c r="M1499">
        <v>106.05</v>
      </c>
      <c r="N1499" s="1">
        <v>37936</v>
      </c>
      <c r="O1499" t="s">
        <v>25</v>
      </c>
      <c r="P1499">
        <v>4</v>
      </c>
      <c r="Q1499">
        <v>11</v>
      </c>
      <c r="R1499">
        <v>2003</v>
      </c>
      <c r="S1499" t="s">
        <v>26</v>
      </c>
    </row>
    <row r="1500" spans="1:19" x14ac:dyDescent="0.25">
      <c r="A1500">
        <v>10264</v>
      </c>
      <c r="B1500" t="s">
        <v>285</v>
      </c>
      <c r="C1500" t="s">
        <v>156</v>
      </c>
      <c r="D1500" t="s">
        <v>157</v>
      </c>
      <c r="E1500" t="s">
        <v>22</v>
      </c>
      <c r="F1500" t="s">
        <v>23</v>
      </c>
      <c r="G1500" t="s">
        <v>24</v>
      </c>
      <c r="H1500">
        <v>6</v>
      </c>
      <c r="I1500">
        <v>37</v>
      </c>
      <c r="J1500">
        <v>65.099999999999994</v>
      </c>
      <c r="K1500">
        <v>69</v>
      </c>
      <c r="L1500">
        <v>2408.6999999999998</v>
      </c>
      <c r="M1500">
        <v>-144.30000000000001</v>
      </c>
      <c r="N1500" s="1">
        <v>38168</v>
      </c>
      <c r="O1500" t="s">
        <v>25</v>
      </c>
      <c r="P1500">
        <v>2</v>
      </c>
      <c r="Q1500">
        <v>6</v>
      </c>
      <c r="R1500">
        <v>2004</v>
      </c>
      <c r="S1500" t="s">
        <v>26</v>
      </c>
    </row>
    <row r="1501" spans="1:19" x14ac:dyDescent="0.25">
      <c r="A1501">
        <v>10299</v>
      </c>
      <c r="B1501" t="s">
        <v>285</v>
      </c>
      <c r="C1501" t="s">
        <v>60</v>
      </c>
      <c r="D1501" t="s">
        <v>61</v>
      </c>
      <c r="E1501" t="s">
        <v>62</v>
      </c>
      <c r="F1501" t="s">
        <v>30</v>
      </c>
      <c r="G1501" t="s">
        <v>24</v>
      </c>
      <c r="H1501">
        <v>6</v>
      </c>
      <c r="I1501">
        <v>33</v>
      </c>
      <c r="J1501">
        <v>66.489999999999995</v>
      </c>
      <c r="K1501">
        <v>69</v>
      </c>
      <c r="L1501">
        <v>2194.17</v>
      </c>
      <c r="M1501">
        <v>-82.83</v>
      </c>
      <c r="N1501" s="1">
        <v>38260</v>
      </c>
      <c r="O1501" t="s">
        <v>25</v>
      </c>
      <c r="P1501">
        <v>3</v>
      </c>
      <c r="Q1501">
        <v>9</v>
      </c>
      <c r="R1501">
        <v>2004</v>
      </c>
      <c r="S1501" t="s">
        <v>26</v>
      </c>
    </row>
    <row r="1502" spans="1:19" x14ac:dyDescent="0.25">
      <c r="A1502">
        <v>10341</v>
      </c>
      <c r="B1502" t="s">
        <v>285</v>
      </c>
      <c r="C1502" t="s">
        <v>67</v>
      </c>
      <c r="D1502" t="s">
        <v>68</v>
      </c>
      <c r="E1502" t="s">
        <v>69</v>
      </c>
      <c r="F1502" t="s">
        <v>30</v>
      </c>
      <c r="G1502" t="s">
        <v>33</v>
      </c>
      <c r="H1502">
        <v>6</v>
      </c>
      <c r="I1502">
        <v>32</v>
      </c>
      <c r="J1502">
        <v>100</v>
      </c>
      <c r="K1502">
        <v>69</v>
      </c>
      <c r="L1502">
        <v>3307.2</v>
      </c>
      <c r="M1502">
        <v>1099.2</v>
      </c>
      <c r="N1502" s="1">
        <v>38315</v>
      </c>
      <c r="O1502" t="s">
        <v>25</v>
      </c>
      <c r="P1502">
        <v>4</v>
      </c>
      <c r="Q1502">
        <v>11</v>
      </c>
      <c r="R1502">
        <v>2004</v>
      </c>
      <c r="S1502" t="s">
        <v>26</v>
      </c>
    </row>
    <row r="1503" spans="1:19" x14ac:dyDescent="0.25">
      <c r="A1503">
        <v>10241</v>
      </c>
      <c r="B1503" t="s">
        <v>286</v>
      </c>
      <c r="C1503" t="s">
        <v>217</v>
      </c>
      <c r="D1503" t="s">
        <v>218</v>
      </c>
      <c r="E1503" t="s">
        <v>29</v>
      </c>
      <c r="F1503" t="s">
        <v>30</v>
      </c>
      <c r="G1503" t="s">
        <v>33</v>
      </c>
      <c r="H1503">
        <v>6</v>
      </c>
      <c r="I1503">
        <v>47</v>
      </c>
      <c r="J1503">
        <v>94.5</v>
      </c>
      <c r="K1503">
        <v>90</v>
      </c>
      <c r="L1503">
        <v>4441.5</v>
      </c>
      <c r="M1503">
        <v>211.5</v>
      </c>
      <c r="N1503" s="1">
        <v>38090</v>
      </c>
      <c r="O1503" t="s">
        <v>25</v>
      </c>
      <c r="P1503">
        <v>2</v>
      </c>
      <c r="Q1503">
        <v>4</v>
      </c>
      <c r="R1503">
        <v>2004</v>
      </c>
      <c r="S1503" t="s">
        <v>83</v>
      </c>
    </row>
    <row r="1504" spans="1:19" x14ac:dyDescent="0.25">
      <c r="A1504">
        <v>10380</v>
      </c>
      <c r="B1504" t="s">
        <v>286</v>
      </c>
      <c r="C1504" t="s">
        <v>78</v>
      </c>
      <c r="D1504" t="s">
        <v>79</v>
      </c>
      <c r="E1504" t="s">
        <v>80</v>
      </c>
      <c r="F1504" t="s">
        <v>30</v>
      </c>
      <c r="G1504" t="s">
        <v>24</v>
      </c>
      <c r="H1504">
        <v>6</v>
      </c>
      <c r="I1504">
        <v>36</v>
      </c>
      <c r="J1504">
        <v>37.5</v>
      </c>
      <c r="K1504">
        <v>90</v>
      </c>
      <c r="L1504">
        <v>1350</v>
      </c>
      <c r="M1504">
        <v>-1890</v>
      </c>
      <c r="N1504" s="1">
        <v>38399</v>
      </c>
      <c r="O1504" t="s">
        <v>25</v>
      </c>
      <c r="P1504">
        <v>1</v>
      </c>
      <c r="Q1504">
        <v>2</v>
      </c>
      <c r="R1504">
        <v>2005</v>
      </c>
      <c r="S1504" t="s">
        <v>83</v>
      </c>
    </row>
    <row r="1505" spans="1:19" x14ac:dyDescent="0.25">
      <c r="A1505">
        <v>10407</v>
      </c>
      <c r="B1505" t="s">
        <v>286</v>
      </c>
      <c r="C1505" t="s">
        <v>162</v>
      </c>
      <c r="D1505" t="s">
        <v>163</v>
      </c>
      <c r="E1505" t="s">
        <v>22</v>
      </c>
      <c r="F1505" t="s">
        <v>23</v>
      </c>
      <c r="G1505" t="s">
        <v>70</v>
      </c>
      <c r="H1505">
        <v>6</v>
      </c>
      <c r="I1505">
        <v>76</v>
      </c>
      <c r="J1505">
        <v>94.5</v>
      </c>
      <c r="K1505">
        <v>90</v>
      </c>
      <c r="L1505">
        <v>7182</v>
      </c>
      <c r="M1505">
        <v>342</v>
      </c>
      <c r="N1505" s="1">
        <v>38464</v>
      </c>
      <c r="O1505" t="s">
        <v>164</v>
      </c>
      <c r="P1505">
        <v>2</v>
      </c>
      <c r="Q1505">
        <v>4</v>
      </c>
      <c r="R1505">
        <v>2005</v>
      </c>
      <c r="S1505" t="s">
        <v>83</v>
      </c>
    </row>
    <row r="1506" spans="1:19" x14ac:dyDescent="0.25">
      <c r="A1506">
        <v>10141</v>
      </c>
      <c r="B1506" t="s">
        <v>287</v>
      </c>
      <c r="C1506" t="s">
        <v>189</v>
      </c>
      <c r="D1506" t="s">
        <v>190</v>
      </c>
      <c r="E1506" t="s">
        <v>62</v>
      </c>
      <c r="F1506" t="s">
        <v>30</v>
      </c>
      <c r="G1506" t="s">
        <v>24</v>
      </c>
      <c r="H1506">
        <v>6</v>
      </c>
      <c r="I1506">
        <v>21</v>
      </c>
      <c r="J1506">
        <v>42.43</v>
      </c>
      <c r="K1506">
        <v>35</v>
      </c>
      <c r="L1506">
        <v>891.03</v>
      </c>
      <c r="M1506">
        <v>156.03</v>
      </c>
      <c r="N1506" s="1">
        <v>37834</v>
      </c>
      <c r="O1506" t="s">
        <v>25</v>
      </c>
      <c r="P1506">
        <v>3</v>
      </c>
      <c r="Q1506">
        <v>8</v>
      </c>
      <c r="R1506">
        <v>2003</v>
      </c>
      <c r="S1506" t="s">
        <v>83</v>
      </c>
    </row>
    <row r="1507" spans="1:19" x14ac:dyDescent="0.25">
      <c r="A1507">
        <v>10246</v>
      </c>
      <c r="B1507" t="s">
        <v>287</v>
      </c>
      <c r="C1507" t="s">
        <v>78</v>
      </c>
      <c r="D1507" t="s">
        <v>79</v>
      </c>
      <c r="E1507" t="s">
        <v>80</v>
      </c>
      <c r="F1507" t="s">
        <v>30</v>
      </c>
      <c r="G1507" t="s">
        <v>24</v>
      </c>
      <c r="H1507">
        <v>6</v>
      </c>
      <c r="I1507">
        <v>49</v>
      </c>
      <c r="J1507">
        <v>36.07</v>
      </c>
      <c r="K1507">
        <v>35</v>
      </c>
      <c r="L1507">
        <v>1767.43</v>
      </c>
      <c r="M1507">
        <v>52.43</v>
      </c>
      <c r="N1507" s="1">
        <v>38112</v>
      </c>
      <c r="O1507" t="s">
        <v>25</v>
      </c>
      <c r="P1507">
        <v>2</v>
      </c>
      <c r="Q1507">
        <v>5</v>
      </c>
      <c r="R1507">
        <v>2004</v>
      </c>
      <c r="S1507" t="s">
        <v>83</v>
      </c>
    </row>
    <row r="1508" spans="1:19" x14ac:dyDescent="0.25">
      <c r="A1508">
        <v>10271</v>
      </c>
      <c r="B1508" t="s">
        <v>287</v>
      </c>
      <c r="C1508" t="s">
        <v>115</v>
      </c>
      <c r="D1508" t="s">
        <v>116</v>
      </c>
      <c r="E1508" t="s">
        <v>22</v>
      </c>
      <c r="F1508" t="s">
        <v>23</v>
      </c>
      <c r="G1508" t="s">
        <v>24</v>
      </c>
      <c r="H1508">
        <v>6</v>
      </c>
      <c r="I1508">
        <v>38</v>
      </c>
      <c r="J1508">
        <v>41.72</v>
      </c>
      <c r="K1508">
        <v>35</v>
      </c>
      <c r="L1508">
        <v>1585.36</v>
      </c>
      <c r="M1508">
        <v>255.36</v>
      </c>
      <c r="N1508" s="1">
        <v>38188</v>
      </c>
      <c r="O1508" t="s">
        <v>25</v>
      </c>
      <c r="P1508">
        <v>3</v>
      </c>
      <c r="Q1508">
        <v>7</v>
      </c>
      <c r="R1508">
        <v>2004</v>
      </c>
      <c r="S1508" t="s">
        <v>83</v>
      </c>
    </row>
    <row r="1509" spans="1:19" x14ac:dyDescent="0.25">
      <c r="A1509">
        <v>10305</v>
      </c>
      <c r="B1509" t="s">
        <v>287</v>
      </c>
      <c r="C1509" t="s">
        <v>58</v>
      </c>
      <c r="D1509" t="s">
        <v>59</v>
      </c>
      <c r="E1509" t="s">
        <v>22</v>
      </c>
      <c r="F1509" t="s">
        <v>23</v>
      </c>
      <c r="G1509" t="s">
        <v>24</v>
      </c>
      <c r="H1509">
        <v>6</v>
      </c>
      <c r="I1509">
        <v>48</v>
      </c>
      <c r="J1509">
        <v>31.47</v>
      </c>
      <c r="K1509">
        <v>35</v>
      </c>
      <c r="L1509">
        <v>1510.56</v>
      </c>
      <c r="M1509">
        <v>-169.44</v>
      </c>
      <c r="N1509" s="1">
        <v>38273</v>
      </c>
      <c r="O1509" t="s">
        <v>25</v>
      </c>
      <c r="P1509">
        <v>4</v>
      </c>
      <c r="Q1509">
        <v>10</v>
      </c>
      <c r="R1509">
        <v>2004</v>
      </c>
      <c r="S1509" t="s">
        <v>83</v>
      </c>
    </row>
    <row r="1510" spans="1:19" x14ac:dyDescent="0.25">
      <c r="A1510">
        <v>10394</v>
      </c>
      <c r="B1510" t="s">
        <v>287</v>
      </c>
      <c r="C1510" t="s">
        <v>78</v>
      </c>
      <c r="D1510" t="s">
        <v>79</v>
      </c>
      <c r="E1510" t="s">
        <v>80</v>
      </c>
      <c r="F1510" t="s">
        <v>30</v>
      </c>
      <c r="G1510" t="s">
        <v>24</v>
      </c>
      <c r="H1510">
        <v>6</v>
      </c>
      <c r="I1510">
        <v>46</v>
      </c>
      <c r="J1510">
        <v>38.9</v>
      </c>
      <c r="K1510">
        <v>35</v>
      </c>
      <c r="L1510">
        <v>1789.4</v>
      </c>
      <c r="M1510">
        <v>179.4</v>
      </c>
      <c r="N1510" s="1">
        <v>38426</v>
      </c>
      <c r="O1510" t="s">
        <v>25</v>
      </c>
      <c r="P1510">
        <v>1</v>
      </c>
      <c r="Q1510">
        <v>3</v>
      </c>
      <c r="R1510">
        <v>2005</v>
      </c>
      <c r="S1510" t="s">
        <v>83</v>
      </c>
    </row>
    <row r="1511" spans="1:19" x14ac:dyDescent="0.25">
      <c r="A1511">
        <v>10412</v>
      </c>
      <c r="B1511" t="s">
        <v>287</v>
      </c>
      <c r="C1511" t="s">
        <v>78</v>
      </c>
      <c r="D1511" t="s">
        <v>79</v>
      </c>
      <c r="E1511" t="s">
        <v>80</v>
      </c>
      <c r="F1511" t="s">
        <v>30</v>
      </c>
      <c r="G1511" t="s">
        <v>24</v>
      </c>
      <c r="H1511">
        <v>6</v>
      </c>
      <c r="I1511">
        <v>30</v>
      </c>
      <c r="J1511">
        <v>36.07</v>
      </c>
      <c r="K1511">
        <v>35</v>
      </c>
      <c r="L1511">
        <v>1082.0999999999999</v>
      </c>
      <c r="M1511">
        <v>32.1</v>
      </c>
      <c r="N1511" s="1">
        <v>38475</v>
      </c>
      <c r="O1511" t="s">
        <v>25</v>
      </c>
      <c r="P1511">
        <v>2</v>
      </c>
      <c r="Q1511">
        <v>5</v>
      </c>
      <c r="R1511">
        <v>2005</v>
      </c>
      <c r="S1511" t="s">
        <v>83</v>
      </c>
    </row>
    <row r="1512" spans="1:19" x14ac:dyDescent="0.25">
      <c r="A1512">
        <v>10155</v>
      </c>
      <c r="B1512" t="s">
        <v>288</v>
      </c>
      <c r="C1512" t="s">
        <v>60</v>
      </c>
      <c r="D1512" t="s">
        <v>61</v>
      </c>
      <c r="E1512" t="s">
        <v>62</v>
      </c>
      <c r="F1512" t="s">
        <v>30</v>
      </c>
      <c r="G1512" t="s">
        <v>24</v>
      </c>
      <c r="H1512">
        <v>6</v>
      </c>
      <c r="I1512">
        <v>23</v>
      </c>
      <c r="J1512">
        <v>72.62</v>
      </c>
      <c r="K1512">
        <v>68</v>
      </c>
      <c r="L1512">
        <v>1670.26</v>
      </c>
      <c r="M1512">
        <v>106.26</v>
      </c>
      <c r="N1512" s="1">
        <v>37900</v>
      </c>
      <c r="O1512" t="s">
        <v>25</v>
      </c>
      <c r="P1512">
        <v>4</v>
      </c>
      <c r="Q1512">
        <v>10</v>
      </c>
      <c r="R1512">
        <v>2003</v>
      </c>
      <c r="S1512" t="s">
        <v>234</v>
      </c>
    </row>
    <row r="1513" spans="1:19" x14ac:dyDescent="0.25">
      <c r="A1513">
        <v>10109</v>
      </c>
      <c r="B1513" t="s">
        <v>290</v>
      </c>
      <c r="C1513" t="s">
        <v>129</v>
      </c>
      <c r="D1513" t="s">
        <v>94</v>
      </c>
      <c r="E1513" t="s">
        <v>22</v>
      </c>
      <c r="F1513" t="s">
        <v>23</v>
      </c>
      <c r="G1513" t="s">
        <v>24</v>
      </c>
      <c r="H1513">
        <v>6</v>
      </c>
      <c r="I1513">
        <v>29</v>
      </c>
      <c r="J1513">
        <v>32.1</v>
      </c>
      <c r="K1513">
        <v>37</v>
      </c>
      <c r="L1513">
        <v>930.9</v>
      </c>
      <c r="M1513">
        <v>-142.1</v>
      </c>
      <c r="N1513" s="1">
        <v>37690</v>
      </c>
      <c r="O1513" t="s">
        <v>25</v>
      </c>
      <c r="P1513">
        <v>1</v>
      </c>
      <c r="Q1513">
        <v>3</v>
      </c>
      <c r="R1513">
        <v>2003</v>
      </c>
      <c r="S1513" t="s">
        <v>83</v>
      </c>
    </row>
    <row r="1514" spans="1:19" x14ac:dyDescent="0.25">
      <c r="A1514">
        <v>10287</v>
      </c>
      <c r="B1514" t="s">
        <v>290</v>
      </c>
      <c r="C1514" t="s">
        <v>181</v>
      </c>
      <c r="D1514" t="s">
        <v>182</v>
      </c>
      <c r="E1514" t="s">
        <v>183</v>
      </c>
      <c r="F1514" t="s">
        <v>30</v>
      </c>
      <c r="G1514" t="s">
        <v>24</v>
      </c>
      <c r="H1514">
        <v>6</v>
      </c>
      <c r="I1514">
        <v>36</v>
      </c>
      <c r="J1514">
        <v>39.65</v>
      </c>
      <c r="K1514">
        <v>37</v>
      </c>
      <c r="L1514">
        <v>1427.4</v>
      </c>
      <c r="M1514">
        <v>95.4</v>
      </c>
      <c r="N1514" s="1">
        <v>38229</v>
      </c>
      <c r="O1514" t="s">
        <v>25</v>
      </c>
      <c r="P1514">
        <v>3</v>
      </c>
      <c r="Q1514">
        <v>8</v>
      </c>
      <c r="R1514">
        <v>2004</v>
      </c>
      <c r="S1514" t="s">
        <v>83</v>
      </c>
    </row>
    <row r="1515" spans="1:19" x14ac:dyDescent="0.25">
      <c r="A1515">
        <v>10273</v>
      </c>
      <c r="B1515" t="s">
        <v>291</v>
      </c>
      <c r="C1515" t="s">
        <v>151</v>
      </c>
      <c r="D1515" t="s">
        <v>152</v>
      </c>
      <c r="E1515" t="s">
        <v>153</v>
      </c>
      <c r="F1515" t="s">
        <v>30</v>
      </c>
      <c r="G1515" t="s">
        <v>24</v>
      </c>
      <c r="H1515">
        <v>6</v>
      </c>
      <c r="I1515">
        <v>27</v>
      </c>
      <c r="J1515">
        <v>100</v>
      </c>
      <c r="K1515">
        <v>88</v>
      </c>
      <c r="L1515">
        <v>2796.12</v>
      </c>
      <c r="M1515">
        <v>420.12</v>
      </c>
      <c r="N1515" s="1">
        <v>38189</v>
      </c>
      <c r="O1515" t="s">
        <v>25</v>
      </c>
      <c r="P1515">
        <v>3</v>
      </c>
      <c r="Q1515">
        <v>7</v>
      </c>
      <c r="R1515">
        <v>2004</v>
      </c>
      <c r="S1515" t="s">
        <v>226</v>
      </c>
    </row>
    <row r="1516" spans="1:19" x14ac:dyDescent="0.25">
      <c r="A1516">
        <v>10302</v>
      </c>
      <c r="B1516" t="s">
        <v>292</v>
      </c>
      <c r="C1516" t="s">
        <v>75</v>
      </c>
      <c r="D1516" t="s">
        <v>76</v>
      </c>
      <c r="E1516" t="s">
        <v>77</v>
      </c>
      <c r="F1516" t="s">
        <v>30</v>
      </c>
      <c r="G1516" t="s">
        <v>33</v>
      </c>
      <c r="H1516">
        <v>6</v>
      </c>
      <c r="I1516">
        <v>48</v>
      </c>
      <c r="J1516">
        <v>74.48</v>
      </c>
      <c r="K1516">
        <v>85</v>
      </c>
      <c r="L1516">
        <v>3575.04</v>
      </c>
      <c r="M1516">
        <v>-504.96</v>
      </c>
      <c r="N1516" s="1">
        <v>37900</v>
      </c>
      <c r="O1516" t="s">
        <v>25</v>
      </c>
      <c r="P1516">
        <v>4</v>
      </c>
      <c r="Q1516">
        <v>10</v>
      </c>
      <c r="R1516">
        <v>2003</v>
      </c>
      <c r="S1516" t="s">
        <v>83</v>
      </c>
    </row>
    <row r="1517" spans="1:19" x14ac:dyDescent="0.25">
      <c r="A1517">
        <v>10135</v>
      </c>
      <c r="B1517" t="s">
        <v>293</v>
      </c>
      <c r="C1517" t="s">
        <v>115</v>
      </c>
      <c r="D1517" t="s">
        <v>116</v>
      </c>
      <c r="E1517" t="s">
        <v>22</v>
      </c>
      <c r="F1517" t="s">
        <v>23</v>
      </c>
      <c r="G1517" t="s">
        <v>24</v>
      </c>
      <c r="H1517">
        <v>6</v>
      </c>
      <c r="I1517">
        <v>27</v>
      </c>
      <c r="J1517">
        <v>66.13</v>
      </c>
      <c r="K1517">
        <v>61</v>
      </c>
      <c r="L1517">
        <v>1785.51</v>
      </c>
      <c r="M1517">
        <v>138.51</v>
      </c>
      <c r="N1517" s="1">
        <v>37804</v>
      </c>
      <c r="O1517" t="s">
        <v>25</v>
      </c>
      <c r="P1517">
        <v>3</v>
      </c>
      <c r="Q1517">
        <v>7</v>
      </c>
      <c r="R1517">
        <v>2003</v>
      </c>
      <c r="S1517" t="s">
        <v>83</v>
      </c>
    </row>
    <row r="1518" spans="1:19" x14ac:dyDescent="0.25">
      <c r="A1518">
        <v>10147</v>
      </c>
      <c r="B1518" t="s">
        <v>293</v>
      </c>
      <c r="C1518" t="s">
        <v>119</v>
      </c>
      <c r="D1518" t="s">
        <v>120</v>
      </c>
      <c r="E1518" t="s">
        <v>22</v>
      </c>
      <c r="F1518" t="s">
        <v>23</v>
      </c>
      <c r="G1518" t="s">
        <v>24</v>
      </c>
      <c r="H1518">
        <v>6</v>
      </c>
      <c r="I1518">
        <v>30</v>
      </c>
      <c r="J1518">
        <v>68.58</v>
      </c>
      <c r="K1518">
        <v>61</v>
      </c>
      <c r="L1518">
        <v>2057.4</v>
      </c>
      <c r="M1518">
        <v>227.4</v>
      </c>
      <c r="N1518" s="1">
        <v>37869</v>
      </c>
      <c r="O1518" t="s">
        <v>25</v>
      </c>
      <c r="P1518">
        <v>3</v>
      </c>
      <c r="Q1518">
        <v>9</v>
      </c>
      <c r="R1518">
        <v>2003</v>
      </c>
      <c r="S1518" t="s">
        <v>83</v>
      </c>
    </row>
    <row r="1519" spans="1:19" x14ac:dyDescent="0.25">
      <c r="A1519">
        <v>10355</v>
      </c>
      <c r="B1519" t="s">
        <v>293</v>
      </c>
      <c r="C1519" t="s">
        <v>78</v>
      </c>
      <c r="D1519" t="s">
        <v>79</v>
      </c>
      <c r="E1519" t="s">
        <v>80</v>
      </c>
      <c r="F1519" t="s">
        <v>30</v>
      </c>
      <c r="G1519" t="s">
        <v>24</v>
      </c>
      <c r="H1519">
        <v>6</v>
      </c>
      <c r="I1519">
        <v>44</v>
      </c>
      <c r="J1519">
        <v>62.45</v>
      </c>
      <c r="K1519">
        <v>61</v>
      </c>
      <c r="L1519">
        <v>2747.8</v>
      </c>
      <c r="M1519">
        <v>63.8</v>
      </c>
      <c r="N1519" s="1">
        <v>38328</v>
      </c>
      <c r="O1519" t="s">
        <v>25</v>
      </c>
      <c r="P1519">
        <v>4</v>
      </c>
      <c r="Q1519">
        <v>12</v>
      </c>
      <c r="R1519">
        <v>2004</v>
      </c>
      <c r="S1519" t="s">
        <v>83</v>
      </c>
    </row>
    <row r="1520" spans="1:19" x14ac:dyDescent="0.25">
      <c r="A1520">
        <v>10378</v>
      </c>
      <c r="B1520" t="s">
        <v>293</v>
      </c>
      <c r="C1520" t="s">
        <v>78</v>
      </c>
      <c r="D1520" t="s">
        <v>79</v>
      </c>
      <c r="E1520" t="s">
        <v>80</v>
      </c>
      <c r="F1520" t="s">
        <v>30</v>
      </c>
      <c r="G1520" t="s">
        <v>24</v>
      </c>
      <c r="H1520">
        <v>6</v>
      </c>
      <c r="I1520">
        <v>46</v>
      </c>
      <c r="J1520">
        <v>41.54</v>
      </c>
      <c r="K1520">
        <v>61</v>
      </c>
      <c r="L1520">
        <v>1910.84</v>
      </c>
      <c r="M1520">
        <v>-895.16</v>
      </c>
      <c r="N1520" s="1">
        <v>38393</v>
      </c>
      <c r="O1520" t="s">
        <v>25</v>
      </c>
      <c r="P1520">
        <v>1</v>
      </c>
      <c r="Q1520">
        <v>2</v>
      </c>
      <c r="R1520">
        <v>2005</v>
      </c>
      <c r="S1520" t="s">
        <v>83</v>
      </c>
    </row>
    <row r="1521" spans="1:19" x14ac:dyDescent="0.25">
      <c r="A1521">
        <v>10390</v>
      </c>
      <c r="B1521" t="s">
        <v>293</v>
      </c>
      <c r="C1521" t="s">
        <v>115</v>
      </c>
      <c r="D1521" t="s">
        <v>116</v>
      </c>
      <c r="E1521" t="s">
        <v>22</v>
      </c>
      <c r="F1521" t="s">
        <v>23</v>
      </c>
      <c r="G1521" t="s">
        <v>24</v>
      </c>
      <c r="H1521">
        <v>6</v>
      </c>
      <c r="I1521">
        <v>46</v>
      </c>
      <c r="J1521">
        <v>52.84</v>
      </c>
      <c r="K1521">
        <v>61</v>
      </c>
      <c r="L1521">
        <v>2430.64</v>
      </c>
      <c r="M1521">
        <v>-375.36</v>
      </c>
      <c r="N1521" s="1">
        <v>38415</v>
      </c>
      <c r="O1521" t="s">
        <v>25</v>
      </c>
      <c r="P1521">
        <v>1</v>
      </c>
      <c r="Q1521">
        <v>3</v>
      </c>
      <c r="R1521">
        <v>2005</v>
      </c>
      <c r="S1521" t="s">
        <v>83</v>
      </c>
    </row>
    <row r="1522" spans="1:19" x14ac:dyDescent="0.25">
      <c r="A1522">
        <v>10131</v>
      </c>
      <c r="B1522" t="s">
        <v>294</v>
      </c>
      <c r="C1522" t="s">
        <v>235</v>
      </c>
      <c r="D1522" t="s">
        <v>208</v>
      </c>
      <c r="E1522" t="s">
        <v>22</v>
      </c>
      <c r="F1522" t="s">
        <v>23</v>
      </c>
      <c r="G1522" t="s">
        <v>24</v>
      </c>
      <c r="H1522">
        <v>6</v>
      </c>
      <c r="I1522">
        <v>29</v>
      </c>
      <c r="J1522">
        <v>59.18</v>
      </c>
      <c r="K1522">
        <v>65</v>
      </c>
      <c r="L1522">
        <v>1716.22</v>
      </c>
      <c r="M1522">
        <v>-168.78</v>
      </c>
      <c r="N1522" s="1">
        <v>37788</v>
      </c>
      <c r="O1522" t="s">
        <v>25</v>
      </c>
      <c r="P1522">
        <v>2</v>
      </c>
      <c r="Q1522">
        <v>6</v>
      </c>
      <c r="R1522">
        <v>2003</v>
      </c>
      <c r="S1522" t="s">
        <v>226</v>
      </c>
    </row>
    <row r="1523" spans="1:19" x14ac:dyDescent="0.25">
      <c r="A1523">
        <v>10178</v>
      </c>
      <c r="B1523" t="s">
        <v>294</v>
      </c>
      <c r="C1523" t="s">
        <v>142</v>
      </c>
      <c r="D1523" t="s">
        <v>143</v>
      </c>
      <c r="E1523" t="s">
        <v>29</v>
      </c>
      <c r="F1523" t="s">
        <v>30</v>
      </c>
      <c r="G1523" t="s">
        <v>24</v>
      </c>
      <c r="H1523">
        <v>6</v>
      </c>
      <c r="I1523">
        <v>27</v>
      </c>
      <c r="J1523">
        <v>73.64</v>
      </c>
      <c r="K1523">
        <v>65</v>
      </c>
      <c r="L1523">
        <v>1988.28</v>
      </c>
      <c r="M1523">
        <v>233.28</v>
      </c>
      <c r="N1523" s="1">
        <v>37933</v>
      </c>
      <c r="O1523" t="s">
        <v>25</v>
      </c>
      <c r="P1523">
        <v>4</v>
      </c>
      <c r="Q1523">
        <v>11</v>
      </c>
      <c r="R1523">
        <v>2003</v>
      </c>
      <c r="S1523" t="s">
        <v>226</v>
      </c>
    </row>
    <row r="1524" spans="1:19" x14ac:dyDescent="0.25">
      <c r="A1524">
        <v>10198</v>
      </c>
      <c r="B1524" t="s">
        <v>294</v>
      </c>
      <c r="C1524" t="s">
        <v>173</v>
      </c>
      <c r="D1524" t="s">
        <v>174</v>
      </c>
      <c r="E1524" t="s">
        <v>175</v>
      </c>
      <c r="F1524" t="s">
        <v>50</v>
      </c>
      <c r="G1524" t="s">
        <v>24</v>
      </c>
      <c r="H1524">
        <v>6</v>
      </c>
      <c r="I1524">
        <v>27</v>
      </c>
      <c r="J1524">
        <v>71.67</v>
      </c>
      <c r="K1524">
        <v>65</v>
      </c>
      <c r="L1524">
        <v>1935.09</v>
      </c>
      <c r="M1524">
        <v>180.09</v>
      </c>
      <c r="N1524" s="1">
        <v>37952</v>
      </c>
      <c r="O1524" t="s">
        <v>25</v>
      </c>
      <c r="P1524">
        <v>4</v>
      </c>
      <c r="Q1524">
        <v>11</v>
      </c>
      <c r="R1524">
        <v>2003</v>
      </c>
      <c r="S1524" t="s">
        <v>226</v>
      </c>
    </row>
    <row r="1525" spans="1:19" x14ac:dyDescent="0.25">
      <c r="A1525">
        <v>10222</v>
      </c>
      <c r="B1525" t="s">
        <v>294</v>
      </c>
      <c r="C1525" t="s">
        <v>149</v>
      </c>
      <c r="D1525" t="s">
        <v>150</v>
      </c>
      <c r="E1525" t="s">
        <v>22</v>
      </c>
      <c r="F1525" t="s">
        <v>23</v>
      </c>
      <c r="G1525" t="s">
        <v>33</v>
      </c>
      <c r="H1525">
        <v>6</v>
      </c>
      <c r="I1525">
        <v>43</v>
      </c>
      <c r="J1525">
        <v>70.349999999999994</v>
      </c>
      <c r="K1525">
        <v>65</v>
      </c>
      <c r="L1525">
        <v>3025.05</v>
      </c>
      <c r="M1525">
        <v>230.05</v>
      </c>
      <c r="N1525" s="1">
        <v>38036</v>
      </c>
      <c r="O1525" t="s">
        <v>25</v>
      </c>
      <c r="P1525">
        <v>1</v>
      </c>
      <c r="Q1525">
        <v>2</v>
      </c>
      <c r="R1525">
        <v>2004</v>
      </c>
      <c r="S1525" t="s">
        <v>226</v>
      </c>
    </row>
    <row r="1526" spans="1:19" x14ac:dyDescent="0.25">
      <c r="A1526">
        <v>10361</v>
      </c>
      <c r="B1526" t="s">
        <v>294</v>
      </c>
      <c r="C1526" t="s">
        <v>71</v>
      </c>
      <c r="D1526" t="s">
        <v>72</v>
      </c>
      <c r="E1526" t="s">
        <v>49</v>
      </c>
      <c r="F1526" t="s">
        <v>50</v>
      </c>
      <c r="G1526" t="s">
        <v>33</v>
      </c>
      <c r="H1526">
        <v>6</v>
      </c>
      <c r="I1526">
        <v>34</v>
      </c>
      <c r="J1526">
        <v>100</v>
      </c>
      <c r="K1526">
        <v>65</v>
      </c>
      <c r="L1526">
        <v>3871.92</v>
      </c>
      <c r="M1526">
        <v>1661.92</v>
      </c>
      <c r="N1526" s="1">
        <v>38338</v>
      </c>
      <c r="O1526" t="s">
        <v>25</v>
      </c>
      <c r="P1526">
        <v>4</v>
      </c>
      <c r="Q1526">
        <v>12</v>
      </c>
      <c r="R1526">
        <v>2004</v>
      </c>
      <c r="S1526" t="s">
        <v>226</v>
      </c>
    </row>
    <row r="1527" spans="1:19" x14ac:dyDescent="0.25">
      <c r="A1527">
        <v>10161</v>
      </c>
      <c r="B1527" t="s">
        <v>295</v>
      </c>
      <c r="C1527" t="s">
        <v>199</v>
      </c>
      <c r="D1527" t="s">
        <v>200</v>
      </c>
      <c r="E1527" t="s">
        <v>137</v>
      </c>
      <c r="F1527" t="s">
        <v>30</v>
      </c>
      <c r="G1527" t="s">
        <v>33</v>
      </c>
      <c r="H1527">
        <v>6</v>
      </c>
      <c r="I1527">
        <v>30</v>
      </c>
      <c r="J1527">
        <v>100</v>
      </c>
      <c r="K1527">
        <v>107</v>
      </c>
      <c r="L1527">
        <v>3148.2</v>
      </c>
      <c r="M1527">
        <v>-61.8</v>
      </c>
      <c r="N1527" s="1">
        <v>37911</v>
      </c>
      <c r="O1527" t="s">
        <v>25</v>
      </c>
      <c r="P1527">
        <v>4</v>
      </c>
      <c r="Q1527">
        <v>10</v>
      </c>
      <c r="R1527">
        <v>2003</v>
      </c>
      <c r="S1527" t="s">
        <v>83</v>
      </c>
    </row>
    <row r="1528" spans="1:19" x14ac:dyDescent="0.25">
      <c r="A1528">
        <v>10267</v>
      </c>
      <c r="B1528" t="s">
        <v>295</v>
      </c>
      <c r="C1528" t="s">
        <v>192</v>
      </c>
      <c r="D1528" t="s">
        <v>21</v>
      </c>
      <c r="E1528" t="s">
        <v>22</v>
      </c>
      <c r="F1528" t="s">
        <v>23</v>
      </c>
      <c r="G1528" t="s">
        <v>33</v>
      </c>
      <c r="H1528">
        <v>6</v>
      </c>
      <c r="I1528">
        <v>43</v>
      </c>
      <c r="J1528">
        <v>100</v>
      </c>
      <c r="K1528">
        <v>107</v>
      </c>
      <c r="L1528">
        <v>5110.9799999999996</v>
      </c>
      <c r="M1528">
        <v>509.98</v>
      </c>
      <c r="N1528" s="1">
        <v>38175</v>
      </c>
      <c r="O1528" t="s">
        <v>25</v>
      </c>
      <c r="P1528">
        <v>3</v>
      </c>
      <c r="Q1528">
        <v>7</v>
      </c>
      <c r="R1528">
        <v>2004</v>
      </c>
      <c r="S1528" t="s">
        <v>83</v>
      </c>
    </row>
    <row r="1529" spans="1:19" x14ac:dyDescent="0.25">
      <c r="A1529">
        <v>10279</v>
      </c>
      <c r="B1529" t="s">
        <v>295</v>
      </c>
      <c r="C1529" t="s">
        <v>78</v>
      </c>
      <c r="D1529" t="s">
        <v>79</v>
      </c>
      <c r="E1529" t="s">
        <v>80</v>
      </c>
      <c r="F1529" t="s">
        <v>30</v>
      </c>
      <c r="G1529" t="s">
        <v>33</v>
      </c>
      <c r="H1529">
        <v>6</v>
      </c>
      <c r="I1529">
        <v>48</v>
      </c>
      <c r="J1529">
        <v>100</v>
      </c>
      <c r="K1529">
        <v>107</v>
      </c>
      <c r="L1529">
        <v>6168</v>
      </c>
      <c r="M1529">
        <v>1032</v>
      </c>
      <c r="N1529" s="1">
        <v>38208</v>
      </c>
      <c r="O1529" t="s">
        <v>25</v>
      </c>
      <c r="P1529">
        <v>3</v>
      </c>
      <c r="Q1529">
        <v>8</v>
      </c>
      <c r="R1529">
        <v>2004</v>
      </c>
      <c r="S1529" t="s">
        <v>83</v>
      </c>
    </row>
    <row r="1530" spans="1:19" x14ac:dyDescent="0.25">
      <c r="A1530">
        <v>10346</v>
      </c>
      <c r="B1530" t="s">
        <v>295</v>
      </c>
      <c r="C1530" t="s">
        <v>221</v>
      </c>
      <c r="D1530" t="s">
        <v>222</v>
      </c>
      <c r="E1530" t="s">
        <v>22</v>
      </c>
      <c r="F1530" t="s">
        <v>23</v>
      </c>
      <c r="G1530" t="s">
        <v>24</v>
      </c>
      <c r="H1530">
        <v>6</v>
      </c>
      <c r="I1530">
        <v>26</v>
      </c>
      <c r="J1530">
        <v>95.88</v>
      </c>
      <c r="K1530">
        <v>107</v>
      </c>
      <c r="L1530">
        <v>2492.88</v>
      </c>
      <c r="M1530">
        <v>-289.12</v>
      </c>
      <c r="N1530" s="1">
        <v>38320</v>
      </c>
      <c r="O1530" t="s">
        <v>25</v>
      </c>
      <c r="P1530">
        <v>4</v>
      </c>
      <c r="Q1530">
        <v>11</v>
      </c>
      <c r="R1530">
        <v>2004</v>
      </c>
      <c r="S1530" t="s">
        <v>83</v>
      </c>
    </row>
    <row r="1531" spans="1:19" x14ac:dyDescent="0.25">
      <c r="A1531">
        <v>10342</v>
      </c>
      <c r="B1531" t="s">
        <v>297</v>
      </c>
      <c r="C1531" t="s">
        <v>47</v>
      </c>
      <c r="D1531" t="s">
        <v>48</v>
      </c>
      <c r="E1531" t="s">
        <v>49</v>
      </c>
      <c r="F1531" t="s">
        <v>50</v>
      </c>
      <c r="G1531" t="s">
        <v>33</v>
      </c>
      <c r="H1531">
        <v>6</v>
      </c>
      <c r="I1531">
        <v>42</v>
      </c>
      <c r="J1531">
        <v>100</v>
      </c>
      <c r="K1531">
        <v>140</v>
      </c>
      <c r="L1531">
        <v>5013.54</v>
      </c>
      <c r="M1531">
        <v>-866.46</v>
      </c>
      <c r="N1531" s="1">
        <v>38315</v>
      </c>
      <c r="O1531" t="s">
        <v>25</v>
      </c>
      <c r="P1531">
        <v>4</v>
      </c>
      <c r="Q1531">
        <v>11</v>
      </c>
      <c r="R1531">
        <v>2004</v>
      </c>
      <c r="S1531" t="s">
        <v>83</v>
      </c>
    </row>
    <row r="1532" spans="1:19" x14ac:dyDescent="0.25">
      <c r="A1532">
        <v>10143</v>
      </c>
      <c r="B1532" t="s">
        <v>298</v>
      </c>
      <c r="C1532" t="s">
        <v>140</v>
      </c>
      <c r="D1532" t="s">
        <v>74</v>
      </c>
      <c r="E1532" t="s">
        <v>22</v>
      </c>
      <c r="F1532" t="s">
        <v>23</v>
      </c>
      <c r="G1532" t="s">
        <v>24</v>
      </c>
      <c r="H1532">
        <v>6</v>
      </c>
      <c r="I1532">
        <v>28</v>
      </c>
      <c r="J1532">
        <v>66.19</v>
      </c>
      <c r="K1532">
        <v>68</v>
      </c>
      <c r="L1532">
        <v>1853.32</v>
      </c>
      <c r="M1532">
        <v>-50.68</v>
      </c>
      <c r="N1532" s="1">
        <v>37843</v>
      </c>
      <c r="O1532" t="s">
        <v>25</v>
      </c>
      <c r="P1532">
        <v>3</v>
      </c>
      <c r="Q1532">
        <v>8</v>
      </c>
      <c r="R1532">
        <v>2003</v>
      </c>
      <c r="S1532" t="s">
        <v>234</v>
      </c>
    </row>
    <row r="1533" spans="1:19" x14ac:dyDescent="0.25">
      <c r="A1533">
        <v>10296</v>
      </c>
      <c r="B1533" t="s">
        <v>298</v>
      </c>
      <c r="C1533" t="s">
        <v>236</v>
      </c>
      <c r="D1533" t="s">
        <v>237</v>
      </c>
      <c r="E1533" t="s">
        <v>180</v>
      </c>
      <c r="F1533" t="s">
        <v>30</v>
      </c>
      <c r="G1533" t="s">
        <v>24</v>
      </c>
      <c r="H1533">
        <v>6</v>
      </c>
      <c r="I1533">
        <v>32</v>
      </c>
      <c r="J1533">
        <v>71.650000000000006</v>
      </c>
      <c r="K1533">
        <v>68</v>
      </c>
      <c r="L1533">
        <v>2292.8000000000002</v>
      </c>
      <c r="M1533">
        <v>116.8</v>
      </c>
      <c r="N1533" s="1">
        <v>38245</v>
      </c>
      <c r="O1533" t="s">
        <v>25</v>
      </c>
      <c r="P1533">
        <v>3</v>
      </c>
      <c r="Q1533">
        <v>9</v>
      </c>
      <c r="R1533">
        <v>2004</v>
      </c>
      <c r="S1533" t="s">
        <v>234</v>
      </c>
    </row>
    <row r="1534" spans="1:19" x14ac:dyDescent="0.25">
      <c r="A1534">
        <v>10228</v>
      </c>
      <c r="B1534" t="s">
        <v>301</v>
      </c>
      <c r="C1534" t="s">
        <v>102</v>
      </c>
      <c r="D1534" t="s">
        <v>59</v>
      </c>
      <c r="E1534" t="s">
        <v>22</v>
      </c>
      <c r="F1534" t="s">
        <v>23</v>
      </c>
      <c r="G1534" t="s">
        <v>33</v>
      </c>
      <c r="H1534">
        <v>6</v>
      </c>
      <c r="I1534">
        <v>33</v>
      </c>
      <c r="J1534">
        <v>100</v>
      </c>
      <c r="K1534">
        <v>97</v>
      </c>
      <c r="L1534">
        <v>3406.59</v>
      </c>
      <c r="M1534">
        <v>205.59</v>
      </c>
      <c r="N1534" s="1">
        <v>38056</v>
      </c>
      <c r="O1534" t="s">
        <v>25</v>
      </c>
      <c r="P1534">
        <v>1</v>
      </c>
      <c r="Q1534">
        <v>3</v>
      </c>
      <c r="R1534">
        <v>2004</v>
      </c>
      <c r="S1534" t="s">
        <v>226</v>
      </c>
    </row>
    <row r="1535" spans="1:19" x14ac:dyDescent="0.25">
      <c r="A1535">
        <v>10280</v>
      </c>
      <c r="B1535" t="s">
        <v>301</v>
      </c>
      <c r="C1535" t="s">
        <v>108</v>
      </c>
      <c r="D1535" t="s">
        <v>109</v>
      </c>
      <c r="E1535" t="s">
        <v>110</v>
      </c>
      <c r="F1535" t="s">
        <v>30</v>
      </c>
      <c r="G1535" t="s">
        <v>24</v>
      </c>
      <c r="H1535">
        <v>6</v>
      </c>
      <c r="I1535">
        <v>21</v>
      </c>
      <c r="J1535">
        <v>78.89</v>
      </c>
      <c r="K1535">
        <v>97</v>
      </c>
      <c r="L1535">
        <v>1656.69</v>
      </c>
      <c r="M1535">
        <v>-380.31</v>
      </c>
      <c r="N1535" s="1">
        <v>38216</v>
      </c>
      <c r="O1535" t="s">
        <v>25</v>
      </c>
      <c r="P1535">
        <v>3</v>
      </c>
      <c r="Q1535">
        <v>8</v>
      </c>
      <c r="R1535">
        <v>2004</v>
      </c>
      <c r="S1535" t="s">
        <v>226</v>
      </c>
    </row>
    <row r="1536" spans="1:19" x14ac:dyDescent="0.25">
      <c r="A1536">
        <v>10358</v>
      </c>
      <c r="B1536" t="s">
        <v>301</v>
      </c>
      <c r="C1536" t="s">
        <v>78</v>
      </c>
      <c r="D1536" t="s">
        <v>79</v>
      </c>
      <c r="E1536" t="s">
        <v>80</v>
      </c>
      <c r="F1536" t="s">
        <v>30</v>
      </c>
      <c r="G1536" t="s">
        <v>33</v>
      </c>
      <c r="H1536">
        <v>6</v>
      </c>
      <c r="I1536">
        <v>41</v>
      </c>
      <c r="J1536">
        <v>100</v>
      </c>
      <c r="K1536">
        <v>97</v>
      </c>
      <c r="L1536">
        <v>6847</v>
      </c>
      <c r="M1536">
        <v>2870</v>
      </c>
      <c r="N1536" s="1">
        <v>38331</v>
      </c>
      <c r="O1536" t="s">
        <v>25</v>
      </c>
      <c r="P1536">
        <v>4</v>
      </c>
      <c r="Q1536">
        <v>12</v>
      </c>
      <c r="R1536">
        <v>2004</v>
      </c>
      <c r="S1536" t="s">
        <v>226</v>
      </c>
    </row>
    <row r="1537" spans="1:19" x14ac:dyDescent="0.25">
      <c r="A1537">
        <v>10159</v>
      </c>
      <c r="B1537" t="s">
        <v>303</v>
      </c>
      <c r="C1537" t="s">
        <v>36</v>
      </c>
      <c r="D1537" t="s">
        <v>37</v>
      </c>
      <c r="E1537" t="s">
        <v>22</v>
      </c>
      <c r="F1537" t="s">
        <v>23</v>
      </c>
      <c r="G1537" t="s">
        <v>24</v>
      </c>
      <c r="H1537">
        <v>6</v>
      </c>
      <c r="I1537">
        <v>23</v>
      </c>
      <c r="J1537">
        <v>67.099999999999994</v>
      </c>
      <c r="K1537">
        <v>80</v>
      </c>
      <c r="L1537">
        <v>1543.3</v>
      </c>
      <c r="M1537">
        <v>-296.7</v>
      </c>
      <c r="N1537" s="1">
        <v>37904</v>
      </c>
      <c r="O1537" t="s">
        <v>25</v>
      </c>
      <c r="P1537">
        <v>4</v>
      </c>
      <c r="Q1537">
        <v>10</v>
      </c>
      <c r="R1537">
        <v>2003</v>
      </c>
      <c r="S1537" t="s">
        <v>83</v>
      </c>
    </row>
    <row r="1538" spans="1:19" x14ac:dyDescent="0.25">
      <c r="A1538">
        <v>10169</v>
      </c>
      <c r="B1538" t="s">
        <v>303</v>
      </c>
      <c r="C1538" t="s">
        <v>121</v>
      </c>
      <c r="D1538" t="s">
        <v>122</v>
      </c>
      <c r="E1538" t="s">
        <v>49</v>
      </c>
      <c r="F1538" t="s">
        <v>50</v>
      </c>
      <c r="G1538" t="s">
        <v>24</v>
      </c>
      <c r="H1538">
        <v>6</v>
      </c>
      <c r="I1538">
        <v>24</v>
      </c>
      <c r="J1538">
        <v>94.58</v>
      </c>
      <c r="K1538">
        <v>80</v>
      </c>
      <c r="L1538">
        <v>2269.92</v>
      </c>
      <c r="M1538">
        <v>349.92</v>
      </c>
      <c r="N1538" s="1">
        <v>37929</v>
      </c>
      <c r="O1538" t="s">
        <v>25</v>
      </c>
      <c r="P1538">
        <v>4</v>
      </c>
      <c r="Q1538">
        <v>11</v>
      </c>
      <c r="R1538">
        <v>2003</v>
      </c>
      <c r="S1538" t="s">
        <v>83</v>
      </c>
    </row>
    <row r="1539" spans="1:19" x14ac:dyDescent="0.25">
      <c r="A1539">
        <v>10211</v>
      </c>
      <c r="B1539" t="s">
        <v>303</v>
      </c>
      <c r="C1539" t="s">
        <v>46</v>
      </c>
      <c r="D1539" t="s">
        <v>32</v>
      </c>
      <c r="E1539" t="s">
        <v>29</v>
      </c>
      <c r="F1539" t="s">
        <v>30</v>
      </c>
      <c r="G1539" t="s">
        <v>24</v>
      </c>
      <c r="H1539">
        <v>6</v>
      </c>
      <c r="I1539">
        <v>22</v>
      </c>
      <c r="J1539">
        <v>92.16</v>
      </c>
      <c r="K1539">
        <v>80</v>
      </c>
      <c r="L1539">
        <v>2027.52</v>
      </c>
      <c r="M1539">
        <v>267.52</v>
      </c>
      <c r="N1539" s="1">
        <v>38001</v>
      </c>
      <c r="O1539" t="s">
        <v>25</v>
      </c>
      <c r="P1539">
        <v>1</v>
      </c>
      <c r="Q1539">
        <v>1</v>
      </c>
      <c r="R1539">
        <v>2004</v>
      </c>
      <c r="S1539" t="s">
        <v>83</v>
      </c>
    </row>
    <row r="1540" spans="1:19" x14ac:dyDescent="0.25">
      <c r="A1540">
        <v>10313</v>
      </c>
      <c r="B1540" t="s">
        <v>304</v>
      </c>
      <c r="C1540" t="s">
        <v>97</v>
      </c>
      <c r="D1540" t="s">
        <v>98</v>
      </c>
      <c r="E1540" t="s">
        <v>99</v>
      </c>
      <c r="F1540" t="s">
        <v>23</v>
      </c>
      <c r="G1540" t="s">
        <v>24</v>
      </c>
      <c r="H1540">
        <v>6</v>
      </c>
      <c r="I1540">
        <v>27</v>
      </c>
      <c r="J1540">
        <v>87.64</v>
      </c>
      <c r="K1540">
        <v>96</v>
      </c>
      <c r="L1540">
        <v>2366.2800000000002</v>
      </c>
      <c r="M1540">
        <v>-225.72</v>
      </c>
      <c r="N1540" s="1">
        <v>38282</v>
      </c>
      <c r="O1540" t="s">
        <v>25</v>
      </c>
      <c r="P1540">
        <v>4</v>
      </c>
      <c r="Q1540">
        <v>10</v>
      </c>
      <c r="R1540">
        <v>2004</v>
      </c>
      <c r="S1540" t="s">
        <v>202</v>
      </c>
    </row>
    <row r="1541" spans="1:19" x14ac:dyDescent="0.25">
      <c r="A1541">
        <v>10382</v>
      </c>
      <c r="B1541" t="s">
        <v>304</v>
      </c>
      <c r="C1541" t="s">
        <v>115</v>
      </c>
      <c r="D1541" t="s">
        <v>116</v>
      </c>
      <c r="E1541" t="s">
        <v>22</v>
      </c>
      <c r="F1541" t="s">
        <v>23</v>
      </c>
      <c r="G1541" t="s">
        <v>24</v>
      </c>
      <c r="H1541">
        <v>6</v>
      </c>
      <c r="I1541">
        <v>26</v>
      </c>
      <c r="J1541">
        <v>100</v>
      </c>
      <c r="K1541">
        <v>96</v>
      </c>
      <c r="L1541">
        <v>2708.42</v>
      </c>
      <c r="M1541">
        <v>212.42</v>
      </c>
      <c r="N1541" s="1">
        <v>38400</v>
      </c>
      <c r="O1541" t="s">
        <v>25</v>
      </c>
      <c r="P1541">
        <v>1</v>
      </c>
      <c r="Q1541">
        <v>2</v>
      </c>
      <c r="R1541">
        <v>2005</v>
      </c>
      <c r="S1541" t="s">
        <v>202</v>
      </c>
    </row>
    <row r="1542" spans="1:19" x14ac:dyDescent="0.25">
      <c r="A1542">
        <v>10120</v>
      </c>
      <c r="B1542" t="s">
        <v>305</v>
      </c>
      <c r="C1542" t="s">
        <v>47</v>
      </c>
      <c r="D1542" t="s">
        <v>48</v>
      </c>
      <c r="E1542" t="s">
        <v>49</v>
      </c>
      <c r="F1542" t="s">
        <v>50</v>
      </c>
      <c r="G1542" t="s">
        <v>24</v>
      </c>
      <c r="H1542">
        <v>6</v>
      </c>
      <c r="I1542">
        <v>22</v>
      </c>
      <c r="J1542">
        <v>100</v>
      </c>
      <c r="K1542">
        <v>99</v>
      </c>
      <c r="L1542">
        <v>2461.36</v>
      </c>
      <c r="M1542">
        <v>283.36</v>
      </c>
      <c r="N1542" s="1">
        <v>37740</v>
      </c>
      <c r="O1542" t="s">
        <v>25</v>
      </c>
      <c r="P1542">
        <v>2</v>
      </c>
      <c r="Q1542">
        <v>4</v>
      </c>
      <c r="R1542">
        <v>2003</v>
      </c>
      <c r="S1542" t="s">
        <v>26</v>
      </c>
    </row>
    <row r="1543" spans="1:19" x14ac:dyDescent="0.25">
      <c r="A1543">
        <v>10252</v>
      </c>
      <c r="B1543" t="s">
        <v>306</v>
      </c>
      <c r="C1543" t="s">
        <v>46</v>
      </c>
      <c r="D1543" t="s">
        <v>32</v>
      </c>
      <c r="E1543" t="s">
        <v>29</v>
      </c>
      <c r="F1543" t="s">
        <v>30</v>
      </c>
      <c r="G1543" t="s">
        <v>24</v>
      </c>
      <c r="H1543">
        <v>6</v>
      </c>
      <c r="I1543">
        <v>36</v>
      </c>
      <c r="J1543">
        <v>48.28</v>
      </c>
      <c r="K1543">
        <v>40</v>
      </c>
      <c r="L1543">
        <v>1738.08</v>
      </c>
      <c r="M1543">
        <v>298.08</v>
      </c>
      <c r="N1543" s="1">
        <v>38133</v>
      </c>
      <c r="O1543" t="s">
        <v>25</v>
      </c>
      <c r="P1543">
        <v>2</v>
      </c>
      <c r="Q1543">
        <v>5</v>
      </c>
      <c r="R1543">
        <v>2004</v>
      </c>
      <c r="S1543" t="s">
        <v>26</v>
      </c>
    </row>
    <row r="1544" spans="1:19" x14ac:dyDescent="0.25">
      <c r="A1544">
        <v>10259</v>
      </c>
      <c r="B1544" t="s">
        <v>307</v>
      </c>
      <c r="C1544" t="s">
        <v>171</v>
      </c>
      <c r="D1544" t="s">
        <v>89</v>
      </c>
      <c r="E1544" t="s">
        <v>89</v>
      </c>
      <c r="F1544" t="s">
        <v>50</v>
      </c>
      <c r="G1544" t="s">
        <v>24</v>
      </c>
      <c r="H1544">
        <v>6</v>
      </c>
      <c r="I1544">
        <v>40</v>
      </c>
      <c r="J1544">
        <v>43.83</v>
      </c>
      <c r="K1544">
        <v>54</v>
      </c>
      <c r="L1544">
        <v>1753.2</v>
      </c>
      <c r="M1544">
        <v>-406.8</v>
      </c>
      <c r="N1544" s="1">
        <v>38153</v>
      </c>
      <c r="O1544" t="s">
        <v>25</v>
      </c>
      <c r="P1544">
        <v>2</v>
      </c>
      <c r="Q1544">
        <v>6</v>
      </c>
      <c r="R1544">
        <v>2004</v>
      </c>
      <c r="S1544" t="s">
        <v>202</v>
      </c>
    </row>
    <row r="1545" spans="1:19" x14ac:dyDescent="0.25">
      <c r="A1545">
        <v>10425</v>
      </c>
      <c r="B1545" t="s">
        <v>307</v>
      </c>
      <c r="C1545" t="s">
        <v>56</v>
      </c>
      <c r="D1545" t="s">
        <v>57</v>
      </c>
      <c r="E1545" t="s">
        <v>29</v>
      </c>
      <c r="F1545" t="s">
        <v>30</v>
      </c>
      <c r="G1545" t="s">
        <v>24</v>
      </c>
      <c r="H1545">
        <v>6</v>
      </c>
      <c r="I1545">
        <v>11</v>
      </c>
      <c r="J1545">
        <v>43.83</v>
      </c>
      <c r="K1545">
        <v>54</v>
      </c>
      <c r="L1545">
        <v>482.13</v>
      </c>
      <c r="M1545">
        <v>-111.87</v>
      </c>
      <c r="N1545" s="1">
        <v>38503</v>
      </c>
      <c r="O1545" t="s">
        <v>125</v>
      </c>
      <c r="P1545">
        <v>2</v>
      </c>
      <c r="Q1545">
        <v>5</v>
      </c>
      <c r="R1545">
        <v>2005</v>
      </c>
      <c r="S1545" t="s">
        <v>202</v>
      </c>
    </row>
    <row r="1546" spans="1:19" x14ac:dyDescent="0.25">
      <c r="A1546">
        <v>10127</v>
      </c>
      <c r="B1546" t="s">
        <v>308</v>
      </c>
      <c r="C1546" t="s">
        <v>192</v>
      </c>
      <c r="D1546" t="s">
        <v>21</v>
      </c>
      <c r="E1546" t="s">
        <v>22</v>
      </c>
      <c r="F1546" t="s">
        <v>23</v>
      </c>
      <c r="G1546" t="s">
        <v>24</v>
      </c>
      <c r="H1546">
        <v>6</v>
      </c>
      <c r="I1546">
        <v>29</v>
      </c>
      <c r="J1546">
        <v>70.84</v>
      </c>
      <c r="K1546">
        <v>62</v>
      </c>
      <c r="L1546">
        <v>2054.36</v>
      </c>
      <c r="M1546">
        <v>256.36</v>
      </c>
      <c r="N1546" s="1">
        <v>37775</v>
      </c>
      <c r="O1546" t="s">
        <v>25</v>
      </c>
      <c r="P1546">
        <v>2</v>
      </c>
      <c r="Q1546">
        <v>6</v>
      </c>
      <c r="R1546">
        <v>2003</v>
      </c>
      <c r="S1546" t="s">
        <v>261</v>
      </c>
    </row>
    <row r="1547" spans="1:19" x14ac:dyDescent="0.25">
      <c r="A1547">
        <v>10176</v>
      </c>
      <c r="B1547" t="s">
        <v>308</v>
      </c>
      <c r="C1547" t="s">
        <v>184</v>
      </c>
      <c r="D1547" t="s">
        <v>185</v>
      </c>
      <c r="E1547" t="s">
        <v>110</v>
      </c>
      <c r="F1547" t="s">
        <v>30</v>
      </c>
      <c r="G1547" t="s">
        <v>24</v>
      </c>
      <c r="H1547">
        <v>6</v>
      </c>
      <c r="I1547">
        <v>22</v>
      </c>
      <c r="J1547">
        <v>64</v>
      </c>
      <c r="K1547">
        <v>62</v>
      </c>
      <c r="L1547">
        <v>1408</v>
      </c>
      <c r="M1547">
        <v>44</v>
      </c>
      <c r="N1547" s="1">
        <v>37931</v>
      </c>
      <c r="O1547" t="s">
        <v>25</v>
      </c>
      <c r="P1547">
        <v>4</v>
      </c>
      <c r="Q1547">
        <v>11</v>
      </c>
      <c r="R1547">
        <v>2003</v>
      </c>
      <c r="S1547" t="s">
        <v>261</v>
      </c>
    </row>
    <row r="1548" spans="1:19" x14ac:dyDescent="0.25">
      <c r="A1548">
        <v>10220</v>
      </c>
      <c r="B1548" t="s">
        <v>308</v>
      </c>
      <c r="C1548" t="s">
        <v>193</v>
      </c>
      <c r="D1548" t="s">
        <v>194</v>
      </c>
      <c r="E1548" t="s">
        <v>195</v>
      </c>
      <c r="F1548" t="s">
        <v>30</v>
      </c>
      <c r="G1548" t="s">
        <v>24</v>
      </c>
      <c r="H1548">
        <v>6</v>
      </c>
      <c r="I1548">
        <v>20</v>
      </c>
      <c r="J1548">
        <v>52.82</v>
      </c>
      <c r="K1548">
        <v>62</v>
      </c>
      <c r="L1548">
        <v>1056.4000000000001</v>
      </c>
      <c r="M1548">
        <v>-183.6</v>
      </c>
      <c r="N1548" s="1">
        <v>38029</v>
      </c>
      <c r="O1548" t="s">
        <v>25</v>
      </c>
      <c r="P1548">
        <v>1</v>
      </c>
      <c r="Q1548">
        <v>2</v>
      </c>
      <c r="R1548">
        <v>2004</v>
      </c>
      <c r="S1548" t="s">
        <v>261</v>
      </c>
    </row>
    <row r="1549" spans="1:19" x14ac:dyDescent="0.25">
      <c r="A1549">
        <v>10247</v>
      </c>
      <c r="B1549" t="s">
        <v>308</v>
      </c>
      <c r="C1549" t="s">
        <v>189</v>
      </c>
      <c r="D1549" t="s">
        <v>190</v>
      </c>
      <c r="E1549" t="s">
        <v>62</v>
      </c>
      <c r="F1549" t="s">
        <v>30</v>
      </c>
      <c r="G1549" t="s">
        <v>24</v>
      </c>
      <c r="H1549">
        <v>6</v>
      </c>
      <c r="I1549">
        <v>40</v>
      </c>
      <c r="J1549">
        <v>49.71</v>
      </c>
      <c r="K1549">
        <v>62</v>
      </c>
      <c r="L1549">
        <v>1988.4</v>
      </c>
      <c r="M1549">
        <v>-491.6</v>
      </c>
      <c r="N1549" s="1">
        <v>38112</v>
      </c>
      <c r="O1549" t="s">
        <v>25</v>
      </c>
      <c r="P1549">
        <v>2</v>
      </c>
      <c r="Q1549">
        <v>5</v>
      </c>
      <c r="R1549">
        <v>2004</v>
      </c>
      <c r="S1549" t="s">
        <v>261</v>
      </c>
    </row>
    <row r="1550" spans="1:19" x14ac:dyDescent="0.25">
      <c r="A1550">
        <v>10272</v>
      </c>
      <c r="B1550" t="s">
        <v>308</v>
      </c>
      <c r="C1550" t="s">
        <v>65</v>
      </c>
      <c r="D1550" t="s">
        <v>66</v>
      </c>
      <c r="E1550" t="s">
        <v>22</v>
      </c>
      <c r="F1550" t="s">
        <v>23</v>
      </c>
      <c r="G1550" t="s">
        <v>24</v>
      </c>
      <c r="H1550">
        <v>6</v>
      </c>
      <c r="I1550">
        <v>45</v>
      </c>
      <c r="J1550">
        <v>64.63</v>
      </c>
      <c r="K1550">
        <v>62</v>
      </c>
      <c r="L1550">
        <v>2908.35</v>
      </c>
      <c r="M1550">
        <v>118.35</v>
      </c>
      <c r="N1550" s="1">
        <v>38188</v>
      </c>
      <c r="O1550" t="s">
        <v>25</v>
      </c>
      <c r="P1550">
        <v>3</v>
      </c>
      <c r="Q1550">
        <v>7</v>
      </c>
      <c r="R1550">
        <v>2004</v>
      </c>
      <c r="S1550" t="s">
        <v>261</v>
      </c>
    </row>
    <row r="1551" spans="1:19" x14ac:dyDescent="0.25">
      <c r="A1551">
        <v>10413</v>
      </c>
      <c r="B1551" t="s">
        <v>308</v>
      </c>
      <c r="C1551" t="s">
        <v>54</v>
      </c>
      <c r="D1551" t="s">
        <v>55</v>
      </c>
      <c r="E1551" t="s">
        <v>22</v>
      </c>
      <c r="F1551" t="s">
        <v>23</v>
      </c>
      <c r="G1551" t="s">
        <v>24</v>
      </c>
      <c r="H1551">
        <v>6</v>
      </c>
      <c r="I1551">
        <v>24</v>
      </c>
      <c r="J1551">
        <v>49.71</v>
      </c>
      <c r="K1551">
        <v>62</v>
      </c>
      <c r="L1551">
        <v>1193.04</v>
      </c>
      <c r="M1551">
        <v>-294.95999999999998</v>
      </c>
      <c r="N1551" s="1">
        <v>38477</v>
      </c>
      <c r="O1551" t="s">
        <v>25</v>
      </c>
      <c r="P1551">
        <v>2</v>
      </c>
      <c r="Q1551">
        <v>5</v>
      </c>
      <c r="R1551">
        <v>2005</v>
      </c>
      <c r="S1551" t="s">
        <v>261</v>
      </c>
    </row>
    <row r="1552" spans="1:19" x14ac:dyDescent="0.25">
      <c r="A1552">
        <v>10133</v>
      </c>
      <c r="B1552" t="s">
        <v>310</v>
      </c>
      <c r="C1552" t="s">
        <v>78</v>
      </c>
      <c r="D1552" t="s">
        <v>79</v>
      </c>
      <c r="E1552" t="s">
        <v>80</v>
      </c>
      <c r="F1552" t="s">
        <v>30</v>
      </c>
      <c r="G1552" t="s">
        <v>24</v>
      </c>
      <c r="H1552">
        <v>6</v>
      </c>
      <c r="I1552">
        <v>49</v>
      </c>
      <c r="J1552">
        <v>57.1</v>
      </c>
      <c r="K1552">
        <v>68</v>
      </c>
      <c r="L1552">
        <v>2797.9</v>
      </c>
      <c r="M1552">
        <v>-534.1</v>
      </c>
      <c r="N1552" s="1">
        <v>37799</v>
      </c>
      <c r="O1552" t="s">
        <v>25</v>
      </c>
      <c r="P1552">
        <v>2</v>
      </c>
      <c r="Q1552">
        <v>6</v>
      </c>
      <c r="R1552">
        <v>2003</v>
      </c>
      <c r="S1552" t="s">
        <v>226</v>
      </c>
    </row>
    <row r="1553" spans="1:19" x14ac:dyDescent="0.25">
      <c r="A1553">
        <v>10235</v>
      </c>
      <c r="B1553" t="s">
        <v>310</v>
      </c>
      <c r="C1553" t="s">
        <v>154</v>
      </c>
      <c r="D1553" t="s">
        <v>155</v>
      </c>
      <c r="E1553" t="s">
        <v>99</v>
      </c>
      <c r="F1553" t="s">
        <v>23</v>
      </c>
      <c r="G1553" t="s">
        <v>24</v>
      </c>
      <c r="H1553">
        <v>6</v>
      </c>
      <c r="I1553">
        <v>34</v>
      </c>
      <c r="J1553">
        <v>77.73</v>
      </c>
      <c r="K1553">
        <v>68</v>
      </c>
      <c r="L1553">
        <v>2642.82</v>
      </c>
      <c r="M1553">
        <v>330.82</v>
      </c>
      <c r="N1553" s="1">
        <v>38079</v>
      </c>
      <c r="O1553" t="s">
        <v>25</v>
      </c>
      <c r="P1553">
        <v>2</v>
      </c>
      <c r="Q1553">
        <v>4</v>
      </c>
      <c r="R1553">
        <v>2004</v>
      </c>
      <c r="S1553" t="s">
        <v>226</v>
      </c>
    </row>
    <row r="1554" spans="1:19" x14ac:dyDescent="0.25">
      <c r="A1554">
        <v>10401</v>
      </c>
      <c r="B1554" t="s">
        <v>310</v>
      </c>
      <c r="C1554" t="s">
        <v>52</v>
      </c>
      <c r="D1554" t="s">
        <v>53</v>
      </c>
      <c r="E1554" t="s">
        <v>22</v>
      </c>
      <c r="F1554" t="s">
        <v>23</v>
      </c>
      <c r="G1554" t="s">
        <v>33</v>
      </c>
      <c r="H1554">
        <v>6</v>
      </c>
      <c r="I1554">
        <v>62</v>
      </c>
      <c r="J1554">
        <v>77.73</v>
      </c>
      <c r="K1554">
        <v>68</v>
      </c>
      <c r="L1554">
        <v>4819.26</v>
      </c>
      <c r="M1554">
        <v>603.26</v>
      </c>
      <c r="N1554" s="1">
        <v>38445</v>
      </c>
      <c r="O1554" t="s">
        <v>164</v>
      </c>
      <c r="P1554">
        <v>2</v>
      </c>
      <c r="Q1554">
        <v>4</v>
      </c>
      <c r="R1554">
        <v>2005</v>
      </c>
      <c r="S1554" t="s">
        <v>226</v>
      </c>
    </row>
    <row r="1555" spans="1:19" x14ac:dyDescent="0.25">
      <c r="A1555">
        <v>10106</v>
      </c>
      <c r="B1555" t="s">
        <v>312</v>
      </c>
      <c r="C1555" t="s">
        <v>227</v>
      </c>
      <c r="D1555" t="s">
        <v>228</v>
      </c>
      <c r="E1555" t="s">
        <v>110</v>
      </c>
      <c r="F1555" t="s">
        <v>30</v>
      </c>
      <c r="G1555" t="s">
        <v>24</v>
      </c>
      <c r="H1555">
        <v>6</v>
      </c>
      <c r="I1555">
        <v>39</v>
      </c>
      <c r="J1555">
        <v>40.15</v>
      </c>
      <c r="K1555">
        <v>43</v>
      </c>
      <c r="L1555">
        <v>1565.85</v>
      </c>
      <c r="M1555">
        <v>-111.15</v>
      </c>
      <c r="N1555" s="1">
        <v>37669</v>
      </c>
      <c r="O1555" t="s">
        <v>25</v>
      </c>
      <c r="P1555">
        <v>1</v>
      </c>
      <c r="Q1555">
        <v>2</v>
      </c>
      <c r="R1555">
        <v>2003</v>
      </c>
      <c r="S1555" t="s">
        <v>226</v>
      </c>
    </row>
    <row r="1556" spans="1:19" x14ac:dyDescent="0.25">
      <c r="A1556">
        <v>10292</v>
      </c>
      <c r="B1556" t="s">
        <v>313</v>
      </c>
      <c r="C1556" t="s">
        <v>20</v>
      </c>
      <c r="D1556" t="s">
        <v>21</v>
      </c>
      <c r="E1556" t="s">
        <v>22</v>
      </c>
      <c r="F1556" t="s">
        <v>23</v>
      </c>
      <c r="G1556" t="s">
        <v>33</v>
      </c>
      <c r="H1556">
        <v>6</v>
      </c>
      <c r="I1556">
        <v>41</v>
      </c>
      <c r="J1556">
        <v>100</v>
      </c>
      <c r="K1556">
        <v>115</v>
      </c>
      <c r="L1556">
        <v>4983.1400000000003</v>
      </c>
      <c r="M1556">
        <v>268.14</v>
      </c>
      <c r="N1556" s="1">
        <v>38238</v>
      </c>
      <c r="O1556" t="s">
        <v>25</v>
      </c>
      <c r="P1556">
        <v>3</v>
      </c>
      <c r="Q1556">
        <v>9</v>
      </c>
      <c r="R1556">
        <v>2004</v>
      </c>
      <c r="S1556" t="s">
        <v>202</v>
      </c>
    </row>
    <row r="1557" spans="1:19" x14ac:dyDescent="0.25">
      <c r="A1557">
        <v>10337</v>
      </c>
      <c r="B1557" t="s">
        <v>314</v>
      </c>
      <c r="C1557" t="s">
        <v>90</v>
      </c>
      <c r="D1557" t="s">
        <v>21</v>
      </c>
      <c r="E1557" t="s">
        <v>22</v>
      </c>
      <c r="F1557" t="s">
        <v>23</v>
      </c>
      <c r="G1557" t="s">
        <v>24</v>
      </c>
      <c r="H1557">
        <v>6</v>
      </c>
      <c r="I1557">
        <v>21</v>
      </c>
      <c r="J1557">
        <v>100</v>
      </c>
      <c r="K1557">
        <v>58</v>
      </c>
      <c r="L1557">
        <v>2296.77</v>
      </c>
      <c r="M1557">
        <v>1078.77</v>
      </c>
      <c r="N1557" s="1">
        <v>38312</v>
      </c>
      <c r="O1557" t="s">
        <v>25</v>
      </c>
      <c r="P1557">
        <v>4</v>
      </c>
      <c r="Q1557">
        <v>11</v>
      </c>
      <c r="R1557">
        <v>2004</v>
      </c>
      <c r="S1557" t="s">
        <v>261</v>
      </c>
    </row>
    <row r="1558" spans="1:19" x14ac:dyDescent="0.25">
      <c r="A1558">
        <v>10319</v>
      </c>
      <c r="B1558" t="s">
        <v>315</v>
      </c>
      <c r="C1558" t="s">
        <v>204</v>
      </c>
      <c r="D1558" t="s">
        <v>21</v>
      </c>
      <c r="E1558" t="s">
        <v>22</v>
      </c>
      <c r="F1558" t="s">
        <v>23</v>
      </c>
      <c r="G1558" t="s">
        <v>33</v>
      </c>
      <c r="H1558">
        <v>6</v>
      </c>
      <c r="I1558">
        <v>45</v>
      </c>
      <c r="J1558">
        <v>77.290000000000006</v>
      </c>
      <c r="K1558">
        <v>81</v>
      </c>
      <c r="L1558">
        <v>3478.05</v>
      </c>
      <c r="M1558">
        <v>-166.95</v>
      </c>
      <c r="N1558" s="1">
        <v>38294</v>
      </c>
      <c r="O1558" t="s">
        <v>25</v>
      </c>
      <c r="P1558">
        <v>4</v>
      </c>
      <c r="Q1558">
        <v>11</v>
      </c>
      <c r="R1558">
        <v>2004</v>
      </c>
      <c r="S1558" t="s">
        <v>26</v>
      </c>
    </row>
    <row r="1559" spans="1:19" x14ac:dyDescent="0.25">
      <c r="A1559">
        <v>10248</v>
      </c>
      <c r="B1559" t="s">
        <v>316</v>
      </c>
      <c r="C1559" t="s">
        <v>20</v>
      </c>
      <c r="D1559" t="s">
        <v>21</v>
      </c>
      <c r="E1559" t="s">
        <v>22</v>
      </c>
      <c r="F1559" t="s">
        <v>23</v>
      </c>
      <c r="G1559" t="s">
        <v>24</v>
      </c>
      <c r="H1559">
        <v>6</v>
      </c>
      <c r="I1559">
        <v>36</v>
      </c>
      <c r="J1559">
        <v>71.34</v>
      </c>
      <c r="K1559">
        <v>66</v>
      </c>
      <c r="L1559">
        <v>2568.2399999999998</v>
      </c>
      <c r="M1559">
        <v>192.24</v>
      </c>
      <c r="N1559" s="1">
        <v>38114</v>
      </c>
      <c r="O1559" t="s">
        <v>141</v>
      </c>
      <c r="P1559">
        <v>2</v>
      </c>
      <c r="Q1559">
        <v>5</v>
      </c>
      <c r="R1559">
        <v>2004</v>
      </c>
      <c r="S1559" t="s">
        <v>255</v>
      </c>
    </row>
    <row r="1560" spans="1:19" x14ac:dyDescent="0.25">
      <c r="A1560">
        <v>10414</v>
      </c>
      <c r="B1560" t="s">
        <v>316</v>
      </c>
      <c r="C1560" t="s">
        <v>156</v>
      </c>
      <c r="D1560" t="s">
        <v>157</v>
      </c>
      <c r="E1560" t="s">
        <v>22</v>
      </c>
      <c r="F1560" t="s">
        <v>23</v>
      </c>
      <c r="G1560" t="s">
        <v>24</v>
      </c>
      <c r="H1560">
        <v>6</v>
      </c>
      <c r="I1560">
        <v>37</v>
      </c>
      <c r="J1560">
        <v>71.34</v>
      </c>
      <c r="K1560">
        <v>66</v>
      </c>
      <c r="L1560">
        <v>2639.58</v>
      </c>
      <c r="M1560">
        <v>197.58</v>
      </c>
      <c r="N1560" s="1">
        <v>38478</v>
      </c>
      <c r="O1560" t="s">
        <v>164</v>
      </c>
      <c r="P1560">
        <v>2</v>
      </c>
      <c r="Q1560">
        <v>5</v>
      </c>
      <c r="R1560">
        <v>2005</v>
      </c>
      <c r="S1560" t="s">
        <v>255</v>
      </c>
    </row>
    <row r="1561" spans="1:19" x14ac:dyDescent="0.25">
      <c r="A1561">
        <v>10284</v>
      </c>
      <c r="B1561" t="s">
        <v>317</v>
      </c>
      <c r="C1561" t="s">
        <v>223</v>
      </c>
      <c r="D1561" t="s">
        <v>224</v>
      </c>
      <c r="E1561" t="s">
        <v>44</v>
      </c>
      <c r="F1561" t="s">
        <v>30</v>
      </c>
      <c r="G1561" t="s">
        <v>24</v>
      </c>
      <c r="H1561">
        <v>6</v>
      </c>
      <c r="I1561">
        <v>24</v>
      </c>
      <c r="J1561">
        <v>83.12</v>
      </c>
      <c r="K1561">
        <v>91</v>
      </c>
      <c r="L1561">
        <v>1994.88</v>
      </c>
      <c r="M1561">
        <v>-189.12</v>
      </c>
      <c r="N1561" s="1">
        <v>38220</v>
      </c>
      <c r="O1561" t="s">
        <v>25</v>
      </c>
      <c r="P1561">
        <v>3</v>
      </c>
      <c r="Q1561">
        <v>8</v>
      </c>
      <c r="R1561">
        <v>2004</v>
      </c>
      <c r="S1561" t="s">
        <v>234</v>
      </c>
    </row>
    <row r="1562" spans="1:19" x14ac:dyDescent="0.25">
      <c r="A1562">
        <v>10375</v>
      </c>
      <c r="B1562" t="s">
        <v>317</v>
      </c>
      <c r="C1562" t="s">
        <v>56</v>
      </c>
      <c r="D1562" t="s">
        <v>57</v>
      </c>
      <c r="E1562" t="s">
        <v>29</v>
      </c>
      <c r="F1562" t="s">
        <v>30</v>
      </c>
      <c r="G1562" t="s">
        <v>33</v>
      </c>
      <c r="H1562">
        <v>6</v>
      </c>
      <c r="I1562">
        <v>37</v>
      </c>
      <c r="J1562">
        <v>81.87</v>
      </c>
      <c r="K1562">
        <v>91</v>
      </c>
      <c r="L1562">
        <v>3029.19</v>
      </c>
      <c r="M1562">
        <v>-337.81</v>
      </c>
      <c r="N1562" s="1">
        <v>38386</v>
      </c>
      <c r="O1562" t="s">
        <v>25</v>
      </c>
      <c r="P1562">
        <v>1</v>
      </c>
      <c r="Q1562">
        <v>2</v>
      </c>
      <c r="R1562">
        <v>2005</v>
      </c>
      <c r="S1562" t="s">
        <v>234</v>
      </c>
    </row>
    <row r="1563" spans="1:19" x14ac:dyDescent="0.25">
      <c r="A1563">
        <v>10398</v>
      </c>
      <c r="B1563" t="s">
        <v>317</v>
      </c>
      <c r="C1563" t="s">
        <v>27</v>
      </c>
      <c r="D1563" t="s">
        <v>28</v>
      </c>
      <c r="E1563" t="s">
        <v>29</v>
      </c>
      <c r="F1563" t="s">
        <v>30</v>
      </c>
      <c r="G1563" t="s">
        <v>33</v>
      </c>
      <c r="H1563">
        <v>6</v>
      </c>
      <c r="I1563">
        <v>47</v>
      </c>
      <c r="J1563">
        <v>87.69</v>
      </c>
      <c r="K1563">
        <v>91</v>
      </c>
      <c r="L1563">
        <v>4121.43</v>
      </c>
      <c r="M1563">
        <v>-155.57</v>
      </c>
      <c r="N1563" s="1">
        <v>38441</v>
      </c>
      <c r="O1563" t="s">
        <v>25</v>
      </c>
      <c r="P1563">
        <v>1</v>
      </c>
      <c r="Q1563">
        <v>3</v>
      </c>
      <c r="R1563">
        <v>2005</v>
      </c>
      <c r="S1563" t="s">
        <v>234</v>
      </c>
    </row>
    <row r="1564" spans="1:19" x14ac:dyDescent="0.25">
      <c r="A1564">
        <v>10117</v>
      </c>
      <c r="B1564" t="s">
        <v>318</v>
      </c>
      <c r="C1564" t="s">
        <v>88</v>
      </c>
      <c r="D1564" t="s">
        <v>89</v>
      </c>
      <c r="E1564" t="s">
        <v>89</v>
      </c>
      <c r="F1564" t="s">
        <v>50</v>
      </c>
      <c r="G1564" t="s">
        <v>33</v>
      </c>
      <c r="H1564">
        <v>6</v>
      </c>
      <c r="I1564">
        <v>38</v>
      </c>
      <c r="J1564">
        <v>79.680000000000007</v>
      </c>
      <c r="K1564">
        <v>86</v>
      </c>
      <c r="L1564">
        <v>3027.84</v>
      </c>
      <c r="M1564">
        <v>-240.16</v>
      </c>
      <c r="N1564" s="1">
        <v>37727</v>
      </c>
      <c r="O1564" t="s">
        <v>25</v>
      </c>
      <c r="P1564">
        <v>2</v>
      </c>
      <c r="Q1564">
        <v>4</v>
      </c>
      <c r="R1564">
        <v>2003</v>
      </c>
      <c r="S1564" t="s">
        <v>255</v>
      </c>
    </row>
    <row r="1565" spans="1:19" x14ac:dyDescent="0.25">
      <c r="A1565">
        <v>10262</v>
      </c>
      <c r="B1565" t="s">
        <v>320</v>
      </c>
      <c r="C1565" t="s">
        <v>78</v>
      </c>
      <c r="D1565" t="s">
        <v>79</v>
      </c>
      <c r="E1565" t="s">
        <v>80</v>
      </c>
      <c r="F1565" t="s">
        <v>30</v>
      </c>
      <c r="G1565" t="s">
        <v>24</v>
      </c>
      <c r="H1565">
        <v>6</v>
      </c>
      <c r="I1565">
        <v>33</v>
      </c>
      <c r="J1565">
        <v>90.75</v>
      </c>
      <c r="K1565">
        <v>99</v>
      </c>
      <c r="L1565">
        <v>2994.75</v>
      </c>
      <c r="M1565">
        <v>-272.25</v>
      </c>
      <c r="N1565" s="1">
        <v>38162</v>
      </c>
      <c r="O1565" t="s">
        <v>141</v>
      </c>
      <c r="P1565">
        <v>2</v>
      </c>
      <c r="Q1565">
        <v>6</v>
      </c>
      <c r="R1565">
        <v>2004</v>
      </c>
      <c r="S1565" t="s">
        <v>234</v>
      </c>
    </row>
    <row r="1566" spans="1:19" x14ac:dyDescent="0.25">
      <c r="A1566">
        <v>10316</v>
      </c>
      <c r="B1566" t="s">
        <v>320</v>
      </c>
      <c r="C1566" t="s">
        <v>158</v>
      </c>
      <c r="D1566" t="s">
        <v>159</v>
      </c>
      <c r="E1566" t="s">
        <v>77</v>
      </c>
      <c r="F1566" t="s">
        <v>30</v>
      </c>
      <c r="G1566" t="s">
        <v>24</v>
      </c>
      <c r="H1566">
        <v>6</v>
      </c>
      <c r="I1566">
        <v>23</v>
      </c>
      <c r="J1566">
        <v>100</v>
      </c>
      <c r="K1566">
        <v>99</v>
      </c>
      <c r="L1566">
        <v>2706.41</v>
      </c>
      <c r="M1566">
        <v>429.41</v>
      </c>
      <c r="N1566" s="1">
        <v>38292</v>
      </c>
      <c r="O1566" t="s">
        <v>25</v>
      </c>
      <c r="P1566">
        <v>4</v>
      </c>
      <c r="Q1566">
        <v>11</v>
      </c>
      <c r="R1566">
        <v>2004</v>
      </c>
      <c r="S1566" t="s">
        <v>234</v>
      </c>
    </row>
    <row r="1567" spans="1:19" x14ac:dyDescent="0.25">
      <c r="A1567">
        <v>10103</v>
      </c>
      <c r="B1567" t="s">
        <v>322</v>
      </c>
      <c r="C1567" t="s">
        <v>63</v>
      </c>
      <c r="D1567" t="s">
        <v>64</v>
      </c>
      <c r="E1567" t="s">
        <v>44</v>
      </c>
      <c r="F1567" t="s">
        <v>30</v>
      </c>
      <c r="G1567" t="s">
        <v>33</v>
      </c>
      <c r="H1567">
        <v>6</v>
      </c>
      <c r="I1567">
        <v>42</v>
      </c>
      <c r="J1567">
        <v>100</v>
      </c>
      <c r="K1567">
        <v>101</v>
      </c>
      <c r="L1567">
        <v>4460.82</v>
      </c>
      <c r="M1567">
        <v>218.82</v>
      </c>
      <c r="N1567" s="1">
        <v>37650</v>
      </c>
      <c r="O1567" t="s">
        <v>25</v>
      </c>
      <c r="P1567">
        <v>1</v>
      </c>
      <c r="Q1567">
        <v>1</v>
      </c>
      <c r="R1567">
        <v>2003</v>
      </c>
      <c r="S1567" t="s">
        <v>83</v>
      </c>
    </row>
    <row r="1568" spans="1:19" x14ac:dyDescent="0.25">
      <c r="A1568">
        <v>10126</v>
      </c>
      <c r="B1568" t="s">
        <v>322</v>
      </c>
      <c r="C1568" t="s">
        <v>87</v>
      </c>
      <c r="D1568" t="s">
        <v>79</v>
      </c>
      <c r="E1568" t="s">
        <v>80</v>
      </c>
      <c r="F1568" t="s">
        <v>30</v>
      </c>
      <c r="G1568" t="s">
        <v>33</v>
      </c>
      <c r="H1568">
        <v>6</v>
      </c>
      <c r="I1568">
        <v>45</v>
      </c>
      <c r="J1568">
        <v>100</v>
      </c>
      <c r="K1568">
        <v>101</v>
      </c>
      <c r="L1568">
        <v>4597.2</v>
      </c>
      <c r="M1568">
        <v>52.2</v>
      </c>
      <c r="N1568" s="1">
        <v>37769</v>
      </c>
      <c r="O1568" t="s">
        <v>25</v>
      </c>
      <c r="P1568">
        <v>2</v>
      </c>
      <c r="Q1568">
        <v>5</v>
      </c>
      <c r="R1568">
        <v>2003</v>
      </c>
      <c r="S1568" t="s">
        <v>83</v>
      </c>
    </row>
    <row r="1569" spans="1:19" x14ac:dyDescent="0.25">
      <c r="A1569">
        <v>10140</v>
      </c>
      <c r="B1569" t="s">
        <v>322</v>
      </c>
      <c r="C1569" t="s">
        <v>38</v>
      </c>
      <c r="D1569" t="s">
        <v>39</v>
      </c>
      <c r="E1569" t="s">
        <v>22</v>
      </c>
      <c r="F1569" t="s">
        <v>23</v>
      </c>
      <c r="G1569" t="s">
        <v>33</v>
      </c>
      <c r="H1569">
        <v>6</v>
      </c>
      <c r="I1569">
        <v>36</v>
      </c>
      <c r="J1569">
        <v>100</v>
      </c>
      <c r="K1569">
        <v>101</v>
      </c>
      <c r="L1569">
        <v>4114.8</v>
      </c>
      <c r="M1569">
        <v>478.8</v>
      </c>
      <c r="N1569" s="1">
        <v>37826</v>
      </c>
      <c r="O1569" t="s">
        <v>25</v>
      </c>
      <c r="P1569">
        <v>3</v>
      </c>
      <c r="Q1569">
        <v>7</v>
      </c>
      <c r="R1569">
        <v>2003</v>
      </c>
      <c r="S1569" t="s">
        <v>83</v>
      </c>
    </row>
    <row r="1570" spans="1:19" x14ac:dyDescent="0.25">
      <c r="A1570">
        <v>10194</v>
      </c>
      <c r="B1570" t="s">
        <v>322</v>
      </c>
      <c r="C1570" t="s">
        <v>95</v>
      </c>
      <c r="D1570" t="s">
        <v>96</v>
      </c>
      <c r="E1570" t="s">
        <v>29</v>
      </c>
      <c r="F1570" t="s">
        <v>30</v>
      </c>
      <c r="G1570" t="s">
        <v>24</v>
      </c>
      <c r="H1570">
        <v>6</v>
      </c>
      <c r="I1570">
        <v>26</v>
      </c>
      <c r="J1570">
        <v>89.01</v>
      </c>
      <c r="K1570">
        <v>101</v>
      </c>
      <c r="L1570">
        <v>2314.2600000000002</v>
      </c>
      <c r="M1570">
        <v>-311.74</v>
      </c>
      <c r="N1570" s="1">
        <v>37950</v>
      </c>
      <c r="O1570" t="s">
        <v>25</v>
      </c>
      <c r="P1570">
        <v>4</v>
      </c>
      <c r="Q1570">
        <v>11</v>
      </c>
      <c r="R1570">
        <v>2003</v>
      </c>
      <c r="S1570" t="s">
        <v>83</v>
      </c>
    </row>
    <row r="1571" spans="1:19" x14ac:dyDescent="0.25">
      <c r="A1571">
        <v>10217</v>
      </c>
      <c r="B1571" t="s">
        <v>322</v>
      </c>
      <c r="C1571" t="s">
        <v>171</v>
      </c>
      <c r="D1571" t="s">
        <v>89</v>
      </c>
      <c r="E1571" t="s">
        <v>89</v>
      </c>
      <c r="F1571" t="s">
        <v>50</v>
      </c>
      <c r="G1571" t="s">
        <v>24</v>
      </c>
      <c r="H1571">
        <v>6</v>
      </c>
      <c r="I1571">
        <v>31</v>
      </c>
      <c r="J1571">
        <v>88</v>
      </c>
      <c r="K1571">
        <v>101</v>
      </c>
      <c r="L1571">
        <v>2728</v>
      </c>
      <c r="M1571">
        <v>-403</v>
      </c>
      <c r="N1571" s="1">
        <v>38021</v>
      </c>
      <c r="O1571" t="s">
        <v>25</v>
      </c>
      <c r="P1571">
        <v>1</v>
      </c>
      <c r="Q1571">
        <v>2</v>
      </c>
      <c r="R1571">
        <v>2004</v>
      </c>
      <c r="S1571" t="s">
        <v>83</v>
      </c>
    </row>
    <row r="1572" spans="1:19" x14ac:dyDescent="0.25">
      <c r="A1572">
        <v>10291</v>
      </c>
      <c r="B1572" t="s">
        <v>322</v>
      </c>
      <c r="C1572" t="s">
        <v>111</v>
      </c>
      <c r="D1572" t="s">
        <v>112</v>
      </c>
      <c r="E1572" t="s">
        <v>86</v>
      </c>
      <c r="F1572" t="s">
        <v>30</v>
      </c>
      <c r="G1572" t="s">
        <v>33</v>
      </c>
      <c r="H1572">
        <v>6</v>
      </c>
      <c r="I1572">
        <v>28</v>
      </c>
      <c r="J1572">
        <v>100</v>
      </c>
      <c r="K1572">
        <v>101</v>
      </c>
      <c r="L1572">
        <v>3256.96</v>
      </c>
      <c r="M1572">
        <v>428.96</v>
      </c>
      <c r="N1572" s="1">
        <v>38238</v>
      </c>
      <c r="O1572" t="s">
        <v>25</v>
      </c>
      <c r="P1572">
        <v>3</v>
      </c>
      <c r="Q1572">
        <v>9</v>
      </c>
      <c r="R1572">
        <v>2004</v>
      </c>
      <c r="S1572" t="s">
        <v>83</v>
      </c>
    </row>
    <row r="1573" spans="1:19" x14ac:dyDescent="0.25">
      <c r="A1573">
        <v>10210</v>
      </c>
      <c r="B1573" t="s">
        <v>323</v>
      </c>
      <c r="C1573" t="s">
        <v>127</v>
      </c>
      <c r="D1573" t="s">
        <v>128</v>
      </c>
      <c r="E1573" t="s">
        <v>107</v>
      </c>
      <c r="F1573" t="s">
        <v>50</v>
      </c>
      <c r="G1573" t="s">
        <v>24</v>
      </c>
      <c r="H1573">
        <v>6</v>
      </c>
      <c r="I1573">
        <v>25</v>
      </c>
      <c r="J1573">
        <v>100</v>
      </c>
      <c r="K1573">
        <v>118</v>
      </c>
      <c r="L1573">
        <v>2818</v>
      </c>
      <c r="M1573">
        <v>-132</v>
      </c>
      <c r="N1573" s="1">
        <v>37998</v>
      </c>
      <c r="O1573" t="s">
        <v>25</v>
      </c>
      <c r="P1573">
        <v>1</v>
      </c>
      <c r="Q1573">
        <v>1</v>
      </c>
      <c r="R1573">
        <v>2004</v>
      </c>
      <c r="S1573" t="s">
        <v>234</v>
      </c>
    </row>
    <row r="1574" spans="1:19" x14ac:dyDescent="0.25">
      <c r="A1574">
        <v>10308</v>
      </c>
      <c r="B1574" t="s">
        <v>323</v>
      </c>
      <c r="C1574" t="s">
        <v>131</v>
      </c>
      <c r="D1574" t="s">
        <v>132</v>
      </c>
      <c r="E1574" t="s">
        <v>22</v>
      </c>
      <c r="F1574" t="s">
        <v>23</v>
      </c>
      <c r="G1574" t="s">
        <v>33</v>
      </c>
      <c r="H1574">
        <v>6</v>
      </c>
      <c r="I1574">
        <v>31</v>
      </c>
      <c r="J1574">
        <v>100</v>
      </c>
      <c r="K1574">
        <v>118</v>
      </c>
      <c r="L1574">
        <v>4009.23</v>
      </c>
      <c r="M1574">
        <v>351.23</v>
      </c>
      <c r="N1574" s="1">
        <v>38275</v>
      </c>
      <c r="O1574" t="s">
        <v>25</v>
      </c>
      <c r="P1574">
        <v>4</v>
      </c>
      <c r="Q1574">
        <v>10</v>
      </c>
      <c r="R1574">
        <v>2004</v>
      </c>
      <c r="S1574" t="s">
        <v>234</v>
      </c>
    </row>
    <row r="1575" spans="1:19" x14ac:dyDescent="0.25">
      <c r="A1575">
        <v>10340</v>
      </c>
      <c r="B1575" t="s">
        <v>323</v>
      </c>
      <c r="C1575" t="s">
        <v>145</v>
      </c>
      <c r="D1575" t="s">
        <v>146</v>
      </c>
      <c r="E1575" t="s">
        <v>80</v>
      </c>
      <c r="F1575" t="s">
        <v>30</v>
      </c>
      <c r="G1575" t="s">
        <v>33</v>
      </c>
      <c r="H1575">
        <v>6</v>
      </c>
      <c r="I1575">
        <v>29</v>
      </c>
      <c r="J1575">
        <v>100</v>
      </c>
      <c r="K1575">
        <v>118</v>
      </c>
      <c r="L1575">
        <v>4094.51</v>
      </c>
      <c r="M1575">
        <v>672.51</v>
      </c>
      <c r="N1575" s="1">
        <v>38315</v>
      </c>
      <c r="O1575" t="s">
        <v>25</v>
      </c>
      <c r="P1575">
        <v>4</v>
      </c>
      <c r="Q1575">
        <v>11</v>
      </c>
      <c r="R1575">
        <v>2004</v>
      </c>
      <c r="S1575" t="s">
        <v>234</v>
      </c>
    </row>
    <row r="1576" spans="1:19" x14ac:dyDescent="0.25">
      <c r="A1576">
        <v>10353</v>
      </c>
      <c r="B1576" t="s">
        <v>324</v>
      </c>
      <c r="C1576" t="s">
        <v>235</v>
      </c>
      <c r="D1576" t="s">
        <v>208</v>
      </c>
      <c r="E1576" t="s">
        <v>22</v>
      </c>
      <c r="F1576" t="s">
        <v>23</v>
      </c>
      <c r="G1576" t="s">
        <v>33</v>
      </c>
      <c r="H1576">
        <v>6</v>
      </c>
      <c r="I1576">
        <v>43</v>
      </c>
      <c r="J1576">
        <v>81.95</v>
      </c>
      <c r="K1576">
        <v>80</v>
      </c>
      <c r="L1576">
        <v>3523.85</v>
      </c>
      <c r="M1576">
        <v>83.85</v>
      </c>
      <c r="N1576" s="1">
        <v>38325</v>
      </c>
      <c r="O1576" t="s">
        <v>25</v>
      </c>
      <c r="P1576">
        <v>4</v>
      </c>
      <c r="Q1576">
        <v>12</v>
      </c>
      <c r="R1576">
        <v>2004</v>
      </c>
      <c r="S1576" t="s">
        <v>234</v>
      </c>
    </row>
    <row r="1577" spans="1:19" x14ac:dyDescent="0.25">
      <c r="A1577">
        <v>10105</v>
      </c>
      <c r="B1577" t="s">
        <v>325</v>
      </c>
      <c r="C1577" t="s">
        <v>135</v>
      </c>
      <c r="D1577" t="s">
        <v>136</v>
      </c>
      <c r="E1577" t="s">
        <v>137</v>
      </c>
      <c r="F1577" t="s">
        <v>30</v>
      </c>
      <c r="G1577" t="s">
        <v>33</v>
      </c>
      <c r="H1577">
        <v>6</v>
      </c>
      <c r="I1577">
        <v>39</v>
      </c>
      <c r="J1577">
        <v>81.14</v>
      </c>
      <c r="K1577">
        <v>100</v>
      </c>
      <c r="L1577">
        <v>3164.46</v>
      </c>
      <c r="M1577">
        <v>-735.54</v>
      </c>
      <c r="N1577" s="1">
        <v>37663</v>
      </c>
      <c r="O1577" t="s">
        <v>25</v>
      </c>
      <c r="P1577">
        <v>1</v>
      </c>
      <c r="Q1577">
        <v>2</v>
      </c>
      <c r="R1577">
        <v>2003</v>
      </c>
      <c r="S1577" t="s">
        <v>255</v>
      </c>
    </row>
    <row r="1578" spans="1:19" x14ac:dyDescent="0.25">
      <c r="A1578">
        <v>10129</v>
      </c>
      <c r="B1578" t="s">
        <v>325</v>
      </c>
      <c r="C1578" t="s">
        <v>138</v>
      </c>
      <c r="D1578" t="s">
        <v>139</v>
      </c>
      <c r="E1578" t="s">
        <v>77</v>
      </c>
      <c r="F1578" t="s">
        <v>30</v>
      </c>
      <c r="G1578" t="s">
        <v>33</v>
      </c>
      <c r="H1578">
        <v>6</v>
      </c>
      <c r="I1578">
        <v>42</v>
      </c>
      <c r="J1578">
        <v>91.15</v>
      </c>
      <c r="K1578">
        <v>100</v>
      </c>
      <c r="L1578">
        <v>3828.3</v>
      </c>
      <c r="M1578">
        <v>-371.7</v>
      </c>
      <c r="N1578" s="1">
        <v>37784</v>
      </c>
      <c r="O1578" t="s">
        <v>25</v>
      </c>
      <c r="P1578">
        <v>2</v>
      </c>
      <c r="Q1578">
        <v>6</v>
      </c>
      <c r="R1578">
        <v>2003</v>
      </c>
      <c r="S1578" t="s">
        <v>255</v>
      </c>
    </row>
    <row r="1579" spans="1:19" x14ac:dyDescent="0.25">
      <c r="A1579">
        <v>10261</v>
      </c>
      <c r="B1579" t="s">
        <v>326</v>
      </c>
      <c r="C1579" t="s">
        <v>123</v>
      </c>
      <c r="D1579" t="s">
        <v>124</v>
      </c>
      <c r="E1579" t="s">
        <v>99</v>
      </c>
      <c r="F1579" t="s">
        <v>23</v>
      </c>
      <c r="G1579" t="s">
        <v>33</v>
      </c>
      <c r="H1579">
        <v>6</v>
      </c>
      <c r="I1579">
        <v>50</v>
      </c>
      <c r="J1579">
        <v>81.430000000000007</v>
      </c>
      <c r="K1579">
        <v>99</v>
      </c>
      <c r="L1579">
        <v>4071.5</v>
      </c>
      <c r="M1579">
        <v>-878.5</v>
      </c>
      <c r="N1579" s="1">
        <v>38155</v>
      </c>
      <c r="O1579" t="s">
        <v>25</v>
      </c>
      <c r="P1579">
        <v>2</v>
      </c>
      <c r="Q1579">
        <v>6</v>
      </c>
      <c r="R1579">
        <v>2004</v>
      </c>
      <c r="S1579" t="s">
        <v>255</v>
      </c>
    </row>
    <row r="1580" spans="1:19" x14ac:dyDescent="0.25">
      <c r="A1580">
        <v>10119</v>
      </c>
      <c r="B1580" t="s">
        <v>328</v>
      </c>
      <c r="C1580" t="s">
        <v>67</v>
      </c>
      <c r="D1580" t="s">
        <v>68</v>
      </c>
      <c r="E1580" t="s">
        <v>69</v>
      </c>
      <c r="F1580" t="s">
        <v>30</v>
      </c>
      <c r="G1580" t="s">
        <v>24</v>
      </c>
      <c r="H1580">
        <v>6</v>
      </c>
      <c r="I1580">
        <v>28</v>
      </c>
      <c r="J1580">
        <v>48.17</v>
      </c>
      <c r="K1580">
        <v>49</v>
      </c>
      <c r="L1580">
        <v>1348.76</v>
      </c>
      <c r="M1580">
        <v>-23.24</v>
      </c>
      <c r="N1580" s="1">
        <v>37739</v>
      </c>
      <c r="O1580" t="s">
        <v>25</v>
      </c>
      <c r="P1580">
        <v>2</v>
      </c>
      <c r="Q1580">
        <v>4</v>
      </c>
      <c r="R1580">
        <v>2003</v>
      </c>
      <c r="S1580" t="s">
        <v>234</v>
      </c>
    </row>
    <row r="1581" spans="1:19" x14ac:dyDescent="0.25">
      <c r="A1581">
        <v>10339</v>
      </c>
      <c r="B1581" t="s">
        <v>328</v>
      </c>
      <c r="C1581" t="s">
        <v>105</v>
      </c>
      <c r="D1581" t="s">
        <v>106</v>
      </c>
      <c r="E1581" t="s">
        <v>107</v>
      </c>
      <c r="F1581" t="s">
        <v>50</v>
      </c>
      <c r="G1581" t="s">
        <v>24</v>
      </c>
      <c r="H1581">
        <v>6</v>
      </c>
      <c r="I1581">
        <v>27</v>
      </c>
      <c r="J1581">
        <v>76.31</v>
      </c>
      <c r="K1581">
        <v>49</v>
      </c>
      <c r="L1581">
        <v>2060.37</v>
      </c>
      <c r="M1581">
        <v>737.37</v>
      </c>
      <c r="N1581" s="1">
        <v>38314</v>
      </c>
      <c r="O1581" t="s">
        <v>25</v>
      </c>
      <c r="P1581">
        <v>4</v>
      </c>
      <c r="Q1581">
        <v>11</v>
      </c>
      <c r="R1581">
        <v>2004</v>
      </c>
      <c r="S1581" t="s">
        <v>234</v>
      </c>
    </row>
    <row r="1582" spans="1:19" x14ac:dyDescent="0.25">
      <c r="A1582">
        <v>10177</v>
      </c>
      <c r="B1582" t="s">
        <v>329</v>
      </c>
      <c r="C1582" t="s">
        <v>196</v>
      </c>
      <c r="D1582" t="s">
        <v>79</v>
      </c>
      <c r="E1582" t="s">
        <v>80</v>
      </c>
      <c r="F1582" t="s">
        <v>30</v>
      </c>
      <c r="G1582" t="s">
        <v>24</v>
      </c>
      <c r="H1582">
        <v>6</v>
      </c>
      <c r="I1582">
        <v>40</v>
      </c>
      <c r="J1582">
        <v>50.23</v>
      </c>
      <c r="K1582">
        <v>54</v>
      </c>
      <c r="L1582">
        <v>2009.2</v>
      </c>
      <c r="M1582">
        <v>-150.80000000000001</v>
      </c>
      <c r="N1582" s="1">
        <v>37932</v>
      </c>
      <c r="O1582" t="s">
        <v>25</v>
      </c>
      <c r="P1582">
        <v>4</v>
      </c>
      <c r="Q1582">
        <v>11</v>
      </c>
      <c r="R1582">
        <v>2003</v>
      </c>
      <c r="S1582" t="s">
        <v>255</v>
      </c>
    </row>
    <row r="1583" spans="1:19" x14ac:dyDescent="0.25">
      <c r="A1583">
        <v>10185</v>
      </c>
      <c r="B1583" t="s">
        <v>329</v>
      </c>
      <c r="C1583" t="s">
        <v>140</v>
      </c>
      <c r="D1583" t="s">
        <v>74</v>
      </c>
      <c r="E1583" t="s">
        <v>22</v>
      </c>
      <c r="F1583" t="s">
        <v>23</v>
      </c>
      <c r="G1583" t="s">
        <v>24</v>
      </c>
      <c r="H1583">
        <v>6</v>
      </c>
      <c r="I1583">
        <v>28</v>
      </c>
      <c r="J1583">
        <v>64.430000000000007</v>
      </c>
      <c r="K1583">
        <v>54</v>
      </c>
      <c r="L1583">
        <v>1804.04</v>
      </c>
      <c r="M1583">
        <v>292.04000000000002</v>
      </c>
      <c r="N1583" s="1">
        <v>37939</v>
      </c>
      <c r="O1583" t="s">
        <v>25</v>
      </c>
      <c r="P1583">
        <v>4</v>
      </c>
      <c r="Q1583">
        <v>11</v>
      </c>
      <c r="R1583">
        <v>2003</v>
      </c>
      <c r="S1583" t="s">
        <v>255</v>
      </c>
    </row>
    <row r="1584" spans="1:19" x14ac:dyDescent="0.25">
      <c r="A1584">
        <v>10208</v>
      </c>
      <c r="B1584" t="s">
        <v>329</v>
      </c>
      <c r="C1584" t="s">
        <v>95</v>
      </c>
      <c r="D1584" t="s">
        <v>96</v>
      </c>
      <c r="E1584" t="s">
        <v>29</v>
      </c>
      <c r="F1584" t="s">
        <v>30</v>
      </c>
      <c r="G1584" t="s">
        <v>24</v>
      </c>
      <c r="H1584">
        <v>6</v>
      </c>
      <c r="I1584">
        <v>42</v>
      </c>
      <c r="J1584">
        <v>63.88</v>
      </c>
      <c r="K1584">
        <v>54</v>
      </c>
      <c r="L1584">
        <v>2682.96</v>
      </c>
      <c r="M1584">
        <v>414.96</v>
      </c>
      <c r="N1584" s="1">
        <v>37988</v>
      </c>
      <c r="O1584" t="s">
        <v>25</v>
      </c>
      <c r="P1584">
        <v>1</v>
      </c>
      <c r="Q1584">
        <v>1</v>
      </c>
      <c r="R1584">
        <v>2004</v>
      </c>
      <c r="S1584" t="s">
        <v>255</v>
      </c>
    </row>
    <row r="1585" spans="1:19" x14ac:dyDescent="0.25">
      <c r="A1585">
        <v>10306</v>
      </c>
      <c r="B1585" t="s">
        <v>329</v>
      </c>
      <c r="C1585" t="s">
        <v>197</v>
      </c>
      <c r="D1585" t="s">
        <v>198</v>
      </c>
      <c r="E1585" t="s">
        <v>77</v>
      </c>
      <c r="F1585" t="s">
        <v>30</v>
      </c>
      <c r="G1585" t="s">
        <v>24</v>
      </c>
      <c r="H1585">
        <v>6</v>
      </c>
      <c r="I1585">
        <v>35</v>
      </c>
      <c r="J1585">
        <v>59.51</v>
      </c>
      <c r="K1585">
        <v>54</v>
      </c>
      <c r="L1585">
        <v>2082.85</v>
      </c>
      <c r="M1585">
        <v>192.85</v>
      </c>
      <c r="N1585" s="1">
        <v>38274</v>
      </c>
      <c r="O1585" t="s">
        <v>25</v>
      </c>
      <c r="P1585">
        <v>4</v>
      </c>
      <c r="Q1585">
        <v>10</v>
      </c>
      <c r="R1585">
        <v>2004</v>
      </c>
      <c r="S1585" t="s">
        <v>255</v>
      </c>
    </row>
    <row r="1586" spans="1:19" x14ac:dyDescent="0.25">
      <c r="A1586">
        <v>10237</v>
      </c>
      <c r="B1586" t="s">
        <v>19</v>
      </c>
      <c r="C1586" t="s">
        <v>51</v>
      </c>
      <c r="D1586" t="s">
        <v>21</v>
      </c>
      <c r="E1586" t="s">
        <v>22</v>
      </c>
      <c r="F1586" t="s">
        <v>23</v>
      </c>
      <c r="G1586" t="s">
        <v>24</v>
      </c>
      <c r="H1586">
        <v>7</v>
      </c>
      <c r="I1586">
        <v>23</v>
      </c>
      <c r="J1586">
        <v>100</v>
      </c>
      <c r="K1586">
        <v>95</v>
      </c>
      <c r="L1586">
        <v>2333.12</v>
      </c>
      <c r="M1586">
        <v>148.12</v>
      </c>
      <c r="N1586" s="1">
        <v>38082</v>
      </c>
      <c r="O1586" t="s">
        <v>25</v>
      </c>
      <c r="P1586">
        <v>2</v>
      </c>
      <c r="Q1586">
        <v>4</v>
      </c>
      <c r="R1586">
        <v>2004</v>
      </c>
      <c r="S1586" t="s">
        <v>26</v>
      </c>
    </row>
    <row r="1587" spans="1:19" x14ac:dyDescent="0.25">
      <c r="A1587">
        <v>10403</v>
      </c>
      <c r="B1587" t="s">
        <v>19</v>
      </c>
      <c r="C1587" t="s">
        <v>75</v>
      </c>
      <c r="D1587" t="s">
        <v>76</v>
      </c>
      <c r="E1587" t="s">
        <v>77</v>
      </c>
      <c r="F1587" t="s">
        <v>30</v>
      </c>
      <c r="G1587" t="s">
        <v>24</v>
      </c>
      <c r="H1587">
        <v>7</v>
      </c>
      <c r="I1587">
        <v>24</v>
      </c>
      <c r="J1587">
        <v>100</v>
      </c>
      <c r="K1587">
        <v>95</v>
      </c>
      <c r="L1587">
        <v>2434.56</v>
      </c>
      <c r="M1587">
        <v>154.56</v>
      </c>
      <c r="N1587" s="1">
        <v>38450</v>
      </c>
      <c r="O1587" t="s">
        <v>25</v>
      </c>
      <c r="P1587">
        <v>2</v>
      </c>
      <c r="Q1587">
        <v>4</v>
      </c>
      <c r="R1587">
        <v>2005</v>
      </c>
      <c r="S1587" t="s">
        <v>26</v>
      </c>
    </row>
    <row r="1588" spans="1:19" x14ac:dyDescent="0.25">
      <c r="A1588">
        <v>10388</v>
      </c>
      <c r="B1588" t="s">
        <v>133</v>
      </c>
      <c r="C1588" t="s">
        <v>73</v>
      </c>
      <c r="D1588" t="s">
        <v>74</v>
      </c>
      <c r="E1588" t="s">
        <v>22</v>
      </c>
      <c r="F1588" t="s">
        <v>23</v>
      </c>
      <c r="G1588" t="s">
        <v>24</v>
      </c>
      <c r="H1588">
        <v>7</v>
      </c>
      <c r="I1588">
        <v>21</v>
      </c>
      <c r="J1588">
        <v>86.77</v>
      </c>
      <c r="K1588">
        <v>193</v>
      </c>
      <c r="L1588">
        <v>1822.17</v>
      </c>
      <c r="M1588">
        <v>-2230.83</v>
      </c>
      <c r="N1588" s="1">
        <v>38414</v>
      </c>
      <c r="O1588" t="s">
        <v>25</v>
      </c>
      <c r="P1588">
        <v>1</v>
      </c>
      <c r="Q1588">
        <v>3</v>
      </c>
      <c r="R1588">
        <v>2005</v>
      </c>
      <c r="S1588" t="s">
        <v>26</v>
      </c>
    </row>
    <row r="1589" spans="1:19" x14ac:dyDescent="0.25">
      <c r="A1589">
        <v>10313</v>
      </c>
      <c r="B1589" t="s">
        <v>165</v>
      </c>
      <c r="C1589" t="s">
        <v>97</v>
      </c>
      <c r="D1589" t="s">
        <v>98</v>
      </c>
      <c r="E1589" t="s">
        <v>99</v>
      </c>
      <c r="F1589" t="s">
        <v>23</v>
      </c>
      <c r="G1589" t="s">
        <v>33</v>
      </c>
      <c r="H1589">
        <v>7</v>
      </c>
      <c r="I1589">
        <v>40</v>
      </c>
      <c r="J1589">
        <v>100</v>
      </c>
      <c r="K1589">
        <v>147</v>
      </c>
      <c r="L1589">
        <v>6678</v>
      </c>
      <c r="M1589">
        <v>798</v>
      </c>
      <c r="N1589" s="1">
        <v>38282</v>
      </c>
      <c r="O1589" t="s">
        <v>25</v>
      </c>
      <c r="P1589">
        <v>4</v>
      </c>
      <c r="Q1589">
        <v>10</v>
      </c>
      <c r="R1589">
        <v>2004</v>
      </c>
      <c r="S1589" t="s">
        <v>83</v>
      </c>
    </row>
    <row r="1590" spans="1:19" x14ac:dyDescent="0.25">
      <c r="A1590">
        <v>10391</v>
      </c>
      <c r="B1590" t="s">
        <v>165</v>
      </c>
      <c r="C1590" t="s">
        <v>121</v>
      </c>
      <c r="D1590" t="s">
        <v>122</v>
      </c>
      <c r="E1590" t="s">
        <v>49</v>
      </c>
      <c r="F1590" t="s">
        <v>50</v>
      </c>
      <c r="G1590" t="s">
        <v>24</v>
      </c>
      <c r="H1590">
        <v>7</v>
      </c>
      <c r="I1590">
        <v>37</v>
      </c>
      <c r="J1590">
        <v>46.9</v>
      </c>
      <c r="K1590">
        <v>147</v>
      </c>
      <c r="L1590">
        <v>1735.3</v>
      </c>
      <c r="M1590">
        <v>-3703.7</v>
      </c>
      <c r="N1590" s="1">
        <v>38420</v>
      </c>
      <c r="O1590" t="s">
        <v>25</v>
      </c>
      <c r="P1590">
        <v>1</v>
      </c>
      <c r="Q1590">
        <v>3</v>
      </c>
      <c r="R1590">
        <v>2005</v>
      </c>
      <c r="S1590" t="s">
        <v>83</v>
      </c>
    </row>
    <row r="1591" spans="1:19" x14ac:dyDescent="0.25">
      <c r="A1591">
        <v>10135</v>
      </c>
      <c r="B1591" t="s">
        <v>172</v>
      </c>
      <c r="C1591" t="s">
        <v>115</v>
      </c>
      <c r="D1591" t="s">
        <v>116</v>
      </c>
      <c r="E1591" t="s">
        <v>22</v>
      </c>
      <c r="F1591" t="s">
        <v>23</v>
      </c>
      <c r="G1591" t="s">
        <v>70</v>
      </c>
      <c r="H1591">
        <v>7</v>
      </c>
      <c r="I1591">
        <v>42</v>
      </c>
      <c r="J1591">
        <v>100</v>
      </c>
      <c r="K1591">
        <v>194</v>
      </c>
      <c r="L1591">
        <v>8008.56</v>
      </c>
      <c r="M1591">
        <v>-139.44</v>
      </c>
      <c r="N1591" s="1">
        <v>37804</v>
      </c>
      <c r="O1591" t="s">
        <v>25</v>
      </c>
      <c r="P1591">
        <v>3</v>
      </c>
      <c r="Q1591">
        <v>7</v>
      </c>
      <c r="R1591">
        <v>2003</v>
      </c>
      <c r="S1591" t="s">
        <v>83</v>
      </c>
    </row>
    <row r="1592" spans="1:19" x14ac:dyDescent="0.25">
      <c r="A1592">
        <v>10147</v>
      </c>
      <c r="B1592" t="s">
        <v>172</v>
      </c>
      <c r="C1592" t="s">
        <v>119</v>
      </c>
      <c r="D1592" t="s">
        <v>120</v>
      </c>
      <c r="E1592" t="s">
        <v>22</v>
      </c>
      <c r="F1592" t="s">
        <v>23</v>
      </c>
      <c r="G1592" t="s">
        <v>70</v>
      </c>
      <c r="H1592">
        <v>7</v>
      </c>
      <c r="I1592">
        <v>48</v>
      </c>
      <c r="J1592">
        <v>100</v>
      </c>
      <c r="K1592">
        <v>194</v>
      </c>
      <c r="L1592">
        <v>9245.76</v>
      </c>
      <c r="M1592">
        <v>-66.239999999999995</v>
      </c>
      <c r="N1592" s="1">
        <v>37869</v>
      </c>
      <c r="O1592" t="s">
        <v>25</v>
      </c>
      <c r="P1592">
        <v>3</v>
      </c>
      <c r="Q1592">
        <v>9</v>
      </c>
      <c r="R1592">
        <v>2003</v>
      </c>
      <c r="S1592" t="s">
        <v>83</v>
      </c>
    </row>
    <row r="1593" spans="1:19" x14ac:dyDescent="0.25">
      <c r="A1593">
        <v>10375</v>
      </c>
      <c r="B1593" t="s">
        <v>172</v>
      </c>
      <c r="C1593" t="s">
        <v>56</v>
      </c>
      <c r="D1593" t="s">
        <v>57</v>
      </c>
      <c r="E1593" t="s">
        <v>29</v>
      </c>
      <c r="F1593" t="s">
        <v>30</v>
      </c>
      <c r="G1593" t="s">
        <v>33</v>
      </c>
      <c r="H1593">
        <v>7</v>
      </c>
      <c r="I1593">
        <v>45</v>
      </c>
      <c r="J1593">
        <v>76</v>
      </c>
      <c r="K1593">
        <v>194</v>
      </c>
      <c r="L1593">
        <v>3420</v>
      </c>
      <c r="M1593">
        <v>-5310</v>
      </c>
      <c r="N1593" s="1">
        <v>38386</v>
      </c>
      <c r="O1593" t="s">
        <v>25</v>
      </c>
      <c r="P1593">
        <v>1</v>
      </c>
      <c r="Q1593">
        <v>2</v>
      </c>
      <c r="R1593">
        <v>2005</v>
      </c>
      <c r="S1593" t="s">
        <v>83</v>
      </c>
    </row>
    <row r="1594" spans="1:19" x14ac:dyDescent="0.25">
      <c r="A1594">
        <v>10225</v>
      </c>
      <c r="B1594" t="s">
        <v>206</v>
      </c>
      <c r="C1594" t="s">
        <v>181</v>
      </c>
      <c r="D1594" t="s">
        <v>182</v>
      </c>
      <c r="E1594" t="s">
        <v>183</v>
      </c>
      <c r="F1594" t="s">
        <v>30</v>
      </c>
      <c r="G1594" t="s">
        <v>24</v>
      </c>
      <c r="H1594">
        <v>7</v>
      </c>
      <c r="I1594">
        <v>25</v>
      </c>
      <c r="J1594">
        <v>99.82</v>
      </c>
      <c r="K1594">
        <v>117</v>
      </c>
      <c r="L1594">
        <v>2495.5</v>
      </c>
      <c r="M1594">
        <v>-429.5</v>
      </c>
      <c r="N1594" s="1">
        <v>38039</v>
      </c>
      <c r="O1594" t="s">
        <v>25</v>
      </c>
      <c r="P1594">
        <v>1</v>
      </c>
      <c r="Q1594">
        <v>2</v>
      </c>
      <c r="R1594">
        <v>2004</v>
      </c>
      <c r="S1594" t="s">
        <v>83</v>
      </c>
    </row>
    <row r="1595" spans="1:19" x14ac:dyDescent="0.25">
      <c r="A1595">
        <v>10293</v>
      </c>
      <c r="B1595" t="s">
        <v>209</v>
      </c>
      <c r="C1595" t="s">
        <v>108</v>
      </c>
      <c r="D1595" t="s">
        <v>109</v>
      </c>
      <c r="E1595" t="s">
        <v>110</v>
      </c>
      <c r="F1595" t="s">
        <v>30</v>
      </c>
      <c r="G1595" t="s">
        <v>70</v>
      </c>
      <c r="H1595">
        <v>7</v>
      </c>
      <c r="I1595">
        <v>45</v>
      </c>
      <c r="J1595">
        <v>100</v>
      </c>
      <c r="K1595">
        <v>173</v>
      </c>
      <c r="L1595">
        <v>8253</v>
      </c>
      <c r="M1595">
        <v>468</v>
      </c>
      <c r="N1595" s="1">
        <v>38239</v>
      </c>
      <c r="O1595" t="s">
        <v>25</v>
      </c>
      <c r="P1595">
        <v>3</v>
      </c>
      <c r="Q1595">
        <v>9</v>
      </c>
      <c r="R1595">
        <v>2004</v>
      </c>
      <c r="S1595" t="s">
        <v>83</v>
      </c>
    </row>
    <row r="1596" spans="1:19" x14ac:dyDescent="0.25">
      <c r="A1596">
        <v>10108</v>
      </c>
      <c r="B1596" t="s">
        <v>210</v>
      </c>
      <c r="C1596" t="s">
        <v>173</v>
      </c>
      <c r="D1596" t="s">
        <v>174</v>
      </c>
      <c r="E1596" t="s">
        <v>175</v>
      </c>
      <c r="F1596" t="s">
        <v>50</v>
      </c>
      <c r="G1596" t="s">
        <v>33</v>
      </c>
      <c r="H1596">
        <v>7</v>
      </c>
      <c r="I1596">
        <v>39</v>
      </c>
      <c r="J1596">
        <v>89.38</v>
      </c>
      <c r="K1596">
        <v>79</v>
      </c>
      <c r="L1596">
        <v>3485.82</v>
      </c>
      <c r="M1596">
        <v>404.82</v>
      </c>
      <c r="N1596" s="1">
        <v>37683</v>
      </c>
      <c r="O1596" t="s">
        <v>25</v>
      </c>
      <c r="P1596">
        <v>1</v>
      </c>
      <c r="Q1596">
        <v>3</v>
      </c>
      <c r="R1596">
        <v>2003</v>
      </c>
      <c r="S1596" t="s">
        <v>83</v>
      </c>
    </row>
    <row r="1597" spans="1:19" x14ac:dyDescent="0.25">
      <c r="A1597">
        <v>10389</v>
      </c>
      <c r="B1597" t="s">
        <v>210</v>
      </c>
      <c r="C1597" t="s">
        <v>111</v>
      </c>
      <c r="D1597" t="s">
        <v>112</v>
      </c>
      <c r="E1597" t="s">
        <v>86</v>
      </c>
      <c r="F1597" t="s">
        <v>30</v>
      </c>
      <c r="G1597" t="s">
        <v>24</v>
      </c>
      <c r="H1597">
        <v>7</v>
      </c>
      <c r="I1597">
        <v>36</v>
      </c>
      <c r="J1597">
        <v>70.260000000000005</v>
      </c>
      <c r="K1597">
        <v>79</v>
      </c>
      <c r="L1597">
        <v>2529.36</v>
      </c>
      <c r="M1597">
        <v>-314.64</v>
      </c>
      <c r="N1597" s="1">
        <v>38414</v>
      </c>
      <c r="O1597" t="s">
        <v>25</v>
      </c>
      <c r="P1597">
        <v>1</v>
      </c>
      <c r="Q1597">
        <v>3</v>
      </c>
      <c r="R1597">
        <v>2005</v>
      </c>
      <c r="S1597" t="s">
        <v>83</v>
      </c>
    </row>
    <row r="1598" spans="1:19" x14ac:dyDescent="0.25">
      <c r="A1598">
        <v>10207</v>
      </c>
      <c r="B1598" t="s">
        <v>211</v>
      </c>
      <c r="C1598" t="s">
        <v>170</v>
      </c>
      <c r="D1598" t="s">
        <v>157</v>
      </c>
      <c r="E1598" t="s">
        <v>22</v>
      </c>
      <c r="F1598" t="s">
        <v>23</v>
      </c>
      <c r="G1598" t="s">
        <v>33</v>
      </c>
      <c r="H1598">
        <v>7</v>
      </c>
      <c r="I1598">
        <v>34</v>
      </c>
      <c r="J1598">
        <v>99.54</v>
      </c>
      <c r="K1598">
        <v>118</v>
      </c>
      <c r="L1598">
        <v>3384.36</v>
      </c>
      <c r="M1598">
        <v>-627.64</v>
      </c>
      <c r="N1598" s="1">
        <v>37964</v>
      </c>
      <c r="O1598" t="s">
        <v>25</v>
      </c>
      <c r="P1598">
        <v>4</v>
      </c>
      <c r="Q1598">
        <v>12</v>
      </c>
      <c r="R1598">
        <v>2003</v>
      </c>
      <c r="S1598" t="s">
        <v>202</v>
      </c>
    </row>
    <row r="1599" spans="1:19" x14ac:dyDescent="0.25">
      <c r="A1599">
        <v>10324</v>
      </c>
      <c r="B1599" t="s">
        <v>211</v>
      </c>
      <c r="C1599" t="s">
        <v>51</v>
      </c>
      <c r="D1599" t="s">
        <v>21</v>
      </c>
      <c r="E1599" t="s">
        <v>22</v>
      </c>
      <c r="F1599" t="s">
        <v>23</v>
      </c>
      <c r="G1599" t="s">
        <v>24</v>
      </c>
      <c r="H1599">
        <v>7</v>
      </c>
      <c r="I1599">
        <v>26</v>
      </c>
      <c r="J1599">
        <v>58.38</v>
      </c>
      <c r="K1599">
        <v>118</v>
      </c>
      <c r="L1599">
        <v>1517.88</v>
      </c>
      <c r="M1599">
        <v>-1550.12</v>
      </c>
      <c r="N1599" s="1">
        <v>38296</v>
      </c>
      <c r="O1599" t="s">
        <v>25</v>
      </c>
      <c r="P1599">
        <v>4</v>
      </c>
      <c r="Q1599">
        <v>11</v>
      </c>
      <c r="R1599">
        <v>2004</v>
      </c>
      <c r="S1599" t="s">
        <v>202</v>
      </c>
    </row>
    <row r="1600" spans="1:19" x14ac:dyDescent="0.25">
      <c r="A1600">
        <v>10122</v>
      </c>
      <c r="B1600" t="s">
        <v>216</v>
      </c>
      <c r="C1600" t="s">
        <v>176</v>
      </c>
      <c r="D1600" t="s">
        <v>177</v>
      </c>
      <c r="E1600" t="s">
        <v>29</v>
      </c>
      <c r="F1600" t="s">
        <v>30</v>
      </c>
      <c r="G1600" t="s">
        <v>24</v>
      </c>
      <c r="H1600">
        <v>7</v>
      </c>
      <c r="I1600">
        <v>20</v>
      </c>
      <c r="J1600">
        <v>100</v>
      </c>
      <c r="K1600">
        <v>115</v>
      </c>
      <c r="L1600">
        <v>2142</v>
      </c>
      <c r="M1600">
        <v>-158</v>
      </c>
      <c r="N1600" s="1">
        <v>37749</v>
      </c>
      <c r="O1600" t="s">
        <v>25</v>
      </c>
      <c r="P1600">
        <v>2</v>
      </c>
      <c r="Q1600">
        <v>5</v>
      </c>
      <c r="R1600">
        <v>2003</v>
      </c>
      <c r="S1600" t="s">
        <v>83</v>
      </c>
    </row>
    <row r="1601" spans="1:19" x14ac:dyDescent="0.25">
      <c r="A1601">
        <v>10310</v>
      </c>
      <c r="B1601" t="s">
        <v>216</v>
      </c>
      <c r="C1601" t="s">
        <v>178</v>
      </c>
      <c r="D1601" t="s">
        <v>179</v>
      </c>
      <c r="E1601" t="s">
        <v>180</v>
      </c>
      <c r="F1601" t="s">
        <v>30</v>
      </c>
      <c r="G1601" t="s">
        <v>24</v>
      </c>
      <c r="H1601">
        <v>7</v>
      </c>
      <c r="I1601">
        <v>25</v>
      </c>
      <c r="J1601">
        <v>100</v>
      </c>
      <c r="K1601">
        <v>115</v>
      </c>
      <c r="L1601">
        <v>2504.75</v>
      </c>
      <c r="M1601">
        <v>-370.25</v>
      </c>
      <c r="N1601" s="1">
        <v>38276</v>
      </c>
      <c r="O1601" t="s">
        <v>25</v>
      </c>
      <c r="P1601">
        <v>4</v>
      </c>
      <c r="Q1601">
        <v>10</v>
      </c>
      <c r="R1601">
        <v>2004</v>
      </c>
      <c r="S1601" t="s">
        <v>83</v>
      </c>
    </row>
    <row r="1602" spans="1:19" x14ac:dyDescent="0.25">
      <c r="A1602">
        <v>10341</v>
      </c>
      <c r="B1602" t="s">
        <v>216</v>
      </c>
      <c r="C1602" t="s">
        <v>67</v>
      </c>
      <c r="D1602" t="s">
        <v>68</v>
      </c>
      <c r="E1602" t="s">
        <v>69</v>
      </c>
      <c r="F1602" t="s">
        <v>30</v>
      </c>
      <c r="G1602" t="s">
        <v>33</v>
      </c>
      <c r="H1602">
        <v>7</v>
      </c>
      <c r="I1602">
        <v>55</v>
      </c>
      <c r="J1602">
        <v>75.2</v>
      </c>
      <c r="K1602">
        <v>115</v>
      </c>
      <c r="L1602">
        <v>4136</v>
      </c>
      <c r="M1602">
        <v>-2189</v>
      </c>
      <c r="N1602" s="1">
        <v>38315</v>
      </c>
      <c r="O1602" t="s">
        <v>25</v>
      </c>
      <c r="P1602">
        <v>4</v>
      </c>
      <c r="Q1602">
        <v>11</v>
      </c>
      <c r="R1602">
        <v>2004</v>
      </c>
      <c r="S1602" t="s">
        <v>83</v>
      </c>
    </row>
    <row r="1603" spans="1:19" x14ac:dyDescent="0.25">
      <c r="A1603">
        <v>10150</v>
      </c>
      <c r="B1603" t="s">
        <v>219</v>
      </c>
      <c r="C1603" t="s">
        <v>88</v>
      </c>
      <c r="D1603" t="s">
        <v>89</v>
      </c>
      <c r="E1603" t="s">
        <v>89</v>
      </c>
      <c r="F1603" t="s">
        <v>50</v>
      </c>
      <c r="G1603" t="s">
        <v>33</v>
      </c>
      <c r="H1603">
        <v>7</v>
      </c>
      <c r="I1603">
        <v>34</v>
      </c>
      <c r="J1603">
        <v>100</v>
      </c>
      <c r="K1603">
        <v>116</v>
      </c>
      <c r="L1603">
        <v>4641</v>
      </c>
      <c r="M1603">
        <v>697</v>
      </c>
      <c r="N1603" s="1">
        <v>37883</v>
      </c>
      <c r="O1603" t="s">
        <v>25</v>
      </c>
      <c r="P1603">
        <v>3</v>
      </c>
      <c r="Q1603">
        <v>9</v>
      </c>
      <c r="R1603">
        <v>2003</v>
      </c>
      <c r="S1603" t="s">
        <v>202</v>
      </c>
    </row>
    <row r="1604" spans="1:19" x14ac:dyDescent="0.25">
      <c r="A1604">
        <v>10183</v>
      </c>
      <c r="B1604" t="s">
        <v>219</v>
      </c>
      <c r="C1604" t="s">
        <v>93</v>
      </c>
      <c r="D1604" t="s">
        <v>94</v>
      </c>
      <c r="E1604" t="s">
        <v>22</v>
      </c>
      <c r="F1604" t="s">
        <v>23</v>
      </c>
      <c r="G1604" t="s">
        <v>24</v>
      </c>
      <c r="H1604">
        <v>7</v>
      </c>
      <c r="I1604">
        <v>21</v>
      </c>
      <c r="J1604">
        <v>96.84</v>
      </c>
      <c r="K1604">
        <v>116</v>
      </c>
      <c r="L1604">
        <v>2033.64</v>
      </c>
      <c r="M1604">
        <v>-402.36</v>
      </c>
      <c r="N1604" s="1">
        <v>37938</v>
      </c>
      <c r="O1604" t="s">
        <v>25</v>
      </c>
      <c r="P1604">
        <v>4</v>
      </c>
      <c r="Q1604">
        <v>11</v>
      </c>
      <c r="R1604">
        <v>2003</v>
      </c>
      <c r="S1604" t="s">
        <v>202</v>
      </c>
    </row>
    <row r="1605" spans="1:19" x14ac:dyDescent="0.25">
      <c r="A1605">
        <v>10333</v>
      </c>
      <c r="B1605" t="s">
        <v>219</v>
      </c>
      <c r="C1605" t="s">
        <v>45</v>
      </c>
      <c r="D1605" t="s">
        <v>37</v>
      </c>
      <c r="E1605" t="s">
        <v>22</v>
      </c>
      <c r="F1605" t="s">
        <v>23</v>
      </c>
      <c r="G1605" t="s">
        <v>24</v>
      </c>
      <c r="H1605">
        <v>7</v>
      </c>
      <c r="I1605">
        <v>29</v>
      </c>
      <c r="J1605">
        <v>40.25</v>
      </c>
      <c r="K1605">
        <v>116</v>
      </c>
      <c r="L1605">
        <v>1167.25</v>
      </c>
      <c r="M1605">
        <v>-2196.75</v>
      </c>
      <c r="N1605" s="1">
        <v>38309</v>
      </c>
      <c r="O1605" t="s">
        <v>25</v>
      </c>
      <c r="P1605">
        <v>4</v>
      </c>
      <c r="Q1605">
        <v>11</v>
      </c>
      <c r="R1605">
        <v>2004</v>
      </c>
      <c r="S1605" t="s">
        <v>202</v>
      </c>
    </row>
    <row r="1606" spans="1:19" x14ac:dyDescent="0.25">
      <c r="A1606">
        <v>10139</v>
      </c>
      <c r="B1606" t="s">
        <v>225</v>
      </c>
      <c r="C1606" t="s">
        <v>71</v>
      </c>
      <c r="D1606" t="s">
        <v>72</v>
      </c>
      <c r="E1606" t="s">
        <v>49</v>
      </c>
      <c r="F1606" t="s">
        <v>50</v>
      </c>
      <c r="G1606" t="s">
        <v>33</v>
      </c>
      <c r="H1606">
        <v>7</v>
      </c>
      <c r="I1606">
        <v>31</v>
      </c>
      <c r="J1606">
        <v>100</v>
      </c>
      <c r="K1606">
        <v>102</v>
      </c>
      <c r="L1606">
        <v>3184.94</v>
      </c>
      <c r="M1606">
        <v>22.94</v>
      </c>
      <c r="N1606" s="1">
        <v>37818</v>
      </c>
      <c r="O1606" t="s">
        <v>25</v>
      </c>
      <c r="P1606">
        <v>3</v>
      </c>
      <c r="Q1606">
        <v>7</v>
      </c>
      <c r="R1606">
        <v>2003</v>
      </c>
      <c r="S1606" t="s">
        <v>226</v>
      </c>
    </row>
    <row r="1607" spans="1:19" x14ac:dyDescent="0.25">
      <c r="A1607">
        <v>10193</v>
      </c>
      <c r="B1607" t="s">
        <v>225</v>
      </c>
      <c r="C1607" t="s">
        <v>229</v>
      </c>
      <c r="D1607" t="s">
        <v>230</v>
      </c>
      <c r="E1607" t="s">
        <v>49</v>
      </c>
      <c r="F1607" t="s">
        <v>50</v>
      </c>
      <c r="G1607" t="s">
        <v>33</v>
      </c>
      <c r="H1607">
        <v>7</v>
      </c>
      <c r="I1607">
        <v>28</v>
      </c>
      <c r="J1607">
        <v>100</v>
      </c>
      <c r="K1607">
        <v>102</v>
      </c>
      <c r="L1607">
        <v>3106.88</v>
      </c>
      <c r="M1607">
        <v>250.88</v>
      </c>
      <c r="N1607" s="1">
        <v>37946</v>
      </c>
      <c r="O1607" t="s">
        <v>25</v>
      </c>
      <c r="P1607">
        <v>4</v>
      </c>
      <c r="Q1607">
        <v>11</v>
      </c>
      <c r="R1607">
        <v>2003</v>
      </c>
      <c r="S1607" t="s">
        <v>226</v>
      </c>
    </row>
    <row r="1608" spans="1:19" x14ac:dyDescent="0.25">
      <c r="A1608">
        <v>10244</v>
      </c>
      <c r="B1608" t="s">
        <v>225</v>
      </c>
      <c r="C1608" t="s">
        <v>78</v>
      </c>
      <c r="D1608" t="s">
        <v>79</v>
      </c>
      <c r="E1608" t="s">
        <v>80</v>
      </c>
      <c r="F1608" t="s">
        <v>30</v>
      </c>
      <c r="G1608" t="s">
        <v>33</v>
      </c>
      <c r="H1608">
        <v>7</v>
      </c>
      <c r="I1608">
        <v>40</v>
      </c>
      <c r="J1608">
        <v>100</v>
      </c>
      <c r="K1608">
        <v>102</v>
      </c>
      <c r="L1608">
        <v>4684.8</v>
      </c>
      <c r="M1608">
        <v>604.79999999999995</v>
      </c>
      <c r="N1608" s="1">
        <v>38106</v>
      </c>
      <c r="O1608" t="s">
        <v>25</v>
      </c>
      <c r="P1608">
        <v>2</v>
      </c>
      <c r="Q1608">
        <v>4</v>
      </c>
      <c r="R1608">
        <v>2004</v>
      </c>
      <c r="S1608" t="s">
        <v>226</v>
      </c>
    </row>
    <row r="1609" spans="1:19" x14ac:dyDescent="0.25">
      <c r="A1609">
        <v>10347</v>
      </c>
      <c r="B1609" t="s">
        <v>231</v>
      </c>
      <c r="C1609" t="s">
        <v>47</v>
      </c>
      <c r="D1609" t="s">
        <v>48</v>
      </c>
      <c r="E1609" t="s">
        <v>49</v>
      </c>
      <c r="F1609" t="s">
        <v>50</v>
      </c>
      <c r="G1609" t="s">
        <v>24</v>
      </c>
      <c r="H1609">
        <v>7</v>
      </c>
      <c r="I1609">
        <v>21</v>
      </c>
      <c r="J1609">
        <v>58.95</v>
      </c>
      <c r="K1609">
        <v>53</v>
      </c>
      <c r="L1609">
        <v>1237.95</v>
      </c>
      <c r="M1609">
        <v>124.95</v>
      </c>
      <c r="N1609" s="1">
        <v>38320</v>
      </c>
      <c r="O1609" t="s">
        <v>25</v>
      </c>
      <c r="P1609">
        <v>4</v>
      </c>
      <c r="Q1609">
        <v>11</v>
      </c>
      <c r="R1609">
        <v>2004</v>
      </c>
      <c r="S1609" t="s">
        <v>226</v>
      </c>
    </row>
    <row r="1610" spans="1:19" x14ac:dyDescent="0.25">
      <c r="A1610">
        <v>10369</v>
      </c>
      <c r="B1610" t="s">
        <v>231</v>
      </c>
      <c r="C1610" t="s">
        <v>119</v>
      </c>
      <c r="D1610" t="s">
        <v>120</v>
      </c>
      <c r="E1610" t="s">
        <v>22</v>
      </c>
      <c r="F1610" t="s">
        <v>23</v>
      </c>
      <c r="G1610" t="s">
        <v>33</v>
      </c>
      <c r="H1610">
        <v>7</v>
      </c>
      <c r="I1610">
        <v>32</v>
      </c>
      <c r="J1610">
        <v>98.63</v>
      </c>
      <c r="K1610">
        <v>53</v>
      </c>
      <c r="L1610">
        <v>3156.16</v>
      </c>
      <c r="M1610">
        <v>1460.16</v>
      </c>
      <c r="N1610" s="1">
        <v>38372</v>
      </c>
      <c r="O1610" t="s">
        <v>25</v>
      </c>
      <c r="P1610">
        <v>1</v>
      </c>
      <c r="Q1610">
        <v>1</v>
      </c>
      <c r="R1610">
        <v>2005</v>
      </c>
      <c r="S1610" t="s">
        <v>226</v>
      </c>
    </row>
    <row r="1611" spans="1:19" x14ac:dyDescent="0.25">
      <c r="A1611">
        <v>10192</v>
      </c>
      <c r="B1611" t="s">
        <v>232</v>
      </c>
      <c r="C1611" t="s">
        <v>117</v>
      </c>
      <c r="D1611" t="s">
        <v>118</v>
      </c>
      <c r="E1611" t="s">
        <v>22</v>
      </c>
      <c r="F1611" t="s">
        <v>23</v>
      </c>
      <c r="G1611" t="s">
        <v>33</v>
      </c>
      <c r="H1611">
        <v>7</v>
      </c>
      <c r="I1611">
        <v>29</v>
      </c>
      <c r="J1611">
        <v>100</v>
      </c>
      <c r="K1611">
        <v>124</v>
      </c>
      <c r="L1611">
        <v>4258.3599999999997</v>
      </c>
      <c r="M1611">
        <v>662.36</v>
      </c>
      <c r="N1611" s="1">
        <v>37945</v>
      </c>
      <c r="O1611" t="s">
        <v>25</v>
      </c>
      <c r="P1611">
        <v>4</v>
      </c>
      <c r="Q1611">
        <v>11</v>
      </c>
      <c r="R1611">
        <v>2003</v>
      </c>
      <c r="S1611" t="s">
        <v>83</v>
      </c>
    </row>
    <row r="1612" spans="1:19" x14ac:dyDescent="0.25">
      <c r="A1612">
        <v>10143</v>
      </c>
      <c r="B1612" t="s">
        <v>233</v>
      </c>
      <c r="C1612" t="s">
        <v>140</v>
      </c>
      <c r="D1612" t="s">
        <v>74</v>
      </c>
      <c r="E1612" t="s">
        <v>22</v>
      </c>
      <c r="F1612" t="s">
        <v>23</v>
      </c>
      <c r="G1612" t="s">
        <v>33</v>
      </c>
      <c r="H1612">
        <v>7</v>
      </c>
      <c r="I1612">
        <v>32</v>
      </c>
      <c r="J1612">
        <v>100</v>
      </c>
      <c r="K1612">
        <v>157</v>
      </c>
      <c r="L1612">
        <v>5248</v>
      </c>
      <c r="M1612">
        <v>224</v>
      </c>
      <c r="N1612" s="1">
        <v>37843</v>
      </c>
      <c r="O1612" t="s">
        <v>25</v>
      </c>
      <c r="P1612">
        <v>3</v>
      </c>
      <c r="Q1612">
        <v>8</v>
      </c>
      <c r="R1612">
        <v>2003</v>
      </c>
      <c r="S1612" t="s">
        <v>234</v>
      </c>
    </row>
    <row r="1613" spans="1:19" x14ac:dyDescent="0.25">
      <c r="A1613">
        <v>10296</v>
      </c>
      <c r="B1613" t="s">
        <v>233</v>
      </c>
      <c r="C1613" t="s">
        <v>236</v>
      </c>
      <c r="D1613" t="s">
        <v>237</v>
      </c>
      <c r="E1613" t="s">
        <v>180</v>
      </c>
      <c r="F1613" t="s">
        <v>30</v>
      </c>
      <c r="G1613" t="s">
        <v>33</v>
      </c>
      <c r="H1613">
        <v>7</v>
      </c>
      <c r="I1613">
        <v>36</v>
      </c>
      <c r="J1613">
        <v>100</v>
      </c>
      <c r="K1613">
        <v>157</v>
      </c>
      <c r="L1613">
        <v>5676.84</v>
      </c>
      <c r="M1613">
        <v>24.84</v>
      </c>
      <c r="N1613" s="1">
        <v>38245</v>
      </c>
      <c r="O1613" t="s">
        <v>25</v>
      </c>
      <c r="P1613">
        <v>3</v>
      </c>
      <c r="Q1613">
        <v>9</v>
      </c>
      <c r="R1613">
        <v>2004</v>
      </c>
      <c r="S1613" t="s">
        <v>234</v>
      </c>
    </row>
    <row r="1614" spans="1:19" x14ac:dyDescent="0.25">
      <c r="A1614">
        <v>10386</v>
      </c>
      <c r="B1614" t="s">
        <v>233</v>
      </c>
      <c r="C1614" t="s">
        <v>78</v>
      </c>
      <c r="D1614" t="s">
        <v>79</v>
      </c>
      <c r="E1614" t="s">
        <v>80</v>
      </c>
      <c r="F1614" t="s">
        <v>30</v>
      </c>
      <c r="G1614" t="s">
        <v>24</v>
      </c>
      <c r="H1614">
        <v>7</v>
      </c>
      <c r="I1614">
        <v>25</v>
      </c>
      <c r="J1614">
        <v>54.57</v>
      </c>
      <c r="K1614">
        <v>157</v>
      </c>
      <c r="L1614">
        <v>1364.25</v>
      </c>
      <c r="M1614">
        <v>-2560.75</v>
      </c>
      <c r="N1614" s="1">
        <v>38412</v>
      </c>
      <c r="O1614" t="s">
        <v>169</v>
      </c>
      <c r="P1614">
        <v>1</v>
      </c>
      <c r="Q1614">
        <v>3</v>
      </c>
      <c r="R1614">
        <v>2005</v>
      </c>
      <c r="S1614" t="s">
        <v>234</v>
      </c>
    </row>
    <row r="1615" spans="1:19" x14ac:dyDescent="0.25">
      <c r="A1615">
        <v>10110</v>
      </c>
      <c r="B1615" t="s">
        <v>240</v>
      </c>
      <c r="C1615" t="s">
        <v>197</v>
      </c>
      <c r="D1615" t="s">
        <v>198</v>
      </c>
      <c r="E1615" t="s">
        <v>77</v>
      </c>
      <c r="F1615" t="s">
        <v>30</v>
      </c>
      <c r="G1615" t="s">
        <v>33</v>
      </c>
      <c r="H1615">
        <v>7</v>
      </c>
      <c r="I1615">
        <v>42</v>
      </c>
      <c r="J1615">
        <v>100</v>
      </c>
      <c r="K1615">
        <v>170</v>
      </c>
      <c r="L1615">
        <v>6069</v>
      </c>
      <c r="M1615">
        <v>-1071</v>
      </c>
      <c r="N1615" s="1">
        <v>37698</v>
      </c>
      <c r="O1615" t="s">
        <v>25</v>
      </c>
      <c r="P1615">
        <v>1</v>
      </c>
      <c r="Q1615">
        <v>3</v>
      </c>
      <c r="R1615">
        <v>2003</v>
      </c>
      <c r="S1615" t="s">
        <v>226</v>
      </c>
    </row>
    <row r="1616" spans="1:19" x14ac:dyDescent="0.25">
      <c r="A1616">
        <v>10214</v>
      </c>
      <c r="B1616" t="s">
        <v>240</v>
      </c>
      <c r="C1616" t="s">
        <v>87</v>
      </c>
      <c r="D1616" t="s">
        <v>79</v>
      </c>
      <c r="E1616" t="s">
        <v>80</v>
      </c>
      <c r="F1616" t="s">
        <v>30</v>
      </c>
      <c r="G1616" t="s">
        <v>33</v>
      </c>
      <c r="H1616">
        <v>7</v>
      </c>
      <c r="I1616">
        <v>30</v>
      </c>
      <c r="J1616">
        <v>100</v>
      </c>
      <c r="K1616">
        <v>170</v>
      </c>
      <c r="L1616">
        <v>5967</v>
      </c>
      <c r="M1616">
        <v>867</v>
      </c>
      <c r="N1616" s="1">
        <v>38012</v>
      </c>
      <c r="O1616" t="s">
        <v>25</v>
      </c>
      <c r="P1616">
        <v>1</v>
      </c>
      <c r="Q1616">
        <v>1</v>
      </c>
      <c r="R1616">
        <v>2004</v>
      </c>
      <c r="S1616" t="s">
        <v>226</v>
      </c>
    </row>
    <row r="1617" spans="1:19" x14ac:dyDescent="0.25">
      <c r="A1617">
        <v>10331</v>
      </c>
      <c r="B1617" t="s">
        <v>240</v>
      </c>
      <c r="C1617" t="s">
        <v>129</v>
      </c>
      <c r="D1617" t="s">
        <v>94</v>
      </c>
      <c r="E1617" t="s">
        <v>22</v>
      </c>
      <c r="F1617" t="s">
        <v>23</v>
      </c>
      <c r="G1617" t="s">
        <v>33</v>
      </c>
      <c r="H1617">
        <v>7</v>
      </c>
      <c r="I1617">
        <v>44</v>
      </c>
      <c r="J1617">
        <v>74.040000000000006</v>
      </c>
      <c r="K1617">
        <v>170</v>
      </c>
      <c r="L1617">
        <v>3257.76</v>
      </c>
      <c r="M1617">
        <v>-4222.24</v>
      </c>
      <c r="N1617" s="1">
        <v>38308</v>
      </c>
      <c r="O1617" t="s">
        <v>25</v>
      </c>
      <c r="P1617">
        <v>4</v>
      </c>
      <c r="Q1617">
        <v>11</v>
      </c>
      <c r="R1617">
        <v>2004</v>
      </c>
      <c r="S1617" t="s">
        <v>226</v>
      </c>
    </row>
    <row r="1618" spans="1:19" x14ac:dyDescent="0.25">
      <c r="A1618">
        <v>10363</v>
      </c>
      <c r="B1618" t="s">
        <v>241</v>
      </c>
      <c r="C1618" t="s">
        <v>189</v>
      </c>
      <c r="D1618" t="s">
        <v>190</v>
      </c>
      <c r="E1618" t="s">
        <v>62</v>
      </c>
      <c r="F1618" t="s">
        <v>30</v>
      </c>
      <c r="G1618" t="s">
        <v>33</v>
      </c>
      <c r="H1618">
        <v>7</v>
      </c>
      <c r="I1618">
        <v>22</v>
      </c>
      <c r="J1618">
        <v>100</v>
      </c>
      <c r="K1618">
        <v>77</v>
      </c>
      <c r="L1618">
        <v>3686.54</v>
      </c>
      <c r="M1618">
        <v>1992.54</v>
      </c>
      <c r="N1618" s="1">
        <v>38358</v>
      </c>
      <c r="O1618" t="s">
        <v>25</v>
      </c>
      <c r="P1618">
        <v>1</v>
      </c>
      <c r="Q1618">
        <v>1</v>
      </c>
      <c r="R1618">
        <v>2005</v>
      </c>
      <c r="S1618" t="s">
        <v>83</v>
      </c>
    </row>
    <row r="1619" spans="1:19" x14ac:dyDescent="0.25">
      <c r="A1619">
        <v>10226</v>
      </c>
      <c r="B1619" t="s">
        <v>242</v>
      </c>
      <c r="C1619" t="s">
        <v>149</v>
      </c>
      <c r="D1619" t="s">
        <v>150</v>
      </c>
      <c r="E1619" t="s">
        <v>22</v>
      </c>
      <c r="F1619" t="s">
        <v>23</v>
      </c>
      <c r="G1619" t="s">
        <v>33</v>
      </c>
      <c r="H1619">
        <v>7</v>
      </c>
      <c r="I1619">
        <v>24</v>
      </c>
      <c r="J1619">
        <v>100</v>
      </c>
      <c r="K1619">
        <v>142</v>
      </c>
      <c r="L1619">
        <v>3892.08</v>
      </c>
      <c r="M1619">
        <v>484.08</v>
      </c>
      <c r="N1619" s="1">
        <v>38043</v>
      </c>
      <c r="O1619" t="s">
        <v>25</v>
      </c>
      <c r="P1619">
        <v>1</v>
      </c>
      <c r="Q1619">
        <v>2</v>
      </c>
      <c r="R1619">
        <v>2004</v>
      </c>
      <c r="S1619" t="s">
        <v>83</v>
      </c>
    </row>
    <row r="1620" spans="1:19" x14ac:dyDescent="0.25">
      <c r="A1620">
        <v>10301</v>
      </c>
      <c r="B1620" t="s">
        <v>242</v>
      </c>
      <c r="C1620" t="s">
        <v>223</v>
      </c>
      <c r="D1620" t="s">
        <v>224</v>
      </c>
      <c r="E1620" t="s">
        <v>44</v>
      </c>
      <c r="F1620" t="s">
        <v>30</v>
      </c>
      <c r="G1620" t="s">
        <v>70</v>
      </c>
      <c r="H1620">
        <v>7</v>
      </c>
      <c r="I1620">
        <v>47</v>
      </c>
      <c r="J1620">
        <v>100</v>
      </c>
      <c r="K1620">
        <v>142</v>
      </c>
      <c r="L1620">
        <v>7488.04</v>
      </c>
      <c r="M1620">
        <v>814.04</v>
      </c>
      <c r="N1620" s="1">
        <v>37899</v>
      </c>
      <c r="O1620" t="s">
        <v>25</v>
      </c>
      <c r="P1620">
        <v>4</v>
      </c>
      <c r="Q1620">
        <v>10</v>
      </c>
      <c r="R1620">
        <v>2003</v>
      </c>
      <c r="S1620" t="s">
        <v>83</v>
      </c>
    </row>
    <row r="1621" spans="1:19" x14ac:dyDescent="0.25">
      <c r="A1621">
        <v>10292</v>
      </c>
      <c r="B1621" t="s">
        <v>243</v>
      </c>
      <c r="C1621" t="s">
        <v>20</v>
      </c>
      <c r="D1621" t="s">
        <v>21</v>
      </c>
      <c r="E1621" t="s">
        <v>22</v>
      </c>
      <c r="F1621" t="s">
        <v>23</v>
      </c>
      <c r="G1621" t="s">
        <v>33</v>
      </c>
      <c r="H1621">
        <v>7</v>
      </c>
      <c r="I1621">
        <v>26</v>
      </c>
      <c r="J1621">
        <v>100</v>
      </c>
      <c r="K1621">
        <v>163</v>
      </c>
      <c r="L1621">
        <v>4554.9399999999996</v>
      </c>
      <c r="M1621">
        <v>316.94</v>
      </c>
      <c r="N1621" s="1">
        <v>38238</v>
      </c>
      <c r="O1621" t="s">
        <v>25</v>
      </c>
      <c r="P1621">
        <v>3</v>
      </c>
      <c r="Q1621">
        <v>9</v>
      </c>
      <c r="R1621">
        <v>2004</v>
      </c>
      <c r="S1621" t="s">
        <v>83</v>
      </c>
    </row>
    <row r="1622" spans="1:19" x14ac:dyDescent="0.25">
      <c r="A1622">
        <v>10371</v>
      </c>
      <c r="B1622" t="s">
        <v>243</v>
      </c>
      <c r="C1622" t="s">
        <v>115</v>
      </c>
      <c r="D1622" t="s">
        <v>116</v>
      </c>
      <c r="E1622" t="s">
        <v>22</v>
      </c>
      <c r="F1622" t="s">
        <v>23</v>
      </c>
      <c r="G1622" t="s">
        <v>24</v>
      </c>
      <c r="H1622">
        <v>7</v>
      </c>
      <c r="I1622">
        <v>25</v>
      </c>
      <c r="J1622">
        <v>100</v>
      </c>
      <c r="K1622">
        <v>163</v>
      </c>
      <c r="L1622">
        <v>2602.25</v>
      </c>
      <c r="M1622">
        <v>-1472.75</v>
      </c>
      <c r="N1622" s="1">
        <v>38375</v>
      </c>
      <c r="O1622" t="s">
        <v>25</v>
      </c>
      <c r="P1622">
        <v>1</v>
      </c>
      <c r="Q1622">
        <v>1</v>
      </c>
      <c r="R1622">
        <v>2005</v>
      </c>
      <c r="S1622" t="s">
        <v>83</v>
      </c>
    </row>
    <row r="1623" spans="1:19" x14ac:dyDescent="0.25">
      <c r="A1623">
        <v>10259</v>
      </c>
      <c r="B1623" t="s">
        <v>245</v>
      </c>
      <c r="C1623" t="s">
        <v>171</v>
      </c>
      <c r="D1623" t="s">
        <v>89</v>
      </c>
      <c r="E1623" t="s">
        <v>89</v>
      </c>
      <c r="F1623" t="s">
        <v>50</v>
      </c>
      <c r="G1623" t="s">
        <v>33</v>
      </c>
      <c r="H1623">
        <v>7</v>
      </c>
      <c r="I1623">
        <v>34</v>
      </c>
      <c r="J1623">
        <v>99.41</v>
      </c>
      <c r="K1623">
        <v>122</v>
      </c>
      <c r="L1623">
        <v>3379.94</v>
      </c>
      <c r="M1623">
        <v>-768.06</v>
      </c>
      <c r="N1623" s="1">
        <v>38153</v>
      </c>
      <c r="O1623" t="s">
        <v>25</v>
      </c>
      <c r="P1623">
        <v>2</v>
      </c>
      <c r="Q1623">
        <v>6</v>
      </c>
      <c r="R1623">
        <v>2004</v>
      </c>
      <c r="S1623" t="s">
        <v>202</v>
      </c>
    </row>
    <row r="1624" spans="1:19" x14ac:dyDescent="0.25">
      <c r="A1624">
        <v>10349</v>
      </c>
      <c r="B1624" t="s">
        <v>245</v>
      </c>
      <c r="C1624" t="s">
        <v>192</v>
      </c>
      <c r="D1624" t="s">
        <v>21</v>
      </c>
      <c r="E1624" t="s">
        <v>22</v>
      </c>
      <c r="F1624" t="s">
        <v>23</v>
      </c>
      <c r="G1624" t="s">
        <v>33</v>
      </c>
      <c r="H1624">
        <v>7</v>
      </c>
      <c r="I1624">
        <v>38</v>
      </c>
      <c r="J1624">
        <v>100</v>
      </c>
      <c r="K1624">
        <v>122</v>
      </c>
      <c r="L1624">
        <v>5223.4799999999996</v>
      </c>
      <c r="M1624">
        <v>587.48</v>
      </c>
      <c r="N1624" s="1">
        <v>38322</v>
      </c>
      <c r="O1624" t="s">
        <v>25</v>
      </c>
      <c r="P1624">
        <v>4</v>
      </c>
      <c r="Q1624">
        <v>12</v>
      </c>
      <c r="R1624">
        <v>2004</v>
      </c>
      <c r="S1624" t="s">
        <v>202</v>
      </c>
    </row>
    <row r="1625" spans="1:19" x14ac:dyDescent="0.25">
      <c r="A1625">
        <v>10425</v>
      </c>
      <c r="B1625" t="s">
        <v>245</v>
      </c>
      <c r="C1625" t="s">
        <v>56</v>
      </c>
      <c r="D1625" t="s">
        <v>57</v>
      </c>
      <c r="E1625" t="s">
        <v>29</v>
      </c>
      <c r="F1625" t="s">
        <v>30</v>
      </c>
      <c r="G1625" t="s">
        <v>33</v>
      </c>
      <c r="H1625">
        <v>7</v>
      </c>
      <c r="I1625">
        <v>38</v>
      </c>
      <c r="J1625">
        <v>99.41</v>
      </c>
      <c r="K1625">
        <v>122</v>
      </c>
      <c r="L1625">
        <v>3777.58</v>
      </c>
      <c r="M1625">
        <v>-858.42</v>
      </c>
      <c r="N1625" s="1">
        <v>38503</v>
      </c>
      <c r="O1625" t="s">
        <v>125</v>
      </c>
      <c r="P1625">
        <v>2</v>
      </c>
      <c r="Q1625">
        <v>5</v>
      </c>
      <c r="R1625">
        <v>2005</v>
      </c>
      <c r="S1625" t="s">
        <v>202</v>
      </c>
    </row>
    <row r="1626" spans="1:19" x14ac:dyDescent="0.25">
      <c r="A1626">
        <v>10182</v>
      </c>
      <c r="B1626" t="s">
        <v>246</v>
      </c>
      <c r="C1626" t="s">
        <v>115</v>
      </c>
      <c r="D1626" t="s">
        <v>116</v>
      </c>
      <c r="E1626" t="s">
        <v>22</v>
      </c>
      <c r="F1626" t="s">
        <v>23</v>
      </c>
      <c r="G1626" t="s">
        <v>24</v>
      </c>
      <c r="H1626">
        <v>7</v>
      </c>
      <c r="I1626">
        <v>20</v>
      </c>
      <c r="J1626">
        <v>100</v>
      </c>
      <c r="K1626">
        <v>127</v>
      </c>
      <c r="L1626">
        <v>2212</v>
      </c>
      <c r="M1626">
        <v>-328</v>
      </c>
      <c r="N1626" s="1">
        <v>37937</v>
      </c>
      <c r="O1626" t="s">
        <v>25</v>
      </c>
      <c r="P1626">
        <v>4</v>
      </c>
      <c r="Q1626">
        <v>11</v>
      </c>
      <c r="R1626">
        <v>2003</v>
      </c>
      <c r="S1626" t="s">
        <v>226</v>
      </c>
    </row>
    <row r="1627" spans="1:19" x14ac:dyDescent="0.25">
      <c r="A1627">
        <v>10227</v>
      </c>
      <c r="B1627" t="s">
        <v>246</v>
      </c>
      <c r="C1627" t="s">
        <v>95</v>
      </c>
      <c r="D1627" t="s">
        <v>96</v>
      </c>
      <c r="E1627" t="s">
        <v>29</v>
      </c>
      <c r="F1627" t="s">
        <v>30</v>
      </c>
      <c r="G1627" t="s">
        <v>70</v>
      </c>
      <c r="H1627">
        <v>7</v>
      </c>
      <c r="I1627">
        <v>46</v>
      </c>
      <c r="J1627">
        <v>100</v>
      </c>
      <c r="K1627">
        <v>127</v>
      </c>
      <c r="L1627">
        <v>7017.76</v>
      </c>
      <c r="M1627">
        <v>1175.76</v>
      </c>
      <c r="N1627" s="1">
        <v>38048</v>
      </c>
      <c r="O1627" t="s">
        <v>25</v>
      </c>
      <c r="P1627">
        <v>1</v>
      </c>
      <c r="Q1627">
        <v>3</v>
      </c>
      <c r="R1627">
        <v>2004</v>
      </c>
      <c r="S1627" t="s">
        <v>226</v>
      </c>
    </row>
    <row r="1628" spans="1:19" x14ac:dyDescent="0.25">
      <c r="A1628">
        <v>10175</v>
      </c>
      <c r="B1628" t="s">
        <v>247</v>
      </c>
      <c r="C1628" t="s">
        <v>138</v>
      </c>
      <c r="D1628" t="s">
        <v>139</v>
      </c>
      <c r="E1628" t="s">
        <v>77</v>
      </c>
      <c r="F1628" t="s">
        <v>30</v>
      </c>
      <c r="G1628" t="s">
        <v>24</v>
      </c>
      <c r="H1628">
        <v>7</v>
      </c>
      <c r="I1628">
        <v>41</v>
      </c>
      <c r="J1628">
        <v>69.28</v>
      </c>
      <c r="K1628">
        <v>60</v>
      </c>
      <c r="L1628">
        <v>2840.48</v>
      </c>
      <c r="M1628">
        <v>380.48</v>
      </c>
      <c r="N1628" s="1">
        <v>37931</v>
      </c>
      <c r="O1628" t="s">
        <v>25</v>
      </c>
      <c r="P1628">
        <v>4</v>
      </c>
      <c r="Q1628">
        <v>11</v>
      </c>
      <c r="R1628">
        <v>2003</v>
      </c>
      <c r="S1628" t="s">
        <v>202</v>
      </c>
    </row>
    <row r="1629" spans="1:19" x14ac:dyDescent="0.25">
      <c r="A1629">
        <v>10229</v>
      </c>
      <c r="B1629" t="s">
        <v>247</v>
      </c>
      <c r="C1629" t="s">
        <v>115</v>
      </c>
      <c r="D1629" t="s">
        <v>116</v>
      </c>
      <c r="E1629" t="s">
        <v>22</v>
      </c>
      <c r="F1629" t="s">
        <v>23</v>
      </c>
      <c r="G1629" t="s">
        <v>24</v>
      </c>
      <c r="H1629">
        <v>7</v>
      </c>
      <c r="I1629">
        <v>28</v>
      </c>
      <c r="J1629">
        <v>59.55</v>
      </c>
      <c r="K1629">
        <v>60</v>
      </c>
      <c r="L1629">
        <v>1667.4</v>
      </c>
      <c r="M1629">
        <v>-12.6</v>
      </c>
      <c r="N1629" s="1">
        <v>38057</v>
      </c>
      <c r="O1629" t="s">
        <v>25</v>
      </c>
      <c r="P1629">
        <v>1</v>
      </c>
      <c r="Q1629">
        <v>3</v>
      </c>
      <c r="R1629">
        <v>2004</v>
      </c>
      <c r="S1629" t="s">
        <v>202</v>
      </c>
    </row>
    <row r="1630" spans="1:19" x14ac:dyDescent="0.25">
      <c r="A1630">
        <v>10281</v>
      </c>
      <c r="B1630" t="s">
        <v>247</v>
      </c>
      <c r="C1630" t="s">
        <v>65</v>
      </c>
      <c r="D1630" t="s">
        <v>66</v>
      </c>
      <c r="E1630" t="s">
        <v>22</v>
      </c>
      <c r="F1630" t="s">
        <v>23</v>
      </c>
      <c r="G1630" t="s">
        <v>24</v>
      </c>
      <c r="H1630">
        <v>7</v>
      </c>
      <c r="I1630">
        <v>29</v>
      </c>
      <c r="J1630">
        <v>57.73</v>
      </c>
      <c r="K1630">
        <v>60</v>
      </c>
      <c r="L1630">
        <v>1674.17</v>
      </c>
      <c r="M1630">
        <v>-65.83</v>
      </c>
      <c r="N1630" s="1">
        <v>38218</v>
      </c>
      <c r="O1630" t="s">
        <v>25</v>
      </c>
      <c r="P1630">
        <v>3</v>
      </c>
      <c r="Q1630">
        <v>8</v>
      </c>
      <c r="R1630">
        <v>2004</v>
      </c>
      <c r="S1630" t="s">
        <v>202</v>
      </c>
    </row>
    <row r="1631" spans="1:19" x14ac:dyDescent="0.25">
      <c r="A1631">
        <v>10357</v>
      </c>
      <c r="B1631" t="s">
        <v>247</v>
      </c>
      <c r="C1631" t="s">
        <v>115</v>
      </c>
      <c r="D1631" t="s">
        <v>116</v>
      </c>
      <c r="E1631" t="s">
        <v>22</v>
      </c>
      <c r="F1631" t="s">
        <v>23</v>
      </c>
      <c r="G1631" t="s">
        <v>24</v>
      </c>
      <c r="H1631">
        <v>7</v>
      </c>
      <c r="I1631">
        <v>41</v>
      </c>
      <c r="J1631">
        <v>61.99</v>
      </c>
      <c r="K1631">
        <v>60</v>
      </c>
      <c r="L1631">
        <v>2541.59</v>
      </c>
      <c r="M1631">
        <v>81.59</v>
      </c>
      <c r="N1631" s="1">
        <v>38331</v>
      </c>
      <c r="O1631" t="s">
        <v>25</v>
      </c>
      <c r="P1631">
        <v>4</v>
      </c>
      <c r="Q1631">
        <v>12</v>
      </c>
      <c r="R1631">
        <v>2004</v>
      </c>
      <c r="S1631" t="s">
        <v>202</v>
      </c>
    </row>
    <row r="1632" spans="1:19" x14ac:dyDescent="0.25">
      <c r="A1632">
        <v>10370</v>
      </c>
      <c r="B1632" t="s">
        <v>247</v>
      </c>
      <c r="C1632" t="s">
        <v>121</v>
      </c>
      <c r="D1632" t="s">
        <v>122</v>
      </c>
      <c r="E1632" t="s">
        <v>49</v>
      </c>
      <c r="F1632" t="s">
        <v>50</v>
      </c>
      <c r="G1632" t="s">
        <v>24</v>
      </c>
      <c r="H1632">
        <v>7</v>
      </c>
      <c r="I1632">
        <v>22</v>
      </c>
      <c r="J1632">
        <v>96.86</v>
      </c>
      <c r="K1632">
        <v>60</v>
      </c>
      <c r="L1632">
        <v>2130.92</v>
      </c>
      <c r="M1632">
        <v>810.92</v>
      </c>
      <c r="N1632" s="1">
        <v>38372</v>
      </c>
      <c r="O1632" t="s">
        <v>25</v>
      </c>
      <c r="P1632">
        <v>1</v>
      </c>
      <c r="Q1632">
        <v>1</v>
      </c>
      <c r="R1632">
        <v>2005</v>
      </c>
      <c r="S1632" t="s">
        <v>202</v>
      </c>
    </row>
    <row r="1633" spans="1:19" x14ac:dyDescent="0.25">
      <c r="A1633">
        <v>10381</v>
      </c>
      <c r="B1633" t="s">
        <v>247</v>
      </c>
      <c r="C1633" t="s">
        <v>36</v>
      </c>
      <c r="D1633" t="s">
        <v>37</v>
      </c>
      <c r="E1633" t="s">
        <v>22</v>
      </c>
      <c r="F1633" t="s">
        <v>23</v>
      </c>
      <c r="G1633" t="s">
        <v>24</v>
      </c>
      <c r="H1633">
        <v>7</v>
      </c>
      <c r="I1633">
        <v>35</v>
      </c>
      <c r="J1633">
        <v>48.62</v>
      </c>
      <c r="K1633">
        <v>60</v>
      </c>
      <c r="L1633">
        <v>1701.7</v>
      </c>
      <c r="M1633">
        <v>-398.3</v>
      </c>
      <c r="N1633" s="1">
        <v>38400</v>
      </c>
      <c r="O1633" t="s">
        <v>25</v>
      </c>
      <c r="P1633">
        <v>1</v>
      </c>
      <c r="Q1633">
        <v>2</v>
      </c>
      <c r="R1633">
        <v>2005</v>
      </c>
      <c r="S1633" t="s">
        <v>202</v>
      </c>
    </row>
    <row r="1634" spans="1:19" x14ac:dyDescent="0.25">
      <c r="A1634">
        <v>10210</v>
      </c>
      <c r="B1634" t="s">
        <v>248</v>
      </c>
      <c r="C1634" t="s">
        <v>127</v>
      </c>
      <c r="D1634" t="s">
        <v>128</v>
      </c>
      <c r="E1634" t="s">
        <v>107</v>
      </c>
      <c r="F1634" t="s">
        <v>50</v>
      </c>
      <c r="G1634" t="s">
        <v>33</v>
      </c>
      <c r="H1634">
        <v>7</v>
      </c>
      <c r="I1634">
        <v>50</v>
      </c>
      <c r="J1634">
        <v>76.88</v>
      </c>
      <c r="K1634">
        <v>84</v>
      </c>
      <c r="L1634">
        <v>3844</v>
      </c>
      <c r="M1634">
        <v>-356</v>
      </c>
      <c r="N1634" s="1">
        <v>37998</v>
      </c>
      <c r="O1634" t="s">
        <v>25</v>
      </c>
      <c r="P1634">
        <v>1</v>
      </c>
      <c r="Q1634">
        <v>1</v>
      </c>
      <c r="R1634">
        <v>2004</v>
      </c>
      <c r="S1634" t="s">
        <v>234</v>
      </c>
    </row>
    <row r="1635" spans="1:19" x14ac:dyDescent="0.25">
      <c r="A1635">
        <v>10308</v>
      </c>
      <c r="B1635" t="s">
        <v>248</v>
      </c>
      <c r="C1635" t="s">
        <v>131</v>
      </c>
      <c r="D1635" t="s">
        <v>132</v>
      </c>
      <c r="E1635" t="s">
        <v>22</v>
      </c>
      <c r="F1635" t="s">
        <v>23</v>
      </c>
      <c r="G1635" t="s">
        <v>24</v>
      </c>
      <c r="H1635">
        <v>7</v>
      </c>
      <c r="I1635">
        <v>27</v>
      </c>
      <c r="J1635">
        <v>82.79</v>
      </c>
      <c r="K1635">
        <v>84</v>
      </c>
      <c r="L1635">
        <v>2235.33</v>
      </c>
      <c r="M1635">
        <v>-32.67</v>
      </c>
      <c r="N1635" s="1">
        <v>38275</v>
      </c>
      <c r="O1635" t="s">
        <v>25</v>
      </c>
      <c r="P1635">
        <v>4</v>
      </c>
      <c r="Q1635">
        <v>10</v>
      </c>
      <c r="R1635">
        <v>2004</v>
      </c>
      <c r="S1635" t="s">
        <v>234</v>
      </c>
    </row>
    <row r="1636" spans="1:19" x14ac:dyDescent="0.25">
      <c r="A1636">
        <v>10173</v>
      </c>
      <c r="B1636" t="s">
        <v>250</v>
      </c>
      <c r="C1636" t="s">
        <v>227</v>
      </c>
      <c r="D1636" t="s">
        <v>228</v>
      </c>
      <c r="E1636" t="s">
        <v>110</v>
      </c>
      <c r="F1636" t="s">
        <v>30</v>
      </c>
      <c r="G1636" t="s">
        <v>33</v>
      </c>
      <c r="H1636">
        <v>7</v>
      </c>
      <c r="I1636">
        <v>22</v>
      </c>
      <c r="J1636">
        <v>100</v>
      </c>
      <c r="K1636">
        <v>168</v>
      </c>
      <c r="L1636">
        <v>3452.68</v>
      </c>
      <c r="M1636">
        <v>-243.32</v>
      </c>
      <c r="N1636" s="1">
        <v>37930</v>
      </c>
      <c r="O1636" t="s">
        <v>25</v>
      </c>
      <c r="P1636">
        <v>4</v>
      </c>
      <c r="Q1636">
        <v>11</v>
      </c>
      <c r="R1636">
        <v>2003</v>
      </c>
      <c r="S1636" t="s">
        <v>226</v>
      </c>
    </row>
    <row r="1637" spans="1:19" x14ac:dyDescent="0.25">
      <c r="A1637">
        <v>10367</v>
      </c>
      <c r="B1637" t="s">
        <v>250</v>
      </c>
      <c r="C1637" t="s">
        <v>34</v>
      </c>
      <c r="D1637" t="s">
        <v>35</v>
      </c>
      <c r="E1637" t="s">
        <v>22</v>
      </c>
      <c r="F1637" t="s">
        <v>23</v>
      </c>
      <c r="G1637" t="s">
        <v>33</v>
      </c>
      <c r="H1637">
        <v>7</v>
      </c>
      <c r="I1637">
        <v>32</v>
      </c>
      <c r="J1637">
        <v>94.79</v>
      </c>
      <c r="K1637">
        <v>168</v>
      </c>
      <c r="L1637">
        <v>3033.28</v>
      </c>
      <c r="M1637">
        <v>-2342.7199999999998</v>
      </c>
      <c r="N1637" s="1">
        <v>38364</v>
      </c>
      <c r="O1637" t="s">
        <v>169</v>
      </c>
      <c r="P1637">
        <v>1</v>
      </c>
      <c r="Q1637">
        <v>1</v>
      </c>
      <c r="R1637">
        <v>2005</v>
      </c>
      <c r="S1637" t="s">
        <v>226</v>
      </c>
    </row>
    <row r="1638" spans="1:19" x14ac:dyDescent="0.25">
      <c r="A1638">
        <v>10390</v>
      </c>
      <c r="B1638" t="s">
        <v>250</v>
      </c>
      <c r="C1638" t="s">
        <v>115</v>
      </c>
      <c r="D1638" t="s">
        <v>116</v>
      </c>
      <c r="E1638" t="s">
        <v>22</v>
      </c>
      <c r="F1638" t="s">
        <v>23</v>
      </c>
      <c r="G1638" t="s">
        <v>24</v>
      </c>
      <c r="H1638">
        <v>7</v>
      </c>
      <c r="I1638">
        <v>26</v>
      </c>
      <c r="J1638">
        <v>78.11</v>
      </c>
      <c r="K1638">
        <v>168</v>
      </c>
      <c r="L1638">
        <v>2030.86</v>
      </c>
      <c r="M1638">
        <v>-2337.14</v>
      </c>
      <c r="N1638" s="1">
        <v>38415</v>
      </c>
      <c r="O1638" t="s">
        <v>25</v>
      </c>
      <c r="P1638">
        <v>1</v>
      </c>
      <c r="Q1638">
        <v>3</v>
      </c>
      <c r="R1638">
        <v>2005</v>
      </c>
      <c r="S1638" t="s">
        <v>226</v>
      </c>
    </row>
    <row r="1639" spans="1:19" x14ac:dyDescent="0.25">
      <c r="A1639">
        <v>10172</v>
      </c>
      <c r="B1639" t="s">
        <v>251</v>
      </c>
      <c r="C1639" t="s">
        <v>54</v>
      </c>
      <c r="D1639" t="s">
        <v>55</v>
      </c>
      <c r="E1639" t="s">
        <v>22</v>
      </c>
      <c r="F1639" t="s">
        <v>23</v>
      </c>
      <c r="G1639" t="s">
        <v>33</v>
      </c>
      <c r="H1639">
        <v>7</v>
      </c>
      <c r="I1639">
        <v>39</v>
      </c>
      <c r="J1639">
        <v>100</v>
      </c>
      <c r="K1639">
        <v>132</v>
      </c>
      <c r="L1639">
        <v>6023.16</v>
      </c>
      <c r="M1639">
        <v>875.16</v>
      </c>
      <c r="N1639" s="1">
        <v>37930</v>
      </c>
      <c r="O1639" t="s">
        <v>25</v>
      </c>
      <c r="P1639">
        <v>4</v>
      </c>
      <c r="Q1639">
        <v>11</v>
      </c>
      <c r="R1639">
        <v>2003</v>
      </c>
      <c r="S1639" t="s">
        <v>83</v>
      </c>
    </row>
    <row r="1640" spans="1:19" x14ac:dyDescent="0.25">
      <c r="A1640">
        <v>10212</v>
      </c>
      <c r="B1640" t="s">
        <v>251</v>
      </c>
      <c r="C1640" t="s">
        <v>78</v>
      </c>
      <c r="D1640" t="s">
        <v>79</v>
      </c>
      <c r="E1640" t="s">
        <v>80</v>
      </c>
      <c r="F1640" t="s">
        <v>30</v>
      </c>
      <c r="G1640" t="s">
        <v>33</v>
      </c>
      <c r="H1640">
        <v>7</v>
      </c>
      <c r="I1640">
        <v>40</v>
      </c>
      <c r="J1640">
        <v>100</v>
      </c>
      <c r="K1640">
        <v>132</v>
      </c>
      <c r="L1640">
        <v>4910.3999999999996</v>
      </c>
      <c r="M1640">
        <v>-369.6</v>
      </c>
      <c r="N1640" s="1">
        <v>38002</v>
      </c>
      <c r="O1640" t="s">
        <v>25</v>
      </c>
      <c r="P1640">
        <v>1</v>
      </c>
      <c r="Q1640">
        <v>1</v>
      </c>
      <c r="R1640">
        <v>2004</v>
      </c>
      <c r="S1640" t="s">
        <v>83</v>
      </c>
    </row>
    <row r="1641" spans="1:19" x14ac:dyDescent="0.25">
      <c r="A1641">
        <v>10321</v>
      </c>
      <c r="B1641" t="s">
        <v>251</v>
      </c>
      <c r="C1641" t="s">
        <v>73</v>
      </c>
      <c r="D1641" t="s">
        <v>74</v>
      </c>
      <c r="E1641" t="s">
        <v>22</v>
      </c>
      <c r="F1641" t="s">
        <v>23</v>
      </c>
      <c r="G1641" t="s">
        <v>24</v>
      </c>
      <c r="H1641">
        <v>7</v>
      </c>
      <c r="I1641">
        <v>27</v>
      </c>
      <c r="J1641">
        <v>100</v>
      </c>
      <c r="K1641">
        <v>132</v>
      </c>
      <c r="L1641">
        <v>2851.2</v>
      </c>
      <c r="M1641">
        <v>-712.8</v>
      </c>
      <c r="N1641" s="1">
        <v>38295</v>
      </c>
      <c r="O1641" t="s">
        <v>25</v>
      </c>
      <c r="P1641">
        <v>4</v>
      </c>
      <c r="Q1641">
        <v>11</v>
      </c>
      <c r="R1641">
        <v>2004</v>
      </c>
      <c r="S1641" t="s">
        <v>83</v>
      </c>
    </row>
    <row r="1642" spans="1:19" x14ac:dyDescent="0.25">
      <c r="A1642">
        <v>10206</v>
      </c>
      <c r="B1642" t="s">
        <v>252</v>
      </c>
      <c r="C1642" t="s">
        <v>97</v>
      </c>
      <c r="D1642" t="s">
        <v>98</v>
      </c>
      <c r="E1642" t="s">
        <v>99</v>
      </c>
      <c r="F1642" t="s">
        <v>23</v>
      </c>
      <c r="G1642" t="s">
        <v>33</v>
      </c>
      <c r="H1642">
        <v>7</v>
      </c>
      <c r="I1642">
        <v>37</v>
      </c>
      <c r="J1642">
        <v>90.17</v>
      </c>
      <c r="K1642">
        <v>101</v>
      </c>
      <c r="L1642">
        <v>3336.29</v>
      </c>
      <c r="M1642">
        <v>-400.71</v>
      </c>
      <c r="N1642" s="1">
        <v>37960</v>
      </c>
      <c r="O1642" t="s">
        <v>25</v>
      </c>
      <c r="P1642">
        <v>4</v>
      </c>
      <c r="Q1642">
        <v>12</v>
      </c>
      <c r="R1642">
        <v>2003</v>
      </c>
      <c r="S1642" t="s">
        <v>226</v>
      </c>
    </row>
    <row r="1643" spans="1:19" x14ac:dyDescent="0.25">
      <c r="A1643">
        <v>10304</v>
      </c>
      <c r="B1643" t="s">
        <v>252</v>
      </c>
      <c r="C1643" t="s">
        <v>113</v>
      </c>
      <c r="D1643" t="s">
        <v>114</v>
      </c>
      <c r="E1643" t="s">
        <v>29</v>
      </c>
      <c r="F1643" t="s">
        <v>30</v>
      </c>
      <c r="G1643" t="s">
        <v>33</v>
      </c>
      <c r="H1643">
        <v>7</v>
      </c>
      <c r="I1643">
        <v>46</v>
      </c>
      <c r="J1643">
        <v>100</v>
      </c>
      <c r="K1643">
        <v>101</v>
      </c>
      <c r="L1643">
        <v>4613.8</v>
      </c>
      <c r="M1643">
        <v>-32.200000000000003</v>
      </c>
      <c r="N1643" s="1">
        <v>38271</v>
      </c>
      <c r="O1643" t="s">
        <v>25</v>
      </c>
      <c r="P1643">
        <v>4</v>
      </c>
      <c r="Q1643">
        <v>10</v>
      </c>
      <c r="R1643">
        <v>2004</v>
      </c>
      <c r="S1643" t="s">
        <v>226</v>
      </c>
    </row>
    <row r="1644" spans="1:19" x14ac:dyDescent="0.25">
      <c r="A1644">
        <v>10167</v>
      </c>
      <c r="B1644" t="s">
        <v>254</v>
      </c>
      <c r="C1644" t="s">
        <v>111</v>
      </c>
      <c r="D1644" t="s">
        <v>112</v>
      </c>
      <c r="E1644" t="s">
        <v>86</v>
      </c>
      <c r="F1644" t="s">
        <v>30</v>
      </c>
      <c r="G1644" t="s">
        <v>33</v>
      </c>
      <c r="H1644">
        <v>7</v>
      </c>
      <c r="I1644">
        <v>46</v>
      </c>
      <c r="J1644">
        <v>73.12</v>
      </c>
      <c r="K1644">
        <v>86</v>
      </c>
      <c r="L1644">
        <v>3363.52</v>
      </c>
      <c r="M1644">
        <v>-592.48</v>
      </c>
      <c r="N1644" s="1">
        <v>37917</v>
      </c>
      <c r="O1644" t="s">
        <v>141</v>
      </c>
      <c r="P1644">
        <v>4</v>
      </c>
      <c r="Q1644">
        <v>10</v>
      </c>
      <c r="R1644">
        <v>2003</v>
      </c>
      <c r="S1644" t="s">
        <v>255</v>
      </c>
    </row>
    <row r="1645" spans="1:19" x14ac:dyDescent="0.25">
      <c r="A1645">
        <v>10186</v>
      </c>
      <c r="B1645" t="s">
        <v>254</v>
      </c>
      <c r="C1645" t="s">
        <v>144</v>
      </c>
      <c r="D1645" t="s">
        <v>139</v>
      </c>
      <c r="E1645" t="s">
        <v>77</v>
      </c>
      <c r="F1645" t="s">
        <v>30</v>
      </c>
      <c r="G1645" t="s">
        <v>24</v>
      </c>
      <c r="H1645">
        <v>7</v>
      </c>
      <c r="I1645">
        <v>32</v>
      </c>
      <c r="J1645">
        <v>89.46</v>
      </c>
      <c r="K1645">
        <v>86</v>
      </c>
      <c r="L1645">
        <v>2862.72</v>
      </c>
      <c r="M1645">
        <v>110.72</v>
      </c>
      <c r="N1645" s="1">
        <v>37939</v>
      </c>
      <c r="O1645" t="s">
        <v>25</v>
      </c>
      <c r="P1645">
        <v>4</v>
      </c>
      <c r="Q1645">
        <v>11</v>
      </c>
      <c r="R1645">
        <v>2003</v>
      </c>
      <c r="S1645" t="s">
        <v>255</v>
      </c>
    </row>
    <row r="1646" spans="1:19" x14ac:dyDescent="0.25">
      <c r="A1646">
        <v>10307</v>
      </c>
      <c r="B1646" t="s">
        <v>254</v>
      </c>
      <c r="C1646" t="s">
        <v>93</v>
      </c>
      <c r="D1646" t="s">
        <v>94</v>
      </c>
      <c r="E1646" t="s">
        <v>22</v>
      </c>
      <c r="F1646" t="s">
        <v>23</v>
      </c>
      <c r="G1646" t="s">
        <v>24</v>
      </c>
      <c r="H1646">
        <v>7</v>
      </c>
      <c r="I1646">
        <v>31</v>
      </c>
      <c r="J1646">
        <v>83.44</v>
      </c>
      <c r="K1646">
        <v>86</v>
      </c>
      <c r="L1646">
        <v>2586.64</v>
      </c>
      <c r="M1646">
        <v>-79.36</v>
      </c>
      <c r="N1646" s="1">
        <v>38274</v>
      </c>
      <c r="O1646" t="s">
        <v>25</v>
      </c>
      <c r="P1646">
        <v>4</v>
      </c>
      <c r="Q1646">
        <v>10</v>
      </c>
      <c r="R1646">
        <v>2004</v>
      </c>
      <c r="S1646" t="s">
        <v>255</v>
      </c>
    </row>
    <row r="1647" spans="1:19" x14ac:dyDescent="0.25">
      <c r="A1647">
        <v>10400</v>
      </c>
      <c r="B1647" t="s">
        <v>254</v>
      </c>
      <c r="C1647" t="s">
        <v>162</v>
      </c>
      <c r="D1647" t="s">
        <v>163</v>
      </c>
      <c r="E1647" t="s">
        <v>22</v>
      </c>
      <c r="F1647" t="s">
        <v>23</v>
      </c>
      <c r="G1647" t="s">
        <v>24</v>
      </c>
      <c r="H1647">
        <v>7</v>
      </c>
      <c r="I1647">
        <v>30</v>
      </c>
      <c r="J1647">
        <v>74.84</v>
      </c>
      <c r="K1647">
        <v>86</v>
      </c>
      <c r="L1647">
        <v>2245.1999999999998</v>
      </c>
      <c r="M1647">
        <v>-334.8</v>
      </c>
      <c r="N1647" s="1">
        <v>38443</v>
      </c>
      <c r="O1647" t="s">
        <v>25</v>
      </c>
      <c r="P1647">
        <v>2</v>
      </c>
      <c r="Q1647">
        <v>4</v>
      </c>
      <c r="R1647">
        <v>2005</v>
      </c>
      <c r="S1647" t="s">
        <v>255</v>
      </c>
    </row>
    <row r="1648" spans="1:19" x14ac:dyDescent="0.25">
      <c r="A1648">
        <v>10322</v>
      </c>
      <c r="B1648" t="s">
        <v>257</v>
      </c>
      <c r="C1648" t="s">
        <v>117</v>
      </c>
      <c r="D1648" t="s">
        <v>118</v>
      </c>
      <c r="E1648" t="s">
        <v>22</v>
      </c>
      <c r="F1648" t="s">
        <v>23</v>
      </c>
      <c r="G1648" t="s">
        <v>24</v>
      </c>
      <c r="H1648">
        <v>7</v>
      </c>
      <c r="I1648">
        <v>48</v>
      </c>
      <c r="J1648">
        <v>47.04</v>
      </c>
      <c r="K1648">
        <v>104</v>
      </c>
      <c r="L1648">
        <v>2257.92</v>
      </c>
      <c r="M1648">
        <v>-2734.08</v>
      </c>
      <c r="N1648" s="1">
        <v>38295</v>
      </c>
      <c r="O1648" t="s">
        <v>25</v>
      </c>
      <c r="P1648">
        <v>4</v>
      </c>
      <c r="Q1648">
        <v>11</v>
      </c>
      <c r="R1648">
        <v>2004</v>
      </c>
      <c r="S1648" t="s">
        <v>226</v>
      </c>
    </row>
    <row r="1649" spans="1:19" x14ac:dyDescent="0.25">
      <c r="A1649">
        <v>10153</v>
      </c>
      <c r="B1649" t="s">
        <v>258</v>
      </c>
      <c r="C1649" t="s">
        <v>78</v>
      </c>
      <c r="D1649" t="s">
        <v>79</v>
      </c>
      <c r="E1649" t="s">
        <v>80</v>
      </c>
      <c r="F1649" t="s">
        <v>30</v>
      </c>
      <c r="G1649" t="s">
        <v>33</v>
      </c>
      <c r="H1649">
        <v>7</v>
      </c>
      <c r="I1649">
        <v>31</v>
      </c>
      <c r="J1649">
        <v>100</v>
      </c>
      <c r="K1649">
        <v>136</v>
      </c>
      <c r="L1649">
        <v>3641.57</v>
      </c>
      <c r="M1649">
        <v>-574.42999999999995</v>
      </c>
      <c r="N1649" s="1">
        <v>37892</v>
      </c>
      <c r="O1649" t="s">
        <v>25</v>
      </c>
      <c r="P1649">
        <v>3</v>
      </c>
      <c r="Q1649">
        <v>9</v>
      </c>
      <c r="R1649">
        <v>2003</v>
      </c>
      <c r="S1649" t="s">
        <v>226</v>
      </c>
    </row>
    <row r="1650" spans="1:19" x14ac:dyDescent="0.25">
      <c r="A1650">
        <v>10151</v>
      </c>
      <c r="B1650" t="s">
        <v>259</v>
      </c>
      <c r="C1650" t="s">
        <v>160</v>
      </c>
      <c r="D1650" t="s">
        <v>161</v>
      </c>
      <c r="E1650" t="s">
        <v>62</v>
      </c>
      <c r="F1650" t="s">
        <v>30</v>
      </c>
      <c r="G1650" t="s">
        <v>33</v>
      </c>
      <c r="H1650">
        <v>7</v>
      </c>
      <c r="I1650">
        <v>21</v>
      </c>
      <c r="J1650">
        <v>100</v>
      </c>
      <c r="K1650">
        <v>169</v>
      </c>
      <c r="L1650">
        <v>3734.01</v>
      </c>
      <c r="M1650">
        <v>185.01</v>
      </c>
      <c r="N1650" s="1">
        <v>37885</v>
      </c>
      <c r="O1650" t="s">
        <v>25</v>
      </c>
      <c r="P1650">
        <v>3</v>
      </c>
      <c r="Q1650">
        <v>9</v>
      </c>
      <c r="R1650">
        <v>2003</v>
      </c>
      <c r="S1650" t="s">
        <v>83</v>
      </c>
    </row>
    <row r="1651" spans="1:19" x14ac:dyDescent="0.25">
      <c r="A1651">
        <v>10181</v>
      </c>
      <c r="B1651" t="s">
        <v>259</v>
      </c>
      <c r="C1651" t="s">
        <v>42</v>
      </c>
      <c r="D1651" t="s">
        <v>43</v>
      </c>
      <c r="E1651" t="s">
        <v>44</v>
      </c>
      <c r="F1651" t="s">
        <v>30</v>
      </c>
      <c r="G1651" t="s">
        <v>33</v>
      </c>
      <c r="H1651">
        <v>7</v>
      </c>
      <c r="I1651">
        <v>45</v>
      </c>
      <c r="J1651">
        <v>100</v>
      </c>
      <c r="K1651">
        <v>169</v>
      </c>
      <c r="L1651">
        <v>6324.75</v>
      </c>
      <c r="M1651">
        <v>-1280.25</v>
      </c>
      <c r="N1651" s="1">
        <v>37937</v>
      </c>
      <c r="O1651" t="s">
        <v>25</v>
      </c>
      <c r="P1651">
        <v>4</v>
      </c>
      <c r="Q1651">
        <v>11</v>
      </c>
      <c r="R1651">
        <v>2003</v>
      </c>
      <c r="S1651" t="s">
        <v>83</v>
      </c>
    </row>
    <row r="1652" spans="1:19" x14ac:dyDescent="0.25">
      <c r="A1652">
        <v>10266</v>
      </c>
      <c r="B1652" t="s">
        <v>259</v>
      </c>
      <c r="C1652" t="s">
        <v>184</v>
      </c>
      <c r="D1652" t="s">
        <v>185</v>
      </c>
      <c r="E1652" t="s">
        <v>110</v>
      </c>
      <c r="F1652" t="s">
        <v>30</v>
      </c>
      <c r="G1652" t="s">
        <v>33</v>
      </c>
      <c r="H1652">
        <v>7</v>
      </c>
      <c r="I1652">
        <v>29</v>
      </c>
      <c r="J1652">
        <v>100</v>
      </c>
      <c r="K1652">
        <v>169</v>
      </c>
      <c r="L1652">
        <v>4812.55</v>
      </c>
      <c r="M1652">
        <v>-88.45</v>
      </c>
      <c r="N1652" s="1">
        <v>38174</v>
      </c>
      <c r="O1652" t="s">
        <v>25</v>
      </c>
      <c r="P1652">
        <v>3</v>
      </c>
      <c r="Q1652">
        <v>7</v>
      </c>
      <c r="R1652">
        <v>2004</v>
      </c>
      <c r="S1652" t="s">
        <v>83</v>
      </c>
    </row>
    <row r="1653" spans="1:19" x14ac:dyDescent="0.25">
      <c r="A1653">
        <v>10278</v>
      </c>
      <c r="B1653" t="s">
        <v>259</v>
      </c>
      <c r="C1653" t="s">
        <v>221</v>
      </c>
      <c r="D1653" t="s">
        <v>222</v>
      </c>
      <c r="E1653" t="s">
        <v>22</v>
      </c>
      <c r="F1653" t="s">
        <v>23</v>
      </c>
      <c r="G1653" t="s">
        <v>33</v>
      </c>
      <c r="H1653">
        <v>7</v>
      </c>
      <c r="I1653">
        <v>42</v>
      </c>
      <c r="J1653">
        <v>100</v>
      </c>
      <c r="K1653">
        <v>169</v>
      </c>
      <c r="L1653">
        <v>6401.22</v>
      </c>
      <c r="M1653">
        <v>-696.78</v>
      </c>
      <c r="N1653" s="1">
        <v>38205</v>
      </c>
      <c r="O1653" t="s">
        <v>25</v>
      </c>
      <c r="P1653">
        <v>3</v>
      </c>
      <c r="Q1653">
        <v>8</v>
      </c>
      <c r="R1653">
        <v>2004</v>
      </c>
      <c r="S1653" t="s">
        <v>83</v>
      </c>
    </row>
    <row r="1654" spans="1:19" x14ac:dyDescent="0.25">
      <c r="A1654">
        <v>10117</v>
      </c>
      <c r="B1654" t="s">
        <v>260</v>
      </c>
      <c r="C1654" t="s">
        <v>88</v>
      </c>
      <c r="D1654" t="s">
        <v>89</v>
      </c>
      <c r="E1654" t="s">
        <v>89</v>
      </c>
      <c r="F1654" t="s">
        <v>50</v>
      </c>
      <c r="G1654" t="s">
        <v>24</v>
      </c>
      <c r="H1654">
        <v>7</v>
      </c>
      <c r="I1654">
        <v>21</v>
      </c>
      <c r="J1654">
        <v>95.8</v>
      </c>
      <c r="K1654">
        <v>100</v>
      </c>
      <c r="L1654">
        <v>2011.8</v>
      </c>
      <c r="M1654">
        <v>-88.2</v>
      </c>
      <c r="N1654" s="1">
        <v>37727</v>
      </c>
      <c r="O1654" t="s">
        <v>25</v>
      </c>
      <c r="P1654">
        <v>2</v>
      </c>
      <c r="Q1654">
        <v>4</v>
      </c>
      <c r="R1654">
        <v>2003</v>
      </c>
      <c r="S1654" t="s">
        <v>261</v>
      </c>
    </row>
    <row r="1655" spans="1:19" x14ac:dyDescent="0.25">
      <c r="A1655">
        <v>10336</v>
      </c>
      <c r="B1655" t="s">
        <v>260</v>
      </c>
      <c r="C1655" t="s">
        <v>166</v>
      </c>
      <c r="D1655" t="s">
        <v>32</v>
      </c>
      <c r="E1655" t="s">
        <v>29</v>
      </c>
      <c r="F1655" t="s">
        <v>30</v>
      </c>
      <c r="G1655" t="s">
        <v>24</v>
      </c>
      <c r="H1655">
        <v>7</v>
      </c>
      <c r="I1655">
        <v>21</v>
      </c>
      <c r="J1655">
        <v>100</v>
      </c>
      <c r="K1655">
        <v>100</v>
      </c>
      <c r="L1655">
        <v>2230.41</v>
      </c>
      <c r="M1655">
        <v>130.41</v>
      </c>
      <c r="N1655" s="1">
        <v>38311</v>
      </c>
      <c r="O1655" t="s">
        <v>25</v>
      </c>
      <c r="P1655">
        <v>4</v>
      </c>
      <c r="Q1655">
        <v>11</v>
      </c>
      <c r="R1655">
        <v>2004</v>
      </c>
      <c r="S1655" t="s">
        <v>261</v>
      </c>
    </row>
    <row r="1656" spans="1:19" x14ac:dyDescent="0.25">
      <c r="A1656">
        <v>10280</v>
      </c>
      <c r="B1656" t="s">
        <v>263</v>
      </c>
      <c r="C1656" t="s">
        <v>108</v>
      </c>
      <c r="D1656" t="s">
        <v>109</v>
      </c>
      <c r="E1656" t="s">
        <v>110</v>
      </c>
      <c r="F1656" t="s">
        <v>30</v>
      </c>
      <c r="G1656" t="s">
        <v>33</v>
      </c>
      <c r="H1656">
        <v>7</v>
      </c>
      <c r="I1656">
        <v>34</v>
      </c>
      <c r="J1656">
        <v>100</v>
      </c>
      <c r="K1656">
        <v>99</v>
      </c>
      <c r="L1656">
        <v>3474.46</v>
      </c>
      <c r="M1656">
        <v>108.46</v>
      </c>
      <c r="N1656" s="1">
        <v>38216</v>
      </c>
      <c r="O1656" t="s">
        <v>25</v>
      </c>
      <c r="P1656">
        <v>3</v>
      </c>
      <c r="Q1656">
        <v>8</v>
      </c>
      <c r="R1656">
        <v>2004</v>
      </c>
      <c r="S1656" t="s">
        <v>226</v>
      </c>
    </row>
    <row r="1657" spans="1:19" x14ac:dyDescent="0.25">
      <c r="A1657">
        <v>10382</v>
      </c>
      <c r="B1657" t="s">
        <v>263</v>
      </c>
      <c r="C1657" t="s">
        <v>115</v>
      </c>
      <c r="D1657" t="s">
        <v>116</v>
      </c>
      <c r="E1657" t="s">
        <v>22</v>
      </c>
      <c r="F1657" t="s">
        <v>23</v>
      </c>
      <c r="G1657" t="s">
        <v>70</v>
      </c>
      <c r="H1657">
        <v>7</v>
      </c>
      <c r="I1657">
        <v>50</v>
      </c>
      <c r="J1657">
        <v>100</v>
      </c>
      <c r="K1657">
        <v>99</v>
      </c>
      <c r="L1657">
        <v>8935.5</v>
      </c>
      <c r="M1657">
        <v>3985.5</v>
      </c>
      <c r="N1657" s="1">
        <v>38400</v>
      </c>
      <c r="O1657" t="s">
        <v>25</v>
      </c>
      <c r="P1657">
        <v>1</v>
      </c>
      <c r="Q1657">
        <v>2</v>
      </c>
      <c r="R1657">
        <v>2005</v>
      </c>
      <c r="S1657" t="s">
        <v>226</v>
      </c>
    </row>
    <row r="1658" spans="1:19" x14ac:dyDescent="0.25">
      <c r="A1658">
        <v>10300</v>
      </c>
      <c r="B1658" t="s">
        <v>264</v>
      </c>
      <c r="C1658" t="s">
        <v>187</v>
      </c>
      <c r="D1658" t="s">
        <v>188</v>
      </c>
      <c r="E1658" t="s">
        <v>180</v>
      </c>
      <c r="F1658" t="s">
        <v>30</v>
      </c>
      <c r="G1658" t="s">
        <v>33</v>
      </c>
      <c r="H1658">
        <v>7</v>
      </c>
      <c r="I1658">
        <v>23</v>
      </c>
      <c r="J1658">
        <v>100</v>
      </c>
      <c r="K1658">
        <v>146</v>
      </c>
      <c r="L1658">
        <v>3786.49</v>
      </c>
      <c r="M1658">
        <v>428.49</v>
      </c>
      <c r="N1658" s="1">
        <v>37898</v>
      </c>
      <c r="O1658" t="s">
        <v>25</v>
      </c>
      <c r="P1658">
        <v>4</v>
      </c>
      <c r="Q1658">
        <v>10</v>
      </c>
      <c r="R1658">
        <v>2003</v>
      </c>
      <c r="S1658" t="s">
        <v>83</v>
      </c>
    </row>
    <row r="1659" spans="1:19" x14ac:dyDescent="0.25">
      <c r="A1659">
        <v>10342</v>
      </c>
      <c r="B1659" t="s">
        <v>264</v>
      </c>
      <c r="C1659" t="s">
        <v>47</v>
      </c>
      <c r="D1659" t="s">
        <v>48</v>
      </c>
      <c r="E1659" t="s">
        <v>49</v>
      </c>
      <c r="F1659" t="s">
        <v>50</v>
      </c>
      <c r="G1659" t="s">
        <v>33</v>
      </c>
      <c r="H1659">
        <v>7</v>
      </c>
      <c r="I1659">
        <v>55</v>
      </c>
      <c r="J1659">
        <v>100</v>
      </c>
      <c r="K1659">
        <v>146</v>
      </c>
      <c r="L1659">
        <v>6548.3</v>
      </c>
      <c r="M1659">
        <v>-1481.7</v>
      </c>
      <c r="N1659" s="1">
        <v>38315</v>
      </c>
      <c r="O1659" t="s">
        <v>25</v>
      </c>
      <c r="P1659">
        <v>4</v>
      </c>
      <c r="Q1659">
        <v>11</v>
      </c>
      <c r="R1659">
        <v>2004</v>
      </c>
      <c r="S1659" t="s">
        <v>83</v>
      </c>
    </row>
    <row r="1660" spans="1:19" x14ac:dyDescent="0.25">
      <c r="A1660">
        <v>10355</v>
      </c>
      <c r="B1660" t="s">
        <v>264</v>
      </c>
      <c r="C1660" t="s">
        <v>78</v>
      </c>
      <c r="D1660" t="s">
        <v>79</v>
      </c>
      <c r="E1660" t="s">
        <v>80</v>
      </c>
      <c r="F1660" t="s">
        <v>30</v>
      </c>
      <c r="G1660" t="s">
        <v>33</v>
      </c>
      <c r="H1660">
        <v>7</v>
      </c>
      <c r="I1660">
        <v>23</v>
      </c>
      <c r="J1660">
        <v>100</v>
      </c>
      <c r="K1660">
        <v>146</v>
      </c>
      <c r="L1660">
        <v>3177.91</v>
      </c>
      <c r="M1660">
        <v>-180.09</v>
      </c>
      <c r="N1660" s="1">
        <v>38328</v>
      </c>
      <c r="O1660" t="s">
        <v>25</v>
      </c>
      <c r="P1660">
        <v>4</v>
      </c>
      <c r="Q1660">
        <v>12</v>
      </c>
      <c r="R1660">
        <v>2004</v>
      </c>
      <c r="S1660" t="s">
        <v>83</v>
      </c>
    </row>
    <row r="1661" spans="1:19" x14ac:dyDescent="0.25">
      <c r="A1661">
        <v>10124</v>
      </c>
      <c r="B1661" t="s">
        <v>269</v>
      </c>
      <c r="C1661" t="s">
        <v>221</v>
      </c>
      <c r="D1661" t="s">
        <v>222</v>
      </c>
      <c r="E1661" t="s">
        <v>22</v>
      </c>
      <c r="F1661" t="s">
        <v>23</v>
      </c>
      <c r="G1661" t="s">
        <v>33</v>
      </c>
      <c r="H1661">
        <v>7</v>
      </c>
      <c r="I1661">
        <v>36</v>
      </c>
      <c r="J1661">
        <v>85.59</v>
      </c>
      <c r="K1661">
        <v>92</v>
      </c>
      <c r="L1661">
        <v>3081.24</v>
      </c>
      <c r="M1661">
        <v>-230.76</v>
      </c>
      <c r="N1661" s="1">
        <v>37762</v>
      </c>
      <c r="O1661" t="s">
        <v>25</v>
      </c>
      <c r="P1661">
        <v>2</v>
      </c>
      <c r="Q1661">
        <v>5</v>
      </c>
      <c r="R1661">
        <v>2003</v>
      </c>
      <c r="S1661" t="s">
        <v>226</v>
      </c>
    </row>
    <row r="1662" spans="1:19" x14ac:dyDescent="0.25">
      <c r="A1662">
        <v>10142</v>
      </c>
      <c r="B1662" t="s">
        <v>270</v>
      </c>
      <c r="C1662" t="s">
        <v>115</v>
      </c>
      <c r="D1662" t="s">
        <v>116</v>
      </c>
      <c r="E1662" t="s">
        <v>22</v>
      </c>
      <c r="F1662" t="s">
        <v>23</v>
      </c>
      <c r="G1662" t="s">
        <v>24</v>
      </c>
      <c r="H1662">
        <v>7</v>
      </c>
      <c r="I1662">
        <v>24</v>
      </c>
      <c r="J1662">
        <v>70.22</v>
      </c>
      <c r="K1662">
        <v>87</v>
      </c>
      <c r="L1662">
        <v>1685.28</v>
      </c>
      <c r="M1662">
        <v>-402.72</v>
      </c>
      <c r="N1662" s="1">
        <v>37841</v>
      </c>
      <c r="O1662" t="s">
        <v>25</v>
      </c>
      <c r="P1662">
        <v>3</v>
      </c>
      <c r="Q1662">
        <v>8</v>
      </c>
      <c r="R1662">
        <v>2003</v>
      </c>
      <c r="S1662" t="s">
        <v>226</v>
      </c>
    </row>
    <row r="1663" spans="1:19" x14ac:dyDescent="0.25">
      <c r="A1663">
        <v>10315</v>
      </c>
      <c r="B1663" t="s">
        <v>270</v>
      </c>
      <c r="C1663" t="s">
        <v>56</v>
      </c>
      <c r="D1663" t="s">
        <v>57</v>
      </c>
      <c r="E1663" t="s">
        <v>29</v>
      </c>
      <c r="F1663" t="s">
        <v>30</v>
      </c>
      <c r="G1663" t="s">
        <v>33</v>
      </c>
      <c r="H1663">
        <v>7</v>
      </c>
      <c r="I1663">
        <v>36</v>
      </c>
      <c r="J1663">
        <v>100</v>
      </c>
      <c r="K1663">
        <v>87</v>
      </c>
      <c r="L1663">
        <v>3602.16</v>
      </c>
      <c r="M1663">
        <v>470.16</v>
      </c>
      <c r="N1663" s="1">
        <v>38289</v>
      </c>
      <c r="O1663" t="s">
        <v>25</v>
      </c>
      <c r="P1663">
        <v>4</v>
      </c>
      <c r="Q1663">
        <v>10</v>
      </c>
      <c r="R1663">
        <v>2004</v>
      </c>
      <c r="S1663" t="s">
        <v>226</v>
      </c>
    </row>
    <row r="1664" spans="1:19" x14ac:dyDescent="0.25">
      <c r="A1664">
        <v>10372</v>
      </c>
      <c r="B1664" t="s">
        <v>270</v>
      </c>
      <c r="C1664" t="s">
        <v>105</v>
      </c>
      <c r="D1664" t="s">
        <v>106</v>
      </c>
      <c r="E1664" t="s">
        <v>107</v>
      </c>
      <c r="F1664" t="s">
        <v>50</v>
      </c>
      <c r="G1664" t="s">
        <v>33</v>
      </c>
      <c r="H1664">
        <v>7</v>
      </c>
      <c r="I1664">
        <v>41</v>
      </c>
      <c r="J1664">
        <v>86.89</v>
      </c>
      <c r="K1664">
        <v>87</v>
      </c>
      <c r="L1664">
        <v>3562.49</v>
      </c>
      <c r="M1664">
        <v>-4.51</v>
      </c>
      <c r="N1664" s="1">
        <v>38378</v>
      </c>
      <c r="O1664" t="s">
        <v>25</v>
      </c>
      <c r="P1664">
        <v>1</v>
      </c>
      <c r="Q1664">
        <v>1</v>
      </c>
      <c r="R1664">
        <v>2005</v>
      </c>
      <c r="S1664" t="s">
        <v>226</v>
      </c>
    </row>
    <row r="1665" spans="1:19" x14ac:dyDescent="0.25">
      <c r="A1665">
        <v>10383</v>
      </c>
      <c r="B1665" t="s">
        <v>270</v>
      </c>
      <c r="C1665" t="s">
        <v>78</v>
      </c>
      <c r="D1665" t="s">
        <v>79</v>
      </c>
      <c r="E1665" t="s">
        <v>80</v>
      </c>
      <c r="F1665" t="s">
        <v>30</v>
      </c>
      <c r="G1665" t="s">
        <v>24</v>
      </c>
      <c r="H1665">
        <v>7</v>
      </c>
      <c r="I1665">
        <v>28</v>
      </c>
      <c r="J1665">
        <v>58.58</v>
      </c>
      <c r="K1665">
        <v>87</v>
      </c>
      <c r="L1665">
        <v>1640.24</v>
      </c>
      <c r="M1665">
        <v>-795.76</v>
      </c>
      <c r="N1665" s="1">
        <v>38405</v>
      </c>
      <c r="O1665" t="s">
        <v>25</v>
      </c>
      <c r="P1665">
        <v>1</v>
      </c>
      <c r="Q1665">
        <v>2</v>
      </c>
      <c r="R1665">
        <v>2005</v>
      </c>
      <c r="S1665" t="s">
        <v>226</v>
      </c>
    </row>
    <row r="1666" spans="1:19" x14ac:dyDescent="0.25">
      <c r="A1666">
        <v>10164</v>
      </c>
      <c r="B1666" t="s">
        <v>272</v>
      </c>
      <c r="C1666" t="s">
        <v>167</v>
      </c>
      <c r="D1666" t="s">
        <v>168</v>
      </c>
      <c r="E1666" t="s">
        <v>69</v>
      </c>
      <c r="F1666" t="s">
        <v>30</v>
      </c>
      <c r="G1666" t="s">
        <v>24</v>
      </c>
      <c r="H1666">
        <v>7</v>
      </c>
      <c r="I1666">
        <v>25</v>
      </c>
      <c r="J1666">
        <v>53.83</v>
      </c>
      <c r="K1666">
        <v>50</v>
      </c>
      <c r="L1666">
        <v>1345.75</v>
      </c>
      <c r="M1666">
        <v>95.75</v>
      </c>
      <c r="N1666" s="1">
        <v>37915</v>
      </c>
      <c r="O1666" t="s">
        <v>169</v>
      </c>
      <c r="P1666">
        <v>4</v>
      </c>
      <c r="Q1666">
        <v>10</v>
      </c>
      <c r="R1666">
        <v>2003</v>
      </c>
      <c r="S1666" t="s">
        <v>226</v>
      </c>
    </row>
    <row r="1667" spans="1:19" x14ac:dyDescent="0.25">
      <c r="A1667">
        <v>10245</v>
      </c>
      <c r="B1667" t="s">
        <v>272</v>
      </c>
      <c r="C1667" t="s">
        <v>103</v>
      </c>
      <c r="D1667" t="s">
        <v>104</v>
      </c>
      <c r="E1667" t="s">
        <v>22</v>
      </c>
      <c r="F1667" t="s">
        <v>23</v>
      </c>
      <c r="G1667" t="s">
        <v>24</v>
      </c>
      <c r="H1667">
        <v>7</v>
      </c>
      <c r="I1667">
        <v>45</v>
      </c>
      <c r="J1667">
        <v>59.87</v>
      </c>
      <c r="K1667">
        <v>50</v>
      </c>
      <c r="L1667">
        <v>2694.15</v>
      </c>
      <c r="M1667">
        <v>444.15</v>
      </c>
      <c r="N1667" s="1">
        <v>38111</v>
      </c>
      <c r="O1667" t="s">
        <v>25</v>
      </c>
      <c r="P1667">
        <v>2</v>
      </c>
      <c r="Q1667">
        <v>5</v>
      </c>
      <c r="R1667">
        <v>2004</v>
      </c>
      <c r="S1667" t="s">
        <v>226</v>
      </c>
    </row>
    <row r="1668" spans="1:19" x14ac:dyDescent="0.25">
      <c r="A1668">
        <v>10270</v>
      </c>
      <c r="B1668" t="s">
        <v>272</v>
      </c>
      <c r="C1668" t="s">
        <v>71</v>
      </c>
      <c r="D1668" t="s">
        <v>72</v>
      </c>
      <c r="E1668" t="s">
        <v>49</v>
      </c>
      <c r="F1668" t="s">
        <v>50</v>
      </c>
      <c r="G1668" t="s">
        <v>24</v>
      </c>
      <c r="H1668">
        <v>7</v>
      </c>
      <c r="I1668">
        <v>44</v>
      </c>
      <c r="J1668">
        <v>58.36</v>
      </c>
      <c r="K1668">
        <v>50</v>
      </c>
      <c r="L1668">
        <v>2567.84</v>
      </c>
      <c r="M1668">
        <v>367.84</v>
      </c>
      <c r="N1668" s="1">
        <v>38187</v>
      </c>
      <c r="O1668" t="s">
        <v>25</v>
      </c>
      <c r="P1668">
        <v>3</v>
      </c>
      <c r="Q1668">
        <v>7</v>
      </c>
      <c r="R1668">
        <v>2004</v>
      </c>
      <c r="S1668" t="s">
        <v>226</v>
      </c>
    </row>
    <row r="1669" spans="1:19" x14ac:dyDescent="0.25">
      <c r="A1669">
        <v>10411</v>
      </c>
      <c r="B1669" t="s">
        <v>272</v>
      </c>
      <c r="C1669" t="s">
        <v>123</v>
      </c>
      <c r="D1669" t="s">
        <v>124</v>
      </c>
      <c r="E1669" t="s">
        <v>99</v>
      </c>
      <c r="F1669" t="s">
        <v>23</v>
      </c>
      <c r="G1669" t="s">
        <v>24</v>
      </c>
      <c r="H1669">
        <v>7</v>
      </c>
      <c r="I1669">
        <v>35</v>
      </c>
      <c r="J1669">
        <v>59.87</v>
      </c>
      <c r="K1669">
        <v>50</v>
      </c>
      <c r="L1669">
        <v>2095.4499999999998</v>
      </c>
      <c r="M1669">
        <v>345.45</v>
      </c>
      <c r="N1669" s="1">
        <v>38473</v>
      </c>
      <c r="O1669" t="s">
        <v>25</v>
      </c>
      <c r="P1669">
        <v>2</v>
      </c>
      <c r="Q1669">
        <v>5</v>
      </c>
      <c r="R1669">
        <v>2005</v>
      </c>
      <c r="S1669" t="s">
        <v>226</v>
      </c>
    </row>
    <row r="1670" spans="1:19" x14ac:dyDescent="0.25">
      <c r="A1670">
        <v>10159</v>
      </c>
      <c r="B1670" t="s">
        <v>273</v>
      </c>
      <c r="C1670" t="s">
        <v>36</v>
      </c>
      <c r="D1670" t="s">
        <v>37</v>
      </c>
      <c r="E1670" t="s">
        <v>22</v>
      </c>
      <c r="F1670" t="s">
        <v>23</v>
      </c>
      <c r="G1670" t="s">
        <v>33</v>
      </c>
      <c r="H1670">
        <v>7</v>
      </c>
      <c r="I1670">
        <v>32</v>
      </c>
      <c r="J1670">
        <v>100</v>
      </c>
      <c r="K1670">
        <v>148</v>
      </c>
      <c r="L1670">
        <v>4618.88</v>
      </c>
      <c r="M1670">
        <v>-117.12</v>
      </c>
      <c r="N1670" s="1">
        <v>37904</v>
      </c>
      <c r="O1670" t="s">
        <v>25</v>
      </c>
      <c r="P1670">
        <v>4</v>
      </c>
      <c r="Q1670">
        <v>10</v>
      </c>
      <c r="R1670">
        <v>2003</v>
      </c>
      <c r="S1670" t="s">
        <v>83</v>
      </c>
    </row>
    <row r="1671" spans="1:19" x14ac:dyDescent="0.25">
      <c r="A1671">
        <v>10169</v>
      </c>
      <c r="B1671" t="s">
        <v>273</v>
      </c>
      <c r="C1671" t="s">
        <v>121</v>
      </c>
      <c r="D1671" t="s">
        <v>122</v>
      </c>
      <c r="E1671" t="s">
        <v>49</v>
      </c>
      <c r="F1671" t="s">
        <v>50</v>
      </c>
      <c r="G1671" t="s">
        <v>33</v>
      </c>
      <c r="H1671">
        <v>7</v>
      </c>
      <c r="I1671">
        <v>33</v>
      </c>
      <c r="J1671">
        <v>100</v>
      </c>
      <c r="K1671">
        <v>148</v>
      </c>
      <c r="L1671">
        <v>4910.3999999999996</v>
      </c>
      <c r="M1671">
        <v>26.4</v>
      </c>
      <c r="N1671" s="1">
        <v>37929</v>
      </c>
      <c r="O1671" t="s">
        <v>25</v>
      </c>
      <c r="P1671">
        <v>4</v>
      </c>
      <c r="Q1671">
        <v>11</v>
      </c>
      <c r="R1671">
        <v>2003</v>
      </c>
      <c r="S1671" t="s">
        <v>83</v>
      </c>
    </row>
    <row r="1672" spans="1:19" x14ac:dyDescent="0.25">
      <c r="A1672">
        <v>10211</v>
      </c>
      <c r="B1672" t="s">
        <v>273</v>
      </c>
      <c r="C1672" t="s">
        <v>46</v>
      </c>
      <c r="D1672" t="s">
        <v>32</v>
      </c>
      <c r="E1672" t="s">
        <v>29</v>
      </c>
      <c r="F1672" t="s">
        <v>30</v>
      </c>
      <c r="G1672" t="s">
        <v>33</v>
      </c>
      <c r="H1672">
        <v>7</v>
      </c>
      <c r="I1672">
        <v>41</v>
      </c>
      <c r="J1672">
        <v>100</v>
      </c>
      <c r="K1672">
        <v>148</v>
      </c>
      <c r="L1672">
        <v>5673.58</v>
      </c>
      <c r="M1672">
        <v>-394.42</v>
      </c>
      <c r="N1672" s="1">
        <v>38001</v>
      </c>
      <c r="O1672" t="s">
        <v>25</v>
      </c>
      <c r="P1672">
        <v>1</v>
      </c>
      <c r="Q1672">
        <v>1</v>
      </c>
      <c r="R1672">
        <v>2004</v>
      </c>
      <c r="S1672" t="s">
        <v>83</v>
      </c>
    </row>
    <row r="1673" spans="1:19" x14ac:dyDescent="0.25">
      <c r="A1673">
        <v>10288</v>
      </c>
      <c r="B1673" t="s">
        <v>274</v>
      </c>
      <c r="C1673" t="s">
        <v>171</v>
      </c>
      <c r="D1673" t="s">
        <v>89</v>
      </c>
      <c r="E1673" t="s">
        <v>89</v>
      </c>
      <c r="F1673" t="s">
        <v>50</v>
      </c>
      <c r="G1673" t="s">
        <v>24</v>
      </c>
      <c r="H1673">
        <v>7</v>
      </c>
      <c r="I1673">
        <v>23</v>
      </c>
      <c r="J1673">
        <v>73.41</v>
      </c>
      <c r="K1673">
        <v>71</v>
      </c>
      <c r="L1673">
        <v>1688.43</v>
      </c>
      <c r="M1673">
        <v>55.43</v>
      </c>
      <c r="N1673" s="1">
        <v>38231</v>
      </c>
      <c r="O1673" t="s">
        <v>25</v>
      </c>
      <c r="P1673">
        <v>3</v>
      </c>
      <c r="Q1673">
        <v>9</v>
      </c>
      <c r="R1673">
        <v>2004</v>
      </c>
      <c r="S1673" t="s">
        <v>83</v>
      </c>
    </row>
    <row r="1674" spans="1:19" x14ac:dyDescent="0.25">
      <c r="A1674">
        <v>10420</v>
      </c>
      <c r="B1674" t="s">
        <v>274</v>
      </c>
      <c r="C1674" t="s">
        <v>71</v>
      </c>
      <c r="D1674" t="s">
        <v>72</v>
      </c>
      <c r="E1674" t="s">
        <v>49</v>
      </c>
      <c r="F1674" t="s">
        <v>50</v>
      </c>
      <c r="G1674" t="s">
        <v>24</v>
      </c>
      <c r="H1674">
        <v>7</v>
      </c>
      <c r="I1674">
        <v>36</v>
      </c>
      <c r="J1674">
        <v>57.73</v>
      </c>
      <c r="K1674">
        <v>71</v>
      </c>
      <c r="L1674">
        <v>2078.2800000000002</v>
      </c>
      <c r="M1674">
        <v>-477.72</v>
      </c>
      <c r="N1674" s="1">
        <v>38501</v>
      </c>
      <c r="O1674" t="s">
        <v>125</v>
      </c>
      <c r="P1674">
        <v>2</v>
      </c>
      <c r="Q1674">
        <v>5</v>
      </c>
      <c r="R1674">
        <v>2005</v>
      </c>
      <c r="S1674" t="s">
        <v>83</v>
      </c>
    </row>
    <row r="1675" spans="1:19" x14ac:dyDescent="0.25">
      <c r="A1675">
        <v>10344</v>
      </c>
      <c r="B1675" t="s">
        <v>275</v>
      </c>
      <c r="C1675" t="s">
        <v>176</v>
      </c>
      <c r="D1675" t="s">
        <v>177</v>
      </c>
      <c r="E1675" t="s">
        <v>29</v>
      </c>
      <c r="F1675" t="s">
        <v>30</v>
      </c>
      <c r="G1675" t="s">
        <v>24</v>
      </c>
      <c r="H1675">
        <v>7</v>
      </c>
      <c r="I1675">
        <v>29</v>
      </c>
      <c r="J1675">
        <v>59.53</v>
      </c>
      <c r="K1675">
        <v>73</v>
      </c>
      <c r="L1675">
        <v>1726.37</v>
      </c>
      <c r="M1675">
        <v>-390.63</v>
      </c>
      <c r="N1675" s="1">
        <v>38316</v>
      </c>
      <c r="O1675" t="s">
        <v>25</v>
      </c>
      <c r="P1675">
        <v>4</v>
      </c>
      <c r="Q1675">
        <v>11</v>
      </c>
      <c r="R1675">
        <v>2004</v>
      </c>
      <c r="S1675" t="s">
        <v>83</v>
      </c>
    </row>
    <row r="1676" spans="1:19" x14ac:dyDescent="0.25">
      <c r="A1676">
        <v>10145</v>
      </c>
      <c r="B1676" t="s">
        <v>277</v>
      </c>
      <c r="C1676" t="s">
        <v>34</v>
      </c>
      <c r="D1676" t="s">
        <v>35</v>
      </c>
      <c r="E1676" t="s">
        <v>22</v>
      </c>
      <c r="F1676" t="s">
        <v>23</v>
      </c>
      <c r="G1676" t="s">
        <v>33</v>
      </c>
      <c r="H1676">
        <v>7</v>
      </c>
      <c r="I1676">
        <v>43</v>
      </c>
      <c r="J1676">
        <v>95.8</v>
      </c>
      <c r="K1676">
        <v>112</v>
      </c>
      <c r="L1676">
        <v>4119.3999999999996</v>
      </c>
      <c r="M1676">
        <v>-696.6</v>
      </c>
      <c r="N1676" s="1">
        <v>37858</v>
      </c>
      <c r="O1676" t="s">
        <v>25</v>
      </c>
      <c r="P1676">
        <v>3</v>
      </c>
      <c r="Q1676">
        <v>8</v>
      </c>
      <c r="R1676">
        <v>2003</v>
      </c>
      <c r="S1676" t="s">
        <v>26</v>
      </c>
    </row>
    <row r="1677" spans="1:19" x14ac:dyDescent="0.25">
      <c r="A1677">
        <v>10285</v>
      </c>
      <c r="B1677" t="s">
        <v>277</v>
      </c>
      <c r="C1677" t="s">
        <v>58</v>
      </c>
      <c r="D1677" t="s">
        <v>59</v>
      </c>
      <c r="E1677" t="s">
        <v>22</v>
      </c>
      <c r="F1677" t="s">
        <v>23</v>
      </c>
      <c r="G1677" t="s">
        <v>33</v>
      </c>
      <c r="H1677">
        <v>7</v>
      </c>
      <c r="I1677">
        <v>34</v>
      </c>
      <c r="J1677">
        <v>100</v>
      </c>
      <c r="K1677">
        <v>112</v>
      </c>
      <c r="L1677">
        <v>3716.88</v>
      </c>
      <c r="M1677">
        <v>-91.12</v>
      </c>
      <c r="N1677" s="1">
        <v>38226</v>
      </c>
      <c r="O1677" t="s">
        <v>25</v>
      </c>
      <c r="P1677">
        <v>3</v>
      </c>
      <c r="Q1677">
        <v>8</v>
      </c>
      <c r="R1677">
        <v>2004</v>
      </c>
      <c r="S1677" t="s">
        <v>26</v>
      </c>
    </row>
    <row r="1678" spans="1:19" x14ac:dyDescent="0.25">
      <c r="A1678">
        <v>10329</v>
      </c>
      <c r="B1678" t="s">
        <v>277</v>
      </c>
      <c r="C1678" t="s">
        <v>20</v>
      </c>
      <c r="D1678" t="s">
        <v>21</v>
      </c>
      <c r="E1678" t="s">
        <v>22</v>
      </c>
      <c r="F1678" t="s">
        <v>23</v>
      </c>
      <c r="G1678" t="s">
        <v>24</v>
      </c>
      <c r="H1678">
        <v>7</v>
      </c>
      <c r="I1678">
        <v>30</v>
      </c>
      <c r="J1678">
        <v>87.78</v>
      </c>
      <c r="K1678">
        <v>112</v>
      </c>
      <c r="L1678">
        <v>2633.4</v>
      </c>
      <c r="M1678">
        <v>-726.6</v>
      </c>
      <c r="N1678" s="1">
        <v>38306</v>
      </c>
      <c r="O1678" t="s">
        <v>25</v>
      </c>
      <c r="P1678">
        <v>4</v>
      </c>
      <c r="Q1678">
        <v>11</v>
      </c>
      <c r="R1678">
        <v>2004</v>
      </c>
      <c r="S1678" t="s">
        <v>26</v>
      </c>
    </row>
    <row r="1679" spans="1:19" x14ac:dyDescent="0.25">
      <c r="A1679">
        <v>10161</v>
      </c>
      <c r="B1679" t="s">
        <v>278</v>
      </c>
      <c r="C1679" t="s">
        <v>199</v>
      </c>
      <c r="D1679" t="s">
        <v>200</v>
      </c>
      <c r="E1679" t="s">
        <v>137</v>
      </c>
      <c r="F1679" t="s">
        <v>30</v>
      </c>
      <c r="G1679" t="s">
        <v>24</v>
      </c>
      <c r="H1679">
        <v>7</v>
      </c>
      <c r="I1679">
        <v>23</v>
      </c>
      <c r="J1679">
        <v>53.33</v>
      </c>
      <c r="K1679">
        <v>50</v>
      </c>
      <c r="L1679">
        <v>1226.5899999999999</v>
      </c>
      <c r="M1679">
        <v>76.59</v>
      </c>
      <c r="N1679" s="1">
        <v>37911</v>
      </c>
      <c r="O1679" t="s">
        <v>25</v>
      </c>
      <c r="P1679">
        <v>4</v>
      </c>
      <c r="Q1679">
        <v>10</v>
      </c>
      <c r="R1679">
        <v>2003</v>
      </c>
      <c r="S1679" t="s">
        <v>83</v>
      </c>
    </row>
    <row r="1680" spans="1:19" x14ac:dyDescent="0.25">
      <c r="A1680">
        <v>10339</v>
      </c>
      <c r="B1680" t="s">
        <v>279</v>
      </c>
      <c r="C1680" t="s">
        <v>105</v>
      </c>
      <c r="D1680" t="s">
        <v>106</v>
      </c>
      <c r="E1680" t="s">
        <v>107</v>
      </c>
      <c r="F1680" t="s">
        <v>50</v>
      </c>
      <c r="G1680" t="s">
        <v>24</v>
      </c>
      <c r="H1680">
        <v>7</v>
      </c>
      <c r="I1680">
        <v>21</v>
      </c>
      <c r="J1680">
        <v>50.65</v>
      </c>
      <c r="K1680">
        <v>109</v>
      </c>
      <c r="L1680">
        <v>1063.6500000000001</v>
      </c>
      <c r="M1680">
        <v>-1225.3499999999999</v>
      </c>
      <c r="N1680" s="1">
        <v>38314</v>
      </c>
      <c r="O1680" t="s">
        <v>25</v>
      </c>
      <c r="P1680">
        <v>4</v>
      </c>
      <c r="Q1680">
        <v>11</v>
      </c>
      <c r="R1680">
        <v>2004</v>
      </c>
      <c r="S1680" t="s">
        <v>234</v>
      </c>
    </row>
    <row r="1681" spans="1:19" x14ac:dyDescent="0.25">
      <c r="A1681">
        <v>10149</v>
      </c>
      <c r="B1681" t="s">
        <v>280</v>
      </c>
      <c r="C1681" t="s">
        <v>214</v>
      </c>
      <c r="D1681" t="s">
        <v>215</v>
      </c>
      <c r="E1681" t="s">
        <v>22</v>
      </c>
      <c r="F1681" t="s">
        <v>23</v>
      </c>
      <c r="G1681" t="s">
        <v>24</v>
      </c>
      <c r="H1681">
        <v>7</v>
      </c>
      <c r="I1681">
        <v>36</v>
      </c>
      <c r="J1681">
        <v>33.19</v>
      </c>
      <c r="K1681">
        <v>33</v>
      </c>
      <c r="L1681">
        <v>1194.8399999999999</v>
      </c>
      <c r="M1681">
        <v>6.84</v>
      </c>
      <c r="N1681" s="1">
        <v>37876</v>
      </c>
      <c r="O1681" t="s">
        <v>25</v>
      </c>
      <c r="P1681">
        <v>3</v>
      </c>
      <c r="Q1681">
        <v>9</v>
      </c>
      <c r="R1681">
        <v>2003</v>
      </c>
      <c r="S1681" t="s">
        <v>226</v>
      </c>
    </row>
    <row r="1682" spans="1:19" x14ac:dyDescent="0.25">
      <c r="A1682">
        <v>10107</v>
      </c>
      <c r="B1682" t="s">
        <v>281</v>
      </c>
      <c r="C1682" t="s">
        <v>20</v>
      </c>
      <c r="D1682" t="s">
        <v>21</v>
      </c>
      <c r="E1682" t="s">
        <v>22</v>
      </c>
      <c r="F1682" t="s">
        <v>23</v>
      </c>
      <c r="G1682" t="s">
        <v>33</v>
      </c>
      <c r="H1682">
        <v>7</v>
      </c>
      <c r="I1682">
        <v>38</v>
      </c>
      <c r="J1682">
        <v>83.03</v>
      </c>
      <c r="K1682">
        <v>76</v>
      </c>
      <c r="L1682">
        <v>3155.14</v>
      </c>
      <c r="M1682">
        <v>267.14</v>
      </c>
      <c r="N1682" s="1">
        <v>37676</v>
      </c>
      <c r="O1682" t="s">
        <v>25</v>
      </c>
      <c r="P1682">
        <v>1</v>
      </c>
      <c r="Q1682">
        <v>2</v>
      </c>
      <c r="R1682">
        <v>2003</v>
      </c>
      <c r="S1682" t="s">
        <v>26</v>
      </c>
    </row>
    <row r="1683" spans="1:19" x14ac:dyDescent="0.25">
      <c r="A1683">
        <v>10134</v>
      </c>
      <c r="B1683" t="s">
        <v>281</v>
      </c>
      <c r="C1683" t="s">
        <v>31</v>
      </c>
      <c r="D1683" t="s">
        <v>32</v>
      </c>
      <c r="E1683" t="s">
        <v>29</v>
      </c>
      <c r="F1683" t="s">
        <v>30</v>
      </c>
      <c r="G1683" t="s">
        <v>33</v>
      </c>
      <c r="H1683">
        <v>7</v>
      </c>
      <c r="I1683">
        <v>43</v>
      </c>
      <c r="J1683">
        <v>83.03</v>
      </c>
      <c r="K1683">
        <v>76</v>
      </c>
      <c r="L1683">
        <v>3570.29</v>
      </c>
      <c r="M1683">
        <v>302.29000000000002</v>
      </c>
      <c r="N1683" s="1">
        <v>37803</v>
      </c>
      <c r="O1683" t="s">
        <v>25</v>
      </c>
      <c r="P1683">
        <v>3</v>
      </c>
      <c r="Q1683">
        <v>7</v>
      </c>
      <c r="R1683">
        <v>2003</v>
      </c>
      <c r="S1683" t="s">
        <v>26</v>
      </c>
    </row>
    <row r="1684" spans="1:19" x14ac:dyDescent="0.25">
      <c r="A1684">
        <v>10201</v>
      </c>
      <c r="B1684" t="s">
        <v>281</v>
      </c>
      <c r="C1684" t="s">
        <v>45</v>
      </c>
      <c r="D1684" t="s">
        <v>37</v>
      </c>
      <c r="E1684" t="s">
        <v>22</v>
      </c>
      <c r="F1684" t="s">
        <v>23</v>
      </c>
      <c r="G1684" t="s">
        <v>24</v>
      </c>
      <c r="H1684">
        <v>7</v>
      </c>
      <c r="I1684">
        <v>25</v>
      </c>
      <c r="J1684">
        <v>73.88</v>
      </c>
      <c r="K1684">
        <v>76</v>
      </c>
      <c r="L1684">
        <v>1847</v>
      </c>
      <c r="M1684">
        <v>-53</v>
      </c>
      <c r="N1684" s="1">
        <v>37956</v>
      </c>
      <c r="O1684" t="s">
        <v>25</v>
      </c>
      <c r="P1684">
        <v>4</v>
      </c>
      <c r="Q1684">
        <v>12</v>
      </c>
      <c r="R1684">
        <v>2003</v>
      </c>
      <c r="S1684" t="s">
        <v>26</v>
      </c>
    </row>
    <row r="1685" spans="1:19" x14ac:dyDescent="0.25">
      <c r="A1685">
        <v>10263</v>
      </c>
      <c r="B1685" t="s">
        <v>281</v>
      </c>
      <c r="C1685" t="s">
        <v>54</v>
      </c>
      <c r="D1685" t="s">
        <v>55</v>
      </c>
      <c r="E1685" t="s">
        <v>22</v>
      </c>
      <c r="F1685" t="s">
        <v>23</v>
      </c>
      <c r="G1685" t="s">
        <v>24</v>
      </c>
      <c r="H1685">
        <v>7</v>
      </c>
      <c r="I1685">
        <v>37</v>
      </c>
      <c r="J1685">
        <v>62.46</v>
      </c>
      <c r="K1685">
        <v>76</v>
      </c>
      <c r="L1685">
        <v>2311.02</v>
      </c>
      <c r="M1685">
        <v>-500.98</v>
      </c>
      <c r="N1685" s="1">
        <v>38166</v>
      </c>
      <c r="O1685" t="s">
        <v>25</v>
      </c>
      <c r="P1685">
        <v>2</v>
      </c>
      <c r="Q1685">
        <v>6</v>
      </c>
      <c r="R1685">
        <v>2004</v>
      </c>
      <c r="S1685" t="s">
        <v>26</v>
      </c>
    </row>
    <row r="1686" spans="1:19" x14ac:dyDescent="0.25">
      <c r="A1686">
        <v>10177</v>
      </c>
      <c r="B1686" t="s">
        <v>282</v>
      </c>
      <c r="C1686" t="s">
        <v>196</v>
      </c>
      <c r="D1686" t="s">
        <v>79</v>
      </c>
      <c r="E1686" t="s">
        <v>80</v>
      </c>
      <c r="F1686" t="s">
        <v>30</v>
      </c>
      <c r="G1686" t="s">
        <v>33</v>
      </c>
      <c r="H1686">
        <v>7</v>
      </c>
      <c r="I1686">
        <v>50</v>
      </c>
      <c r="J1686">
        <v>100</v>
      </c>
      <c r="K1686">
        <v>122</v>
      </c>
      <c r="L1686">
        <v>6083</v>
      </c>
      <c r="M1686">
        <v>-17</v>
      </c>
      <c r="N1686" s="1">
        <v>37932</v>
      </c>
      <c r="O1686" t="s">
        <v>25</v>
      </c>
      <c r="P1686">
        <v>4</v>
      </c>
      <c r="Q1686">
        <v>11</v>
      </c>
      <c r="R1686">
        <v>2003</v>
      </c>
      <c r="S1686" t="s">
        <v>255</v>
      </c>
    </row>
    <row r="1687" spans="1:19" x14ac:dyDescent="0.25">
      <c r="A1687">
        <v>10185</v>
      </c>
      <c r="B1687" t="s">
        <v>282</v>
      </c>
      <c r="C1687" t="s">
        <v>140</v>
      </c>
      <c r="D1687" t="s">
        <v>74</v>
      </c>
      <c r="E1687" t="s">
        <v>22</v>
      </c>
      <c r="F1687" t="s">
        <v>23</v>
      </c>
      <c r="G1687" t="s">
        <v>33</v>
      </c>
      <c r="H1687">
        <v>7</v>
      </c>
      <c r="I1687">
        <v>30</v>
      </c>
      <c r="J1687">
        <v>100</v>
      </c>
      <c r="K1687">
        <v>122</v>
      </c>
      <c r="L1687">
        <v>3170.7</v>
      </c>
      <c r="M1687">
        <v>-489.3</v>
      </c>
      <c r="N1687" s="1">
        <v>37939</v>
      </c>
      <c r="O1687" t="s">
        <v>25</v>
      </c>
      <c r="P1687">
        <v>4</v>
      </c>
      <c r="Q1687">
        <v>11</v>
      </c>
      <c r="R1687">
        <v>2003</v>
      </c>
      <c r="S1687" t="s">
        <v>255</v>
      </c>
    </row>
    <row r="1688" spans="1:19" x14ac:dyDescent="0.25">
      <c r="A1688">
        <v>10208</v>
      </c>
      <c r="B1688" t="s">
        <v>282</v>
      </c>
      <c r="C1688" t="s">
        <v>95</v>
      </c>
      <c r="D1688" t="s">
        <v>96</v>
      </c>
      <c r="E1688" t="s">
        <v>29</v>
      </c>
      <c r="F1688" t="s">
        <v>30</v>
      </c>
      <c r="G1688" t="s">
        <v>33</v>
      </c>
      <c r="H1688">
        <v>7</v>
      </c>
      <c r="I1688">
        <v>35</v>
      </c>
      <c r="J1688">
        <v>100</v>
      </c>
      <c r="K1688">
        <v>122</v>
      </c>
      <c r="L1688">
        <v>4301.1499999999996</v>
      </c>
      <c r="M1688">
        <v>31.15</v>
      </c>
      <c r="N1688" s="1">
        <v>37988</v>
      </c>
      <c r="O1688" t="s">
        <v>25</v>
      </c>
      <c r="P1688">
        <v>1</v>
      </c>
      <c r="Q1688">
        <v>1</v>
      </c>
      <c r="R1688">
        <v>2004</v>
      </c>
      <c r="S1688" t="s">
        <v>255</v>
      </c>
    </row>
    <row r="1689" spans="1:19" x14ac:dyDescent="0.25">
      <c r="A1689">
        <v>10306</v>
      </c>
      <c r="B1689" t="s">
        <v>282</v>
      </c>
      <c r="C1689" t="s">
        <v>197</v>
      </c>
      <c r="D1689" t="s">
        <v>198</v>
      </c>
      <c r="E1689" t="s">
        <v>77</v>
      </c>
      <c r="F1689" t="s">
        <v>30</v>
      </c>
      <c r="G1689" t="s">
        <v>33</v>
      </c>
      <c r="H1689">
        <v>7</v>
      </c>
      <c r="I1689">
        <v>29</v>
      </c>
      <c r="J1689">
        <v>100</v>
      </c>
      <c r="K1689">
        <v>122</v>
      </c>
      <c r="L1689">
        <v>3207.4</v>
      </c>
      <c r="M1689">
        <v>-330.6</v>
      </c>
      <c r="N1689" s="1">
        <v>38274</v>
      </c>
      <c r="O1689" t="s">
        <v>25</v>
      </c>
      <c r="P1689">
        <v>4</v>
      </c>
      <c r="Q1689">
        <v>10</v>
      </c>
      <c r="R1689">
        <v>2004</v>
      </c>
      <c r="S1689" t="s">
        <v>255</v>
      </c>
    </row>
    <row r="1690" spans="1:19" x14ac:dyDescent="0.25">
      <c r="A1690">
        <v>10350</v>
      </c>
      <c r="B1690" t="s">
        <v>282</v>
      </c>
      <c r="C1690" t="s">
        <v>78</v>
      </c>
      <c r="D1690" t="s">
        <v>79</v>
      </c>
      <c r="E1690" t="s">
        <v>80</v>
      </c>
      <c r="F1690" t="s">
        <v>30</v>
      </c>
      <c r="G1690" t="s">
        <v>24</v>
      </c>
      <c r="H1690">
        <v>7</v>
      </c>
      <c r="I1690">
        <v>34</v>
      </c>
      <c r="J1690">
        <v>50.33</v>
      </c>
      <c r="K1690">
        <v>122</v>
      </c>
      <c r="L1690">
        <v>1711.22</v>
      </c>
      <c r="M1690">
        <v>-2436.7800000000002</v>
      </c>
      <c r="N1690" s="1">
        <v>38323</v>
      </c>
      <c r="O1690" t="s">
        <v>25</v>
      </c>
      <c r="P1690">
        <v>4</v>
      </c>
      <c r="Q1690">
        <v>12</v>
      </c>
      <c r="R1690">
        <v>2004</v>
      </c>
      <c r="S1690" t="s">
        <v>255</v>
      </c>
    </row>
    <row r="1691" spans="1:19" x14ac:dyDescent="0.25">
      <c r="A1691">
        <v>10356</v>
      </c>
      <c r="B1691" t="s">
        <v>283</v>
      </c>
      <c r="C1691" t="s">
        <v>31</v>
      </c>
      <c r="D1691" t="s">
        <v>32</v>
      </c>
      <c r="E1691" t="s">
        <v>29</v>
      </c>
      <c r="F1691" t="s">
        <v>30</v>
      </c>
      <c r="G1691" t="s">
        <v>24</v>
      </c>
      <c r="H1691">
        <v>7</v>
      </c>
      <c r="I1691">
        <v>26</v>
      </c>
      <c r="J1691">
        <v>31.86</v>
      </c>
      <c r="K1691">
        <v>44</v>
      </c>
      <c r="L1691">
        <v>828.36</v>
      </c>
      <c r="M1691">
        <v>-315.64</v>
      </c>
      <c r="N1691" s="1">
        <v>38330</v>
      </c>
      <c r="O1691" t="s">
        <v>25</v>
      </c>
      <c r="P1691">
        <v>4</v>
      </c>
      <c r="Q1691">
        <v>12</v>
      </c>
      <c r="R1691">
        <v>2004</v>
      </c>
      <c r="S1691" t="s">
        <v>226</v>
      </c>
    </row>
    <row r="1692" spans="1:19" x14ac:dyDescent="0.25">
      <c r="A1692">
        <v>10358</v>
      </c>
      <c r="B1692" t="s">
        <v>284</v>
      </c>
      <c r="C1692" t="s">
        <v>78</v>
      </c>
      <c r="D1692" t="s">
        <v>79</v>
      </c>
      <c r="E1692" t="s">
        <v>80</v>
      </c>
      <c r="F1692" t="s">
        <v>30</v>
      </c>
      <c r="G1692" t="s">
        <v>33</v>
      </c>
      <c r="H1692">
        <v>7</v>
      </c>
      <c r="I1692">
        <v>41</v>
      </c>
      <c r="J1692">
        <v>100</v>
      </c>
      <c r="K1692">
        <v>127</v>
      </c>
      <c r="L1692">
        <v>5684.65</v>
      </c>
      <c r="M1692">
        <v>477.65</v>
      </c>
      <c r="N1692" s="1">
        <v>38331</v>
      </c>
      <c r="O1692" t="s">
        <v>25</v>
      </c>
      <c r="P1692">
        <v>4</v>
      </c>
      <c r="Q1692">
        <v>12</v>
      </c>
      <c r="R1692">
        <v>2004</v>
      </c>
      <c r="S1692" t="s">
        <v>202</v>
      </c>
    </row>
    <row r="1693" spans="1:19" x14ac:dyDescent="0.25">
      <c r="A1693">
        <v>10319</v>
      </c>
      <c r="B1693" t="s">
        <v>285</v>
      </c>
      <c r="C1693" t="s">
        <v>204</v>
      </c>
      <c r="D1693" t="s">
        <v>21</v>
      </c>
      <c r="E1693" t="s">
        <v>22</v>
      </c>
      <c r="F1693" t="s">
        <v>23</v>
      </c>
      <c r="G1693" t="s">
        <v>24</v>
      </c>
      <c r="H1693">
        <v>7</v>
      </c>
      <c r="I1693">
        <v>31</v>
      </c>
      <c r="J1693">
        <v>81.73</v>
      </c>
      <c r="K1693">
        <v>69</v>
      </c>
      <c r="L1693">
        <v>2533.63</v>
      </c>
      <c r="M1693">
        <v>394.63</v>
      </c>
      <c r="N1693" s="1">
        <v>38294</v>
      </c>
      <c r="O1693" t="s">
        <v>25</v>
      </c>
      <c r="P1693">
        <v>4</v>
      </c>
      <c r="Q1693">
        <v>11</v>
      </c>
      <c r="R1693">
        <v>2004</v>
      </c>
      <c r="S1693" t="s">
        <v>26</v>
      </c>
    </row>
    <row r="1694" spans="1:19" x14ac:dyDescent="0.25">
      <c r="A1694">
        <v>10332</v>
      </c>
      <c r="B1694" t="s">
        <v>286</v>
      </c>
      <c r="C1694" t="s">
        <v>197</v>
      </c>
      <c r="D1694" t="s">
        <v>198</v>
      </c>
      <c r="E1694" t="s">
        <v>77</v>
      </c>
      <c r="F1694" t="s">
        <v>30</v>
      </c>
      <c r="G1694" t="s">
        <v>33</v>
      </c>
      <c r="H1694">
        <v>7</v>
      </c>
      <c r="I1694">
        <v>39</v>
      </c>
      <c r="J1694">
        <v>86.72</v>
      </c>
      <c r="K1694">
        <v>90</v>
      </c>
      <c r="L1694">
        <v>3382.08</v>
      </c>
      <c r="M1694">
        <v>-127.92</v>
      </c>
      <c r="N1694" s="1">
        <v>38308</v>
      </c>
      <c r="O1694" t="s">
        <v>25</v>
      </c>
      <c r="P1694">
        <v>4</v>
      </c>
      <c r="Q1694">
        <v>11</v>
      </c>
      <c r="R1694">
        <v>2004</v>
      </c>
      <c r="S1694" t="s">
        <v>83</v>
      </c>
    </row>
    <row r="1695" spans="1:19" x14ac:dyDescent="0.25">
      <c r="A1695">
        <v>10184</v>
      </c>
      <c r="B1695" t="s">
        <v>287</v>
      </c>
      <c r="C1695" t="s">
        <v>212</v>
      </c>
      <c r="D1695" t="s">
        <v>213</v>
      </c>
      <c r="E1695" t="s">
        <v>80</v>
      </c>
      <c r="F1695" t="s">
        <v>30</v>
      </c>
      <c r="G1695" t="s">
        <v>24</v>
      </c>
      <c r="H1695">
        <v>7</v>
      </c>
      <c r="I1695">
        <v>42</v>
      </c>
      <c r="J1695">
        <v>31.82</v>
      </c>
      <c r="K1695">
        <v>35</v>
      </c>
      <c r="L1695">
        <v>1336.44</v>
      </c>
      <c r="M1695">
        <v>-133.56</v>
      </c>
      <c r="N1695" s="1">
        <v>37939</v>
      </c>
      <c r="O1695" t="s">
        <v>25</v>
      </c>
      <c r="P1695">
        <v>4</v>
      </c>
      <c r="Q1695">
        <v>11</v>
      </c>
      <c r="R1695">
        <v>2003</v>
      </c>
      <c r="S1695" t="s">
        <v>83</v>
      </c>
    </row>
    <row r="1696" spans="1:19" x14ac:dyDescent="0.25">
      <c r="A1696">
        <v>10195</v>
      </c>
      <c r="B1696" t="s">
        <v>287</v>
      </c>
      <c r="C1696" t="s">
        <v>131</v>
      </c>
      <c r="D1696" t="s">
        <v>132</v>
      </c>
      <c r="E1696" t="s">
        <v>22</v>
      </c>
      <c r="F1696" t="s">
        <v>23</v>
      </c>
      <c r="G1696" t="s">
        <v>24</v>
      </c>
      <c r="H1696">
        <v>7</v>
      </c>
      <c r="I1696">
        <v>32</v>
      </c>
      <c r="J1696">
        <v>28.29</v>
      </c>
      <c r="K1696">
        <v>35</v>
      </c>
      <c r="L1696">
        <v>905.28</v>
      </c>
      <c r="M1696">
        <v>-214.72</v>
      </c>
      <c r="N1696" s="1">
        <v>37950</v>
      </c>
      <c r="O1696" t="s">
        <v>25</v>
      </c>
      <c r="P1696">
        <v>4</v>
      </c>
      <c r="Q1696">
        <v>11</v>
      </c>
      <c r="R1696">
        <v>2003</v>
      </c>
      <c r="S1696" t="s">
        <v>83</v>
      </c>
    </row>
    <row r="1697" spans="1:19" x14ac:dyDescent="0.25">
      <c r="A1697">
        <v>10373</v>
      </c>
      <c r="B1697" t="s">
        <v>288</v>
      </c>
      <c r="C1697" t="s">
        <v>160</v>
      </c>
      <c r="D1697" t="s">
        <v>161</v>
      </c>
      <c r="E1697" t="s">
        <v>62</v>
      </c>
      <c r="F1697" t="s">
        <v>30</v>
      </c>
      <c r="G1697" t="s">
        <v>24</v>
      </c>
      <c r="H1697">
        <v>7</v>
      </c>
      <c r="I1697">
        <v>38</v>
      </c>
      <c r="J1697">
        <v>70.44</v>
      </c>
      <c r="K1697">
        <v>68</v>
      </c>
      <c r="L1697">
        <v>2676.72</v>
      </c>
      <c r="M1697">
        <v>92.72</v>
      </c>
      <c r="N1697" s="1">
        <v>38383</v>
      </c>
      <c r="O1697" t="s">
        <v>25</v>
      </c>
      <c r="P1697">
        <v>1</v>
      </c>
      <c r="Q1697">
        <v>1</v>
      </c>
      <c r="R1697">
        <v>2005</v>
      </c>
      <c r="S1697" t="s">
        <v>234</v>
      </c>
    </row>
    <row r="1698" spans="1:19" x14ac:dyDescent="0.25">
      <c r="A1698">
        <v>10204</v>
      </c>
      <c r="B1698" t="s">
        <v>289</v>
      </c>
      <c r="C1698" t="s">
        <v>192</v>
      </c>
      <c r="D1698" t="s">
        <v>21</v>
      </c>
      <c r="E1698" t="s">
        <v>22</v>
      </c>
      <c r="F1698" t="s">
        <v>23</v>
      </c>
      <c r="G1698" t="s">
        <v>33</v>
      </c>
      <c r="H1698">
        <v>7</v>
      </c>
      <c r="I1698">
        <v>42</v>
      </c>
      <c r="J1698">
        <v>100</v>
      </c>
      <c r="K1698">
        <v>117</v>
      </c>
      <c r="L1698">
        <v>4242</v>
      </c>
      <c r="M1698">
        <v>-672</v>
      </c>
      <c r="N1698" s="1">
        <v>37957</v>
      </c>
      <c r="O1698" t="s">
        <v>25</v>
      </c>
      <c r="P1698">
        <v>4</v>
      </c>
      <c r="Q1698">
        <v>12</v>
      </c>
      <c r="R1698">
        <v>2003</v>
      </c>
      <c r="S1698" t="s">
        <v>83</v>
      </c>
    </row>
    <row r="1699" spans="1:19" x14ac:dyDescent="0.25">
      <c r="A1699">
        <v>10380</v>
      </c>
      <c r="B1699" t="s">
        <v>289</v>
      </c>
      <c r="C1699" t="s">
        <v>78</v>
      </c>
      <c r="D1699" t="s">
        <v>79</v>
      </c>
      <c r="E1699" t="s">
        <v>80</v>
      </c>
      <c r="F1699" t="s">
        <v>30</v>
      </c>
      <c r="G1699" t="s">
        <v>24</v>
      </c>
      <c r="H1699">
        <v>7</v>
      </c>
      <c r="I1699">
        <v>44</v>
      </c>
      <c r="J1699">
        <v>36.29</v>
      </c>
      <c r="K1699">
        <v>117</v>
      </c>
      <c r="L1699">
        <v>1596.76</v>
      </c>
      <c r="M1699">
        <v>-3551.24</v>
      </c>
      <c r="N1699" s="1">
        <v>38399</v>
      </c>
      <c r="O1699" t="s">
        <v>25</v>
      </c>
      <c r="P1699">
        <v>1</v>
      </c>
      <c r="Q1699">
        <v>2</v>
      </c>
      <c r="R1699">
        <v>2005</v>
      </c>
      <c r="S1699" t="s">
        <v>83</v>
      </c>
    </row>
    <row r="1700" spans="1:19" x14ac:dyDescent="0.25">
      <c r="A1700">
        <v>10253</v>
      </c>
      <c r="B1700" t="s">
        <v>290</v>
      </c>
      <c r="C1700" t="s">
        <v>75</v>
      </c>
      <c r="D1700" t="s">
        <v>76</v>
      </c>
      <c r="E1700" t="s">
        <v>77</v>
      </c>
      <c r="F1700" t="s">
        <v>30</v>
      </c>
      <c r="G1700" t="s">
        <v>24</v>
      </c>
      <c r="H1700">
        <v>7</v>
      </c>
      <c r="I1700">
        <v>40</v>
      </c>
      <c r="J1700">
        <v>42.67</v>
      </c>
      <c r="K1700">
        <v>37</v>
      </c>
      <c r="L1700">
        <v>1706.8</v>
      </c>
      <c r="M1700">
        <v>226.8</v>
      </c>
      <c r="N1700" s="1">
        <v>38139</v>
      </c>
      <c r="O1700" t="s">
        <v>141</v>
      </c>
      <c r="P1700">
        <v>2</v>
      </c>
      <c r="Q1700">
        <v>6</v>
      </c>
      <c r="R1700">
        <v>2004</v>
      </c>
      <c r="S1700" t="s">
        <v>83</v>
      </c>
    </row>
    <row r="1701" spans="1:19" x14ac:dyDescent="0.25">
      <c r="A1701">
        <v>10378</v>
      </c>
      <c r="B1701" t="s">
        <v>290</v>
      </c>
      <c r="C1701" t="s">
        <v>78</v>
      </c>
      <c r="D1701" t="s">
        <v>79</v>
      </c>
      <c r="E1701" t="s">
        <v>80</v>
      </c>
      <c r="F1701" t="s">
        <v>30</v>
      </c>
      <c r="G1701" t="s">
        <v>33</v>
      </c>
      <c r="H1701">
        <v>7</v>
      </c>
      <c r="I1701">
        <v>41</v>
      </c>
      <c r="J1701">
        <v>100</v>
      </c>
      <c r="K1701">
        <v>37</v>
      </c>
      <c r="L1701">
        <v>5856.85</v>
      </c>
      <c r="M1701">
        <v>4339.8500000000004</v>
      </c>
      <c r="N1701" s="1">
        <v>38393</v>
      </c>
      <c r="O1701" t="s">
        <v>25</v>
      </c>
      <c r="P1701">
        <v>1</v>
      </c>
      <c r="Q1701">
        <v>2</v>
      </c>
      <c r="R1701">
        <v>2005</v>
      </c>
      <c r="S1701" t="s">
        <v>83</v>
      </c>
    </row>
    <row r="1702" spans="1:19" x14ac:dyDescent="0.25">
      <c r="A1702">
        <v>10419</v>
      </c>
      <c r="B1702" t="s">
        <v>290</v>
      </c>
      <c r="C1702" t="s">
        <v>67</v>
      </c>
      <c r="D1702" t="s">
        <v>68</v>
      </c>
      <c r="E1702" t="s">
        <v>69</v>
      </c>
      <c r="F1702" t="s">
        <v>30</v>
      </c>
      <c r="G1702" t="s">
        <v>24</v>
      </c>
      <c r="H1702">
        <v>7</v>
      </c>
      <c r="I1702">
        <v>15</v>
      </c>
      <c r="J1702">
        <v>42.67</v>
      </c>
      <c r="K1702">
        <v>37</v>
      </c>
      <c r="L1702">
        <v>640.04999999999995</v>
      </c>
      <c r="M1702">
        <v>85.05</v>
      </c>
      <c r="N1702" s="1">
        <v>38489</v>
      </c>
      <c r="O1702" t="s">
        <v>25</v>
      </c>
      <c r="P1702">
        <v>2</v>
      </c>
      <c r="Q1702">
        <v>5</v>
      </c>
      <c r="R1702">
        <v>2005</v>
      </c>
      <c r="S1702" t="s">
        <v>83</v>
      </c>
    </row>
    <row r="1703" spans="1:19" x14ac:dyDescent="0.25">
      <c r="A1703">
        <v>10396</v>
      </c>
      <c r="B1703" t="s">
        <v>291</v>
      </c>
      <c r="C1703" t="s">
        <v>115</v>
      </c>
      <c r="D1703" t="s">
        <v>116</v>
      </c>
      <c r="E1703" t="s">
        <v>22</v>
      </c>
      <c r="F1703" t="s">
        <v>23</v>
      </c>
      <c r="G1703" t="s">
        <v>24</v>
      </c>
      <c r="H1703">
        <v>7</v>
      </c>
      <c r="I1703">
        <v>27</v>
      </c>
      <c r="J1703">
        <v>83.2</v>
      </c>
      <c r="K1703">
        <v>88</v>
      </c>
      <c r="L1703">
        <v>2246.4</v>
      </c>
      <c r="M1703">
        <v>-129.6</v>
      </c>
      <c r="N1703" s="1">
        <v>38434</v>
      </c>
      <c r="O1703" t="s">
        <v>25</v>
      </c>
      <c r="P1703">
        <v>1</v>
      </c>
      <c r="Q1703">
        <v>3</v>
      </c>
      <c r="R1703">
        <v>2005</v>
      </c>
      <c r="S1703" t="s">
        <v>226</v>
      </c>
    </row>
    <row r="1704" spans="1:19" x14ac:dyDescent="0.25">
      <c r="A1704">
        <v>10241</v>
      </c>
      <c r="B1704" t="s">
        <v>292</v>
      </c>
      <c r="C1704" t="s">
        <v>217</v>
      </c>
      <c r="D1704" t="s">
        <v>218</v>
      </c>
      <c r="E1704" t="s">
        <v>29</v>
      </c>
      <c r="F1704" t="s">
        <v>30</v>
      </c>
      <c r="G1704" t="s">
        <v>24</v>
      </c>
      <c r="H1704">
        <v>7</v>
      </c>
      <c r="I1704">
        <v>26</v>
      </c>
      <c r="J1704">
        <v>81.33</v>
      </c>
      <c r="K1704">
        <v>85</v>
      </c>
      <c r="L1704">
        <v>2114.58</v>
      </c>
      <c r="M1704">
        <v>-95.42</v>
      </c>
      <c r="N1704" s="1">
        <v>38090</v>
      </c>
      <c r="O1704" t="s">
        <v>25</v>
      </c>
      <c r="P1704">
        <v>2</v>
      </c>
      <c r="Q1704">
        <v>4</v>
      </c>
      <c r="R1704">
        <v>2004</v>
      </c>
      <c r="S1704" t="s">
        <v>83</v>
      </c>
    </row>
    <row r="1705" spans="1:19" x14ac:dyDescent="0.25">
      <c r="A1705">
        <v>10407</v>
      </c>
      <c r="B1705" t="s">
        <v>292</v>
      </c>
      <c r="C1705" t="s">
        <v>162</v>
      </c>
      <c r="D1705" t="s">
        <v>163</v>
      </c>
      <c r="E1705" t="s">
        <v>22</v>
      </c>
      <c r="F1705" t="s">
        <v>23</v>
      </c>
      <c r="G1705" t="s">
        <v>24</v>
      </c>
      <c r="H1705">
        <v>7</v>
      </c>
      <c r="I1705">
        <v>13</v>
      </c>
      <c r="J1705">
        <v>81.33</v>
      </c>
      <c r="K1705">
        <v>85</v>
      </c>
      <c r="L1705">
        <v>1057.29</v>
      </c>
      <c r="M1705">
        <v>-47.71</v>
      </c>
      <c r="N1705" s="1">
        <v>38464</v>
      </c>
      <c r="O1705" t="s">
        <v>164</v>
      </c>
      <c r="P1705">
        <v>2</v>
      </c>
      <c r="Q1705">
        <v>4</v>
      </c>
      <c r="R1705">
        <v>2005</v>
      </c>
      <c r="S1705" t="s">
        <v>83</v>
      </c>
    </row>
    <row r="1706" spans="1:19" x14ac:dyDescent="0.25">
      <c r="A1706">
        <v>10203</v>
      </c>
      <c r="B1706" t="s">
        <v>293</v>
      </c>
      <c r="C1706" t="s">
        <v>78</v>
      </c>
      <c r="D1706" t="s">
        <v>79</v>
      </c>
      <c r="E1706" t="s">
        <v>80</v>
      </c>
      <c r="F1706" t="s">
        <v>30</v>
      </c>
      <c r="G1706" t="s">
        <v>24</v>
      </c>
      <c r="H1706">
        <v>7</v>
      </c>
      <c r="I1706">
        <v>34</v>
      </c>
      <c r="J1706">
        <v>64.900000000000006</v>
      </c>
      <c r="K1706">
        <v>61</v>
      </c>
      <c r="L1706">
        <v>2206.6</v>
      </c>
      <c r="M1706">
        <v>132.6</v>
      </c>
      <c r="N1706" s="1">
        <v>37957</v>
      </c>
      <c r="O1706" t="s">
        <v>25</v>
      </c>
      <c r="P1706">
        <v>4</v>
      </c>
      <c r="Q1706">
        <v>12</v>
      </c>
      <c r="R1706">
        <v>2003</v>
      </c>
      <c r="S1706" t="s">
        <v>83</v>
      </c>
    </row>
    <row r="1707" spans="1:19" x14ac:dyDescent="0.25">
      <c r="A1707">
        <v>10155</v>
      </c>
      <c r="B1707" t="s">
        <v>294</v>
      </c>
      <c r="C1707" t="s">
        <v>60</v>
      </c>
      <c r="D1707" t="s">
        <v>61</v>
      </c>
      <c r="E1707" t="s">
        <v>62</v>
      </c>
      <c r="F1707" t="s">
        <v>30</v>
      </c>
      <c r="G1707" t="s">
        <v>24</v>
      </c>
      <c r="H1707">
        <v>7</v>
      </c>
      <c r="I1707">
        <v>34</v>
      </c>
      <c r="J1707">
        <v>55.89</v>
      </c>
      <c r="K1707">
        <v>65</v>
      </c>
      <c r="L1707">
        <v>1900.26</v>
      </c>
      <c r="M1707">
        <v>-309.74</v>
      </c>
      <c r="N1707" s="1">
        <v>37900</v>
      </c>
      <c r="O1707" t="s">
        <v>25</v>
      </c>
      <c r="P1707">
        <v>4</v>
      </c>
      <c r="Q1707">
        <v>10</v>
      </c>
      <c r="R1707">
        <v>2003</v>
      </c>
      <c r="S1707" t="s">
        <v>226</v>
      </c>
    </row>
    <row r="1708" spans="1:19" x14ac:dyDescent="0.25">
      <c r="A1708">
        <v>10148</v>
      </c>
      <c r="B1708" t="s">
        <v>295</v>
      </c>
      <c r="C1708" t="s">
        <v>121</v>
      </c>
      <c r="D1708" t="s">
        <v>122</v>
      </c>
      <c r="E1708" t="s">
        <v>49</v>
      </c>
      <c r="F1708" t="s">
        <v>50</v>
      </c>
      <c r="G1708" t="s">
        <v>33</v>
      </c>
      <c r="H1708">
        <v>7</v>
      </c>
      <c r="I1708">
        <v>27</v>
      </c>
      <c r="J1708">
        <v>100</v>
      </c>
      <c r="K1708">
        <v>107</v>
      </c>
      <c r="L1708">
        <v>3469.5</v>
      </c>
      <c r="M1708">
        <v>580.5</v>
      </c>
      <c r="N1708" s="1">
        <v>37875</v>
      </c>
      <c r="O1708" t="s">
        <v>25</v>
      </c>
      <c r="P1708">
        <v>3</v>
      </c>
      <c r="Q1708">
        <v>9</v>
      </c>
      <c r="R1708">
        <v>2003</v>
      </c>
      <c r="S1708" t="s">
        <v>83</v>
      </c>
    </row>
    <row r="1709" spans="1:19" x14ac:dyDescent="0.25">
      <c r="A1709">
        <v>10311</v>
      </c>
      <c r="B1709" t="s">
        <v>295</v>
      </c>
      <c r="C1709" t="s">
        <v>78</v>
      </c>
      <c r="D1709" t="s">
        <v>79</v>
      </c>
      <c r="E1709" t="s">
        <v>80</v>
      </c>
      <c r="F1709" t="s">
        <v>30</v>
      </c>
      <c r="G1709" t="s">
        <v>33</v>
      </c>
      <c r="H1709">
        <v>7</v>
      </c>
      <c r="I1709">
        <v>46</v>
      </c>
      <c r="J1709">
        <v>92.09</v>
      </c>
      <c r="K1709">
        <v>107</v>
      </c>
      <c r="L1709">
        <v>4236.1400000000003</v>
      </c>
      <c r="M1709">
        <v>-685.86</v>
      </c>
      <c r="N1709" s="1">
        <v>38276</v>
      </c>
      <c r="O1709" t="s">
        <v>25</v>
      </c>
      <c r="P1709">
        <v>4</v>
      </c>
      <c r="Q1709">
        <v>10</v>
      </c>
      <c r="R1709">
        <v>2004</v>
      </c>
      <c r="S1709" t="s">
        <v>83</v>
      </c>
    </row>
    <row r="1710" spans="1:19" x14ac:dyDescent="0.25">
      <c r="A1710">
        <v>10209</v>
      </c>
      <c r="B1710" t="s">
        <v>296</v>
      </c>
      <c r="C1710" t="s">
        <v>147</v>
      </c>
      <c r="D1710" t="s">
        <v>148</v>
      </c>
      <c r="E1710" t="s">
        <v>22</v>
      </c>
      <c r="F1710" t="s">
        <v>23</v>
      </c>
      <c r="G1710" t="s">
        <v>24</v>
      </c>
      <c r="H1710">
        <v>7</v>
      </c>
      <c r="I1710">
        <v>22</v>
      </c>
      <c r="J1710">
        <v>89.73</v>
      </c>
      <c r="K1710">
        <v>83</v>
      </c>
      <c r="L1710">
        <v>1974.06</v>
      </c>
      <c r="M1710">
        <v>148.06</v>
      </c>
      <c r="N1710" s="1">
        <v>37995</v>
      </c>
      <c r="O1710" t="s">
        <v>25</v>
      </c>
      <c r="P1710">
        <v>1</v>
      </c>
      <c r="Q1710">
        <v>1</v>
      </c>
      <c r="R1710">
        <v>2004</v>
      </c>
      <c r="S1710" t="s">
        <v>226</v>
      </c>
    </row>
    <row r="1711" spans="1:19" x14ac:dyDescent="0.25">
      <c r="A1711">
        <v>10287</v>
      </c>
      <c r="B1711" t="s">
        <v>297</v>
      </c>
      <c r="C1711" t="s">
        <v>181</v>
      </c>
      <c r="D1711" t="s">
        <v>182</v>
      </c>
      <c r="E1711" t="s">
        <v>183</v>
      </c>
      <c r="F1711" t="s">
        <v>30</v>
      </c>
      <c r="G1711" t="s">
        <v>33</v>
      </c>
      <c r="H1711">
        <v>7</v>
      </c>
      <c r="I1711">
        <v>36</v>
      </c>
      <c r="J1711">
        <v>100</v>
      </c>
      <c r="K1711">
        <v>140</v>
      </c>
      <c r="L1711">
        <v>4297.32</v>
      </c>
      <c r="M1711">
        <v>-742.68</v>
      </c>
      <c r="N1711" s="1">
        <v>38229</v>
      </c>
      <c r="O1711" t="s">
        <v>25</v>
      </c>
      <c r="P1711">
        <v>3</v>
      </c>
      <c r="Q1711">
        <v>8</v>
      </c>
      <c r="R1711">
        <v>2004</v>
      </c>
      <c r="S1711" t="s">
        <v>83</v>
      </c>
    </row>
    <row r="1712" spans="1:19" x14ac:dyDescent="0.25">
      <c r="A1712">
        <v>10361</v>
      </c>
      <c r="B1712" t="s">
        <v>298</v>
      </c>
      <c r="C1712" t="s">
        <v>71</v>
      </c>
      <c r="D1712" t="s">
        <v>72</v>
      </c>
      <c r="E1712" t="s">
        <v>49</v>
      </c>
      <c r="F1712" t="s">
        <v>50</v>
      </c>
      <c r="G1712" t="s">
        <v>33</v>
      </c>
      <c r="H1712">
        <v>7</v>
      </c>
      <c r="I1712">
        <v>26</v>
      </c>
      <c r="J1712">
        <v>100</v>
      </c>
      <c r="K1712">
        <v>68</v>
      </c>
      <c r="L1712">
        <v>3710.98</v>
      </c>
      <c r="M1712">
        <v>1942.98</v>
      </c>
      <c r="N1712" s="1">
        <v>38338</v>
      </c>
      <c r="O1712" t="s">
        <v>25</v>
      </c>
      <c r="P1712">
        <v>4</v>
      </c>
      <c r="Q1712">
        <v>12</v>
      </c>
      <c r="R1712">
        <v>2004</v>
      </c>
      <c r="S1712" t="s">
        <v>234</v>
      </c>
    </row>
    <row r="1713" spans="1:19" x14ac:dyDescent="0.25">
      <c r="A1713">
        <v>10162</v>
      </c>
      <c r="B1713" t="s">
        <v>299</v>
      </c>
      <c r="C1713" t="s">
        <v>36</v>
      </c>
      <c r="D1713" t="s">
        <v>37</v>
      </c>
      <c r="E1713" t="s">
        <v>22</v>
      </c>
      <c r="F1713" t="s">
        <v>23</v>
      </c>
      <c r="G1713" t="s">
        <v>24</v>
      </c>
      <c r="H1713">
        <v>7</v>
      </c>
      <c r="I1713">
        <v>37</v>
      </c>
      <c r="J1713">
        <v>38.979999999999997</v>
      </c>
      <c r="K1713">
        <v>41</v>
      </c>
      <c r="L1713">
        <v>1442.26</v>
      </c>
      <c r="M1713">
        <v>-74.739999999999995</v>
      </c>
      <c r="N1713" s="1">
        <v>37912</v>
      </c>
      <c r="O1713" t="s">
        <v>25</v>
      </c>
      <c r="P1713">
        <v>4</v>
      </c>
      <c r="Q1713">
        <v>10</v>
      </c>
      <c r="R1713">
        <v>2003</v>
      </c>
      <c r="S1713" t="s">
        <v>226</v>
      </c>
    </row>
    <row r="1714" spans="1:19" x14ac:dyDescent="0.25">
      <c r="A1714">
        <v>10127</v>
      </c>
      <c r="B1714" t="s">
        <v>300</v>
      </c>
      <c r="C1714" t="s">
        <v>192</v>
      </c>
      <c r="D1714" t="s">
        <v>21</v>
      </c>
      <c r="E1714" t="s">
        <v>22</v>
      </c>
      <c r="F1714" t="s">
        <v>23</v>
      </c>
      <c r="G1714" t="s">
        <v>24</v>
      </c>
      <c r="H1714">
        <v>7</v>
      </c>
      <c r="I1714">
        <v>20</v>
      </c>
      <c r="J1714">
        <v>96.99</v>
      </c>
      <c r="K1714">
        <v>118</v>
      </c>
      <c r="L1714">
        <v>1939.8</v>
      </c>
      <c r="M1714">
        <v>-420.2</v>
      </c>
      <c r="N1714" s="1">
        <v>37775</v>
      </c>
      <c r="O1714" t="s">
        <v>25</v>
      </c>
      <c r="P1714">
        <v>2</v>
      </c>
      <c r="Q1714">
        <v>6</v>
      </c>
      <c r="R1714">
        <v>2003</v>
      </c>
      <c r="S1714" t="s">
        <v>83</v>
      </c>
    </row>
    <row r="1715" spans="1:19" x14ac:dyDescent="0.25">
      <c r="A1715">
        <v>10176</v>
      </c>
      <c r="B1715" t="s">
        <v>300</v>
      </c>
      <c r="C1715" t="s">
        <v>184</v>
      </c>
      <c r="D1715" t="s">
        <v>185</v>
      </c>
      <c r="E1715" t="s">
        <v>110</v>
      </c>
      <c r="F1715" t="s">
        <v>30</v>
      </c>
      <c r="G1715" t="s">
        <v>24</v>
      </c>
      <c r="H1715">
        <v>7</v>
      </c>
      <c r="I1715">
        <v>29</v>
      </c>
      <c r="J1715">
        <v>100</v>
      </c>
      <c r="K1715">
        <v>118</v>
      </c>
      <c r="L1715">
        <v>2915.66</v>
      </c>
      <c r="M1715">
        <v>-506.34</v>
      </c>
      <c r="N1715" s="1">
        <v>37931</v>
      </c>
      <c r="O1715" t="s">
        <v>25</v>
      </c>
      <c r="P1715">
        <v>4</v>
      </c>
      <c r="Q1715">
        <v>11</v>
      </c>
      <c r="R1715">
        <v>2003</v>
      </c>
      <c r="S1715" t="s">
        <v>83</v>
      </c>
    </row>
    <row r="1716" spans="1:19" x14ac:dyDescent="0.25">
      <c r="A1716">
        <v>10220</v>
      </c>
      <c r="B1716" t="s">
        <v>300</v>
      </c>
      <c r="C1716" t="s">
        <v>193</v>
      </c>
      <c r="D1716" t="s">
        <v>194</v>
      </c>
      <c r="E1716" t="s">
        <v>195</v>
      </c>
      <c r="F1716" t="s">
        <v>30</v>
      </c>
      <c r="G1716" t="s">
        <v>33</v>
      </c>
      <c r="H1716">
        <v>7</v>
      </c>
      <c r="I1716">
        <v>37</v>
      </c>
      <c r="J1716">
        <v>100</v>
      </c>
      <c r="K1716">
        <v>118</v>
      </c>
      <c r="L1716">
        <v>5032.74</v>
      </c>
      <c r="M1716">
        <v>666.74</v>
      </c>
      <c r="N1716" s="1">
        <v>38029</v>
      </c>
      <c r="O1716" t="s">
        <v>25</v>
      </c>
      <c r="P1716">
        <v>1</v>
      </c>
      <c r="Q1716">
        <v>2</v>
      </c>
      <c r="R1716">
        <v>2004</v>
      </c>
      <c r="S1716" t="s">
        <v>83</v>
      </c>
    </row>
    <row r="1717" spans="1:19" x14ac:dyDescent="0.25">
      <c r="A1717">
        <v>10359</v>
      </c>
      <c r="B1717" t="s">
        <v>300</v>
      </c>
      <c r="C1717" t="s">
        <v>27</v>
      </c>
      <c r="D1717" t="s">
        <v>28</v>
      </c>
      <c r="E1717" t="s">
        <v>29</v>
      </c>
      <c r="F1717" t="s">
        <v>30</v>
      </c>
      <c r="G1717" t="s">
        <v>24</v>
      </c>
      <c r="H1717">
        <v>7</v>
      </c>
      <c r="I1717">
        <v>22</v>
      </c>
      <c r="J1717">
        <v>100</v>
      </c>
      <c r="K1717">
        <v>118</v>
      </c>
      <c r="L1717">
        <v>2603.04</v>
      </c>
      <c r="M1717">
        <v>7.04</v>
      </c>
      <c r="N1717" s="1">
        <v>38336</v>
      </c>
      <c r="O1717" t="s">
        <v>25</v>
      </c>
      <c r="P1717">
        <v>4</v>
      </c>
      <c r="Q1717">
        <v>12</v>
      </c>
      <c r="R1717">
        <v>2004</v>
      </c>
      <c r="S1717" t="s">
        <v>83</v>
      </c>
    </row>
    <row r="1718" spans="1:19" x14ac:dyDescent="0.25">
      <c r="A1718">
        <v>10394</v>
      </c>
      <c r="B1718" t="s">
        <v>300</v>
      </c>
      <c r="C1718" t="s">
        <v>78</v>
      </c>
      <c r="D1718" t="s">
        <v>79</v>
      </c>
      <c r="E1718" t="s">
        <v>80</v>
      </c>
      <c r="F1718" t="s">
        <v>30</v>
      </c>
      <c r="G1718" t="s">
        <v>33</v>
      </c>
      <c r="H1718">
        <v>7</v>
      </c>
      <c r="I1718">
        <v>37</v>
      </c>
      <c r="J1718">
        <v>100</v>
      </c>
      <c r="K1718">
        <v>118</v>
      </c>
      <c r="L1718">
        <v>5207.75</v>
      </c>
      <c r="M1718">
        <v>841.75</v>
      </c>
      <c r="N1718" s="1">
        <v>38426</v>
      </c>
      <c r="O1718" t="s">
        <v>25</v>
      </c>
      <c r="P1718">
        <v>1</v>
      </c>
      <c r="Q1718">
        <v>3</v>
      </c>
      <c r="R1718">
        <v>2005</v>
      </c>
      <c r="S1718" t="s">
        <v>83</v>
      </c>
    </row>
    <row r="1719" spans="1:19" x14ac:dyDescent="0.25">
      <c r="A1719">
        <v>10215</v>
      </c>
      <c r="B1719" t="s">
        <v>301</v>
      </c>
      <c r="C1719" t="s">
        <v>100</v>
      </c>
      <c r="D1719" t="s">
        <v>101</v>
      </c>
      <c r="E1719" t="s">
        <v>22</v>
      </c>
      <c r="F1719" t="s">
        <v>23</v>
      </c>
      <c r="G1719" t="s">
        <v>33</v>
      </c>
      <c r="H1719">
        <v>7</v>
      </c>
      <c r="I1719">
        <v>39</v>
      </c>
      <c r="J1719">
        <v>90.57</v>
      </c>
      <c r="K1719">
        <v>97</v>
      </c>
      <c r="L1719">
        <v>3532.23</v>
      </c>
      <c r="M1719">
        <v>-250.77</v>
      </c>
      <c r="N1719" s="1">
        <v>38015</v>
      </c>
      <c r="O1719" t="s">
        <v>25</v>
      </c>
      <c r="P1719">
        <v>1</v>
      </c>
      <c r="Q1719">
        <v>1</v>
      </c>
      <c r="R1719">
        <v>2004</v>
      </c>
      <c r="S1719" t="s">
        <v>226</v>
      </c>
    </row>
    <row r="1720" spans="1:19" x14ac:dyDescent="0.25">
      <c r="A1720">
        <v>10312</v>
      </c>
      <c r="B1720" t="s">
        <v>301</v>
      </c>
      <c r="C1720" t="s">
        <v>115</v>
      </c>
      <c r="D1720" t="s">
        <v>116</v>
      </c>
      <c r="E1720" t="s">
        <v>22</v>
      </c>
      <c r="F1720" t="s">
        <v>23</v>
      </c>
      <c r="G1720" t="s">
        <v>33</v>
      </c>
      <c r="H1720">
        <v>7</v>
      </c>
      <c r="I1720">
        <v>44</v>
      </c>
      <c r="J1720">
        <v>100</v>
      </c>
      <c r="K1720">
        <v>97</v>
      </c>
      <c r="L1720">
        <v>4884.88</v>
      </c>
      <c r="M1720">
        <v>616.88</v>
      </c>
      <c r="N1720" s="1">
        <v>38281</v>
      </c>
      <c r="O1720" t="s">
        <v>25</v>
      </c>
      <c r="P1720">
        <v>4</v>
      </c>
      <c r="Q1720">
        <v>10</v>
      </c>
      <c r="R1720">
        <v>2004</v>
      </c>
      <c r="S1720" t="s">
        <v>226</v>
      </c>
    </row>
    <row r="1721" spans="1:19" x14ac:dyDescent="0.25">
      <c r="A1721">
        <v>10191</v>
      </c>
      <c r="B1721" t="s">
        <v>303</v>
      </c>
      <c r="C1721" t="s">
        <v>178</v>
      </c>
      <c r="D1721" t="s">
        <v>179</v>
      </c>
      <c r="E1721" t="s">
        <v>180</v>
      </c>
      <c r="F1721" t="s">
        <v>30</v>
      </c>
      <c r="G1721" t="s">
        <v>24</v>
      </c>
      <c r="H1721">
        <v>7</v>
      </c>
      <c r="I1721">
        <v>44</v>
      </c>
      <c r="J1721">
        <v>66.290000000000006</v>
      </c>
      <c r="K1721">
        <v>80</v>
      </c>
      <c r="L1721">
        <v>2916.76</v>
      </c>
      <c r="M1721">
        <v>-603.24</v>
      </c>
      <c r="N1721" s="1">
        <v>37945</v>
      </c>
      <c r="O1721" t="s">
        <v>25</v>
      </c>
      <c r="P1721">
        <v>4</v>
      </c>
      <c r="Q1721">
        <v>11</v>
      </c>
      <c r="R1721">
        <v>2003</v>
      </c>
      <c r="S1721" t="s">
        <v>83</v>
      </c>
    </row>
    <row r="1722" spans="1:19" x14ac:dyDescent="0.25">
      <c r="A1722">
        <v>10238</v>
      </c>
      <c r="B1722" t="s">
        <v>303</v>
      </c>
      <c r="C1722" t="s">
        <v>135</v>
      </c>
      <c r="D1722" t="s">
        <v>136</v>
      </c>
      <c r="E1722" t="s">
        <v>137</v>
      </c>
      <c r="F1722" t="s">
        <v>30</v>
      </c>
      <c r="G1722" t="s">
        <v>24</v>
      </c>
      <c r="H1722">
        <v>7</v>
      </c>
      <c r="I1722">
        <v>22</v>
      </c>
      <c r="J1722">
        <v>93.77</v>
      </c>
      <c r="K1722">
        <v>80</v>
      </c>
      <c r="L1722">
        <v>2062.94</v>
      </c>
      <c r="M1722">
        <v>302.94</v>
      </c>
      <c r="N1722" s="1">
        <v>38086</v>
      </c>
      <c r="O1722" t="s">
        <v>25</v>
      </c>
      <c r="P1722">
        <v>2</v>
      </c>
      <c r="Q1722">
        <v>4</v>
      </c>
      <c r="R1722">
        <v>2004</v>
      </c>
      <c r="S1722" t="s">
        <v>83</v>
      </c>
    </row>
    <row r="1723" spans="1:19" x14ac:dyDescent="0.25">
      <c r="A1723">
        <v>10276</v>
      </c>
      <c r="B1723" t="s">
        <v>303</v>
      </c>
      <c r="C1723" t="s">
        <v>186</v>
      </c>
      <c r="D1723" t="s">
        <v>120</v>
      </c>
      <c r="E1723" t="s">
        <v>22</v>
      </c>
      <c r="F1723" t="s">
        <v>23</v>
      </c>
      <c r="G1723" t="s">
        <v>33</v>
      </c>
      <c r="H1723">
        <v>7</v>
      </c>
      <c r="I1723">
        <v>48</v>
      </c>
      <c r="J1723">
        <v>75.180000000000007</v>
      </c>
      <c r="K1723">
        <v>80</v>
      </c>
      <c r="L1723">
        <v>3608.64</v>
      </c>
      <c r="M1723">
        <v>-231.36</v>
      </c>
      <c r="N1723" s="1">
        <v>38201</v>
      </c>
      <c r="O1723" t="s">
        <v>25</v>
      </c>
      <c r="P1723">
        <v>3</v>
      </c>
      <c r="Q1723">
        <v>8</v>
      </c>
      <c r="R1723">
        <v>2004</v>
      </c>
      <c r="S1723" t="s">
        <v>83</v>
      </c>
    </row>
    <row r="1724" spans="1:19" x14ac:dyDescent="0.25">
      <c r="A1724">
        <v>10114</v>
      </c>
      <c r="B1724" t="s">
        <v>304</v>
      </c>
      <c r="C1724" t="s">
        <v>166</v>
      </c>
      <c r="D1724" t="s">
        <v>32</v>
      </c>
      <c r="E1724" t="s">
        <v>29</v>
      </c>
      <c r="F1724" t="s">
        <v>30</v>
      </c>
      <c r="G1724" t="s">
        <v>33</v>
      </c>
      <c r="H1724">
        <v>7</v>
      </c>
      <c r="I1724">
        <v>32</v>
      </c>
      <c r="J1724">
        <v>100</v>
      </c>
      <c r="K1724">
        <v>96</v>
      </c>
      <c r="L1724">
        <v>3667.52</v>
      </c>
      <c r="M1724">
        <v>595.52</v>
      </c>
      <c r="N1724" s="1">
        <v>37712</v>
      </c>
      <c r="O1724" t="s">
        <v>25</v>
      </c>
      <c r="P1724">
        <v>2</v>
      </c>
      <c r="Q1724">
        <v>4</v>
      </c>
      <c r="R1724">
        <v>2003</v>
      </c>
      <c r="S1724" t="s">
        <v>202</v>
      </c>
    </row>
    <row r="1725" spans="1:19" x14ac:dyDescent="0.25">
      <c r="A1725">
        <v>10168</v>
      </c>
      <c r="B1725" t="s">
        <v>305</v>
      </c>
      <c r="C1725" t="s">
        <v>38</v>
      </c>
      <c r="D1725" t="s">
        <v>39</v>
      </c>
      <c r="E1725" t="s">
        <v>22</v>
      </c>
      <c r="F1725" t="s">
        <v>23</v>
      </c>
      <c r="G1725" t="s">
        <v>33</v>
      </c>
      <c r="H1725">
        <v>7</v>
      </c>
      <c r="I1725">
        <v>28</v>
      </c>
      <c r="J1725">
        <v>100</v>
      </c>
      <c r="K1725">
        <v>99</v>
      </c>
      <c r="L1725">
        <v>3244.36</v>
      </c>
      <c r="M1725">
        <v>472.36</v>
      </c>
      <c r="N1725" s="1">
        <v>37922</v>
      </c>
      <c r="O1725" t="s">
        <v>25</v>
      </c>
      <c r="P1725">
        <v>4</v>
      </c>
      <c r="Q1725">
        <v>10</v>
      </c>
      <c r="R1725">
        <v>2003</v>
      </c>
      <c r="S1725" t="s">
        <v>26</v>
      </c>
    </row>
    <row r="1726" spans="1:19" x14ac:dyDescent="0.25">
      <c r="A1726">
        <v>10188</v>
      </c>
      <c r="B1726" t="s">
        <v>305</v>
      </c>
      <c r="C1726" t="s">
        <v>42</v>
      </c>
      <c r="D1726" t="s">
        <v>43</v>
      </c>
      <c r="E1726" t="s">
        <v>44</v>
      </c>
      <c r="F1726" t="s">
        <v>30</v>
      </c>
      <c r="G1726" t="s">
        <v>33</v>
      </c>
      <c r="H1726">
        <v>7</v>
      </c>
      <c r="I1726">
        <v>44</v>
      </c>
      <c r="J1726">
        <v>98.89</v>
      </c>
      <c r="K1726">
        <v>99</v>
      </c>
      <c r="L1726">
        <v>4351.16</v>
      </c>
      <c r="M1726">
        <v>-4.84</v>
      </c>
      <c r="N1726" s="1">
        <v>37943</v>
      </c>
      <c r="O1726" t="s">
        <v>25</v>
      </c>
      <c r="P1726">
        <v>4</v>
      </c>
      <c r="Q1726">
        <v>11</v>
      </c>
      <c r="R1726">
        <v>2003</v>
      </c>
      <c r="S1726" t="s">
        <v>26</v>
      </c>
    </row>
    <row r="1727" spans="1:19" x14ac:dyDescent="0.25">
      <c r="A1727">
        <v>10223</v>
      </c>
      <c r="B1727" t="s">
        <v>305</v>
      </c>
      <c r="C1727" t="s">
        <v>47</v>
      </c>
      <c r="D1727" t="s">
        <v>48</v>
      </c>
      <c r="E1727" t="s">
        <v>49</v>
      </c>
      <c r="F1727" t="s">
        <v>50</v>
      </c>
      <c r="G1727" t="s">
        <v>24</v>
      </c>
      <c r="H1727">
        <v>7</v>
      </c>
      <c r="I1727">
        <v>21</v>
      </c>
      <c r="J1727">
        <v>100</v>
      </c>
      <c r="K1727">
        <v>99</v>
      </c>
      <c r="L1727">
        <v>2475.27</v>
      </c>
      <c r="M1727">
        <v>396.27</v>
      </c>
      <c r="N1727" s="1">
        <v>38037</v>
      </c>
      <c r="O1727" t="s">
        <v>25</v>
      </c>
      <c r="P1727">
        <v>1</v>
      </c>
      <c r="Q1727">
        <v>2</v>
      </c>
      <c r="R1727">
        <v>2004</v>
      </c>
      <c r="S1727" t="s">
        <v>26</v>
      </c>
    </row>
    <row r="1728" spans="1:19" x14ac:dyDescent="0.25">
      <c r="A1728">
        <v>10275</v>
      </c>
      <c r="B1728" t="s">
        <v>305</v>
      </c>
      <c r="C1728" t="s">
        <v>56</v>
      </c>
      <c r="D1728" t="s">
        <v>57</v>
      </c>
      <c r="E1728" t="s">
        <v>29</v>
      </c>
      <c r="F1728" t="s">
        <v>30</v>
      </c>
      <c r="G1728" t="s">
        <v>24</v>
      </c>
      <c r="H1728">
        <v>7</v>
      </c>
      <c r="I1728">
        <v>23</v>
      </c>
      <c r="J1728">
        <v>81.91</v>
      </c>
      <c r="K1728">
        <v>99</v>
      </c>
      <c r="L1728">
        <v>1883.93</v>
      </c>
      <c r="M1728">
        <v>-393.07</v>
      </c>
      <c r="N1728" s="1">
        <v>38191</v>
      </c>
      <c r="O1728" t="s">
        <v>25</v>
      </c>
      <c r="P1728">
        <v>3</v>
      </c>
      <c r="Q1728">
        <v>7</v>
      </c>
      <c r="R1728">
        <v>2004</v>
      </c>
      <c r="S1728" t="s">
        <v>26</v>
      </c>
    </row>
    <row r="1729" spans="1:19" x14ac:dyDescent="0.25">
      <c r="A1729">
        <v>10318</v>
      </c>
      <c r="B1729" t="s">
        <v>305</v>
      </c>
      <c r="C1729" t="s">
        <v>65</v>
      </c>
      <c r="D1729" t="s">
        <v>66</v>
      </c>
      <c r="E1729" t="s">
        <v>22</v>
      </c>
      <c r="F1729" t="s">
        <v>23</v>
      </c>
      <c r="G1729" t="s">
        <v>33</v>
      </c>
      <c r="H1729">
        <v>7</v>
      </c>
      <c r="I1729">
        <v>47</v>
      </c>
      <c r="J1729">
        <v>100</v>
      </c>
      <c r="K1729">
        <v>99</v>
      </c>
      <c r="L1729">
        <v>5305.36</v>
      </c>
      <c r="M1729">
        <v>652.36</v>
      </c>
      <c r="N1729" s="1">
        <v>38293</v>
      </c>
      <c r="O1729" t="s">
        <v>25</v>
      </c>
      <c r="P1729">
        <v>4</v>
      </c>
      <c r="Q1729">
        <v>11</v>
      </c>
      <c r="R1729">
        <v>2004</v>
      </c>
      <c r="S1729" t="s">
        <v>26</v>
      </c>
    </row>
    <row r="1730" spans="1:19" x14ac:dyDescent="0.25">
      <c r="A1730">
        <v>10141</v>
      </c>
      <c r="B1730" t="s">
        <v>307</v>
      </c>
      <c r="C1730" t="s">
        <v>189</v>
      </c>
      <c r="D1730" t="s">
        <v>190</v>
      </c>
      <c r="E1730" t="s">
        <v>62</v>
      </c>
      <c r="F1730" t="s">
        <v>30</v>
      </c>
      <c r="G1730" t="s">
        <v>24</v>
      </c>
      <c r="H1730">
        <v>7</v>
      </c>
      <c r="I1730">
        <v>24</v>
      </c>
      <c r="J1730">
        <v>45.99</v>
      </c>
      <c r="K1730">
        <v>54</v>
      </c>
      <c r="L1730">
        <v>1103.76</v>
      </c>
      <c r="M1730">
        <v>-192.24</v>
      </c>
      <c r="N1730" s="1">
        <v>37834</v>
      </c>
      <c r="O1730" t="s">
        <v>25</v>
      </c>
      <c r="P1730">
        <v>3</v>
      </c>
      <c r="Q1730">
        <v>8</v>
      </c>
      <c r="R1730">
        <v>2003</v>
      </c>
      <c r="S1730" t="s">
        <v>202</v>
      </c>
    </row>
    <row r="1731" spans="1:19" x14ac:dyDescent="0.25">
      <c r="A1731">
        <v>10246</v>
      </c>
      <c r="B1731" t="s">
        <v>307</v>
      </c>
      <c r="C1731" t="s">
        <v>78</v>
      </c>
      <c r="D1731" t="s">
        <v>79</v>
      </c>
      <c r="E1731" t="s">
        <v>80</v>
      </c>
      <c r="F1731" t="s">
        <v>30</v>
      </c>
      <c r="G1731" t="s">
        <v>24</v>
      </c>
      <c r="H1731">
        <v>7</v>
      </c>
      <c r="I1731">
        <v>35</v>
      </c>
      <c r="J1731">
        <v>48.7</v>
      </c>
      <c r="K1731">
        <v>54</v>
      </c>
      <c r="L1731">
        <v>1704.5</v>
      </c>
      <c r="M1731">
        <v>-185.5</v>
      </c>
      <c r="N1731" s="1">
        <v>38112</v>
      </c>
      <c r="O1731" t="s">
        <v>25</v>
      </c>
      <c r="P1731">
        <v>2</v>
      </c>
      <c r="Q1731">
        <v>5</v>
      </c>
      <c r="R1731">
        <v>2004</v>
      </c>
      <c r="S1731" t="s">
        <v>202</v>
      </c>
    </row>
    <row r="1732" spans="1:19" x14ac:dyDescent="0.25">
      <c r="A1732">
        <v>10271</v>
      </c>
      <c r="B1732" t="s">
        <v>307</v>
      </c>
      <c r="C1732" t="s">
        <v>115</v>
      </c>
      <c r="D1732" t="s">
        <v>116</v>
      </c>
      <c r="E1732" t="s">
        <v>22</v>
      </c>
      <c r="F1732" t="s">
        <v>23</v>
      </c>
      <c r="G1732" t="s">
        <v>24</v>
      </c>
      <c r="H1732">
        <v>7</v>
      </c>
      <c r="I1732">
        <v>35</v>
      </c>
      <c r="J1732">
        <v>47.62</v>
      </c>
      <c r="K1732">
        <v>54</v>
      </c>
      <c r="L1732">
        <v>1666.7</v>
      </c>
      <c r="M1732">
        <v>-223.3</v>
      </c>
      <c r="N1732" s="1">
        <v>38188</v>
      </c>
      <c r="O1732" t="s">
        <v>25</v>
      </c>
      <c r="P1732">
        <v>3</v>
      </c>
      <c r="Q1732">
        <v>7</v>
      </c>
      <c r="R1732">
        <v>2004</v>
      </c>
      <c r="S1732" t="s">
        <v>202</v>
      </c>
    </row>
    <row r="1733" spans="1:19" x14ac:dyDescent="0.25">
      <c r="A1733">
        <v>10305</v>
      </c>
      <c r="B1733" t="s">
        <v>307</v>
      </c>
      <c r="C1733" t="s">
        <v>58</v>
      </c>
      <c r="D1733" t="s">
        <v>59</v>
      </c>
      <c r="E1733" t="s">
        <v>22</v>
      </c>
      <c r="F1733" t="s">
        <v>23</v>
      </c>
      <c r="G1733" t="s">
        <v>24</v>
      </c>
      <c r="H1733">
        <v>7</v>
      </c>
      <c r="I1733">
        <v>40</v>
      </c>
      <c r="J1733">
        <v>57.9</v>
      </c>
      <c r="K1733">
        <v>54</v>
      </c>
      <c r="L1733">
        <v>2316</v>
      </c>
      <c r="M1733">
        <v>156</v>
      </c>
      <c r="N1733" s="1">
        <v>38273</v>
      </c>
      <c r="O1733" t="s">
        <v>25</v>
      </c>
      <c r="P1733">
        <v>4</v>
      </c>
      <c r="Q1733">
        <v>10</v>
      </c>
      <c r="R1733">
        <v>2004</v>
      </c>
      <c r="S1733" t="s">
        <v>202</v>
      </c>
    </row>
    <row r="1734" spans="1:19" x14ac:dyDescent="0.25">
      <c r="A1734">
        <v>10412</v>
      </c>
      <c r="B1734" t="s">
        <v>307</v>
      </c>
      <c r="C1734" t="s">
        <v>78</v>
      </c>
      <c r="D1734" t="s">
        <v>79</v>
      </c>
      <c r="E1734" t="s">
        <v>80</v>
      </c>
      <c r="F1734" t="s">
        <v>30</v>
      </c>
      <c r="G1734" t="s">
        <v>24</v>
      </c>
      <c r="H1734">
        <v>7</v>
      </c>
      <c r="I1734">
        <v>19</v>
      </c>
      <c r="J1734">
        <v>48.7</v>
      </c>
      <c r="K1734">
        <v>54</v>
      </c>
      <c r="L1734">
        <v>925.3</v>
      </c>
      <c r="M1734">
        <v>-100.7</v>
      </c>
      <c r="N1734" s="1">
        <v>38475</v>
      </c>
      <c r="O1734" t="s">
        <v>25</v>
      </c>
      <c r="P1734">
        <v>2</v>
      </c>
      <c r="Q1734">
        <v>5</v>
      </c>
      <c r="R1734">
        <v>2005</v>
      </c>
      <c r="S1734" t="s">
        <v>202</v>
      </c>
    </row>
    <row r="1735" spans="1:19" x14ac:dyDescent="0.25">
      <c r="A1735">
        <v>10165</v>
      </c>
      <c r="B1735" t="s">
        <v>308</v>
      </c>
      <c r="C1735" t="s">
        <v>88</v>
      </c>
      <c r="D1735" t="s">
        <v>89</v>
      </c>
      <c r="E1735" t="s">
        <v>89</v>
      </c>
      <c r="F1735" t="s">
        <v>50</v>
      </c>
      <c r="G1735" t="s">
        <v>24</v>
      </c>
      <c r="H1735">
        <v>7</v>
      </c>
      <c r="I1735">
        <v>44</v>
      </c>
      <c r="J1735">
        <v>53.44</v>
      </c>
      <c r="K1735">
        <v>62</v>
      </c>
      <c r="L1735">
        <v>2351.36</v>
      </c>
      <c r="M1735">
        <v>-376.64</v>
      </c>
      <c r="N1735" s="1">
        <v>37916</v>
      </c>
      <c r="O1735" t="s">
        <v>25</v>
      </c>
      <c r="P1735">
        <v>4</v>
      </c>
      <c r="Q1735">
        <v>10</v>
      </c>
      <c r="R1735">
        <v>2003</v>
      </c>
      <c r="S1735" t="s">
        <v>261</v>
      </c>
    </row>
    <row r="1736" spans="1:19" x14ac:dyDescent="0.25">
      <c r="A1736">
        <v>10103</v>
      </c>
      <c r="B1736" t="s">
        <v>309</v>
      </c>
      <c r="C1736" t="s">
        <v>63</v>
      </c>
      <c r="D1736" t="s">
        <v>64</v>
      </c>
      <c r="E1736" t="s">
        <v>44</v>
      </c>
      <c r="F1736" t="s">
        <v>30</v>
      </c>
      <c r="G1736" t="s">
        <v>33</v>
      </c>
      <c r="H1736">
        <v>7</v>
      </c>
      <c r="I1736">
        <v>45</v>
      </c>
      <c r="J1736">
        <v>75.63</v>
      </c>
      <c r="K1736">
        <v>64</v>
      </c>
      <c r="L1736">
        <v>3403.35</v>
      </c>
      <c r="M1736">
        <v>523.35</v>
      </c>
      <c r="N1736" s="1">
        <v>37650</v>
      </c>
      <c r="O1736" t="s">
        <v>25</v>
      </c>
      <c r="P1736">
        <v>1</v>
      </c>
      <c r="Q1736">
        <v>1</v>
      </c>
      <c r="R1736">
        <v>2003</v>
      </c>
      <c r="S1736" t="s">
        <v>202</v>
      </c>
    </row>
    <row r="1737" spans="1:19" x14ac:dyDescent="0.25">
      <c r="A1737">
        <v>10126</v>
      </c>
      <c r="B1737" t="s">
        <v>309</v>
      </c>
      <c r="C1737" t="s">
        <v>87</v>
      </c>
      <c r="D1737" t="s">
        <v>79</v>
      </c>
      <c r="E1737" t="s">
        <v>80</v>
      </c>
      <c r="F1737" t="s">
        <v>30</v>
      </c>
      <c r="G1737" t="s">
        <v>24</v>
      </c>
      <c r="H1737">
        <v>7</v>
      </c>
      <c r="I1737">
        <v>26</v>
      </c>
      <c r="J1737">
        <v>62.7</v>
      </c>
      <c r="K1737">
        <v>64</v>
      </c>
      <c r="L1737">
        <v>1630.2</v>
      </c>
      <c r="M1737">
        <v>-33.799999999999997</v>
      </c>
      <c r="N1737" s="1">
        <v>37769</v>
      </c>
      <c r="O1737" t="s">
        <v>25</v>
      </c>
      <c r="P1737">
        <v>2</v>
      </c>
      <c r="Q1737">
        <v>5</v>
      </c>
      <c r="R1737">
        <v>2003</v>
      </c>
      <c r="S1737" t="s">
        <v>202</v>
      </c>
    </row>
    <row r="1738" spans="1:19" x14ac:dyDescent="0.25">
      <c r="A1738">
        <v>10140</v>
      </c>
      <c r="B1738" t="s">
        <v>309</v>
      </c>
      <c r="C1738" t="s">
        <v>38</v>
      </c>
      <c r="D1738" t="s">
        <v>39</v>
      </c>
      <c r="E1738" t="s">
        <v>22</v>
      </c>
      <c r="F1738" t="s">
        <v>23</v>
      </c>
      <c r="G1738" t="s">
        <v>24</v>
      </c>
      <c r="H1738">
        <v>7</v>
      </c>
      <c r="I1738">
        <v>28</v>
      </c>
      <c r="J1738">
        <v>60.76</v>
      </c>
      <c r="K1738">
        <v>64</v>
      </c>
      <c r="L1738">
        <v>1701.28</v>
      </c>
      <c r="M1738">
        <v>-90.72</v>
      </c>
      <c r="N1738" s="1">
        <v>37826</v>
      </c>
      <c r="O1738" t="s">
        <v>25</v>
      </c>
      <c r="P1738">
        <v>3</v>
      </c>
      <c r="Q1738">
        <v>7</v>
      </c>
      <c r="R1738">
        <v>2003</v>
      </c>
      <c r="S1738" t="s">
        <v>202</v>
      </c>
    </row>
    <row r="1739" spans="1:19" x14ac:dyDescent="0.25">
      <c r="A1739">
        <v>10194</v>
      </c>
      <c r="B1739" t="s">
        <v>309</v>
      </c>
      <c r="C1739" t="s">
        <v>95</v>
      </c>
      <c r="D1739" t="s">
        <v>96</v>
      </c>
      <c r="E1739" t="s">
        <v>29</v>
      </c>
      <c r="F1739" t="s">
        <v>30</v>
      </c>
      <c r="G1739" t="s">
        <v>24</v>
      </c>
      <c r="H1739">
        <v>7</v>
      </c>
      <c r="I1739">
        <v>39</v>
      </c>
      <c r="J1739">
        <v>54.94</v>
      </c>
      <c r="K1739">
        <v>64</v>
      </c>
      <c r="L1739">
        <v>2142.66</v>
      </c>
      <c r="M1739">
        <v>-353.34</v>
      </c>
      <c r="N1739" s="1">
        <v>37950</v>
      </c>
      <c r="O1739" t="s">
        <v>25</v>
      </c>
      <c r="P1739">
        <v>4</v>
      </c>
      <c r="Q1739">
        <v>11</v>
      </c>
      <c r="R1739">
        <v>2003</v>
      </c>
      <c r="S1739" t="s">
        <v>202</v>
      </c>
    </row>
    <row r="1740" spans="1:19" x14ac:dyDescent="0.25">
      <c r="A1740">
        <v>10217</v>
      </c>
      <c r="B1740" t="s">
        <v>309</v>
      </c>
      <c r="C1740" t="s">
        <v>171</v>
      </c>
      <c r="D1740" t="s">
        <v>89</v>
      </c>
      <c r="E1740" t="s">
        <v>89</v>
      </c>
      <c r="F1740" t="s">
        <v>50</v>
      </c>
      <c r="G1740" t="s">
        <v>24</v>
      </c>
      <c r="H1740">
        <v>7</v>
      </c>
      <c r="I1740">
        <v>39</v>
      </c>
      <c r="J1740">
        <v>62.05</v>
      </c>
      <c r="K1740">
        <v>64</v>
      </c>
      <c r="L1740">
        <v>2419.9499999999998</v>
      </c>
      <c r="M1740">
        <v>-76.05</v>
      </c>
      <c r="N1740" s="1">
        <v>38021</v>
      </c>
      <c r="O1740" t="s">
        <v>25</v>
      </c>
      <c r="P1740">
        <v>1</v>
      </c>
      <c r="Q1740">
        <v>2</v>
      </c>
      <c r="R1740">
        <v>2004</v>
      </c>
      <c r="S1740" t="s">
        <v>202</v>
      </c>
    </row>
    <row r="1741" spans="1:19" x14ac:dyDescent="0.25">
      <c r="A1741">
        <v>10291</v>
      </c>
      <c r="B1741" t="s">
        <v>309</v>
      </c>
      <c r="C1741" t="s">
        <v>111</v>
      </c>
      <c r="D1741" t="s">
        <v>112</v>
      </c>
      <c r="E1741" t="s">
        <v>86</v>
      </c>
      <c r="F1741" t="s">
        <v>30</v>
      </c>
      <c r="G1741" t="s">
        <v>24</v>
      </c>
      <c r="H1741">
        <v>7</v>
      </c>
      <c r="I1741">
        <v>32</v>
      </c>
      <c r="J1741">
        <v>71.75</v>
      </c>
      <c r="K1741">
        <v>64</v>
      </c>
      <c r="L1741">
        <v>2296</v>
      </c>
      <c r="M1741">
        <v>248</v>
      </c>
      <c r="N1741" s="1">
        <v>38238</v>
      </c>
      <c r="O1741" t="s">
        <v>25</v>
      </c>
      <c r="P1741">
        <v>3</v>
      </c>
      <c r="Q1741">
        <v>9</v>
      </c>
      <c r="R1741">
        <v>2004</v>
      </c>
      <c r="S1741" t="s">
        <v>202</v>
      </c>
    </row>
    <row r="1742" spans="1:19" x14ac:dyDescent="0.25">
      <c r="A1742">
        <v>10250</v>
      </c>
      <c r="B1742" t="s">
        <v>310</v>
      </c>
      <c r="C1742" t="s">
        <v>162</v>
      </c>
      <c r="D1742" t="s">
        <v>163</v>
      </c>
      <c r="E1742" t="s">
        <v>22</v>
      </c>
      <c r="F1742" t="s">
        <v>23</v>
      </c>
      <c r="G1742" t="s">
        <v>33</v>
      </c>
      <c r="H1742">
        <v>7</v>
      </c>
      <c r="I1742">
        <v>50</v>
      </c>
      <c r="J1742">
        <v>61.22</v>
      </c>
      <c r="K1742">
        <v>68</v>
      </c>
      <c r="L1742">
        <v>3061</v>
      </c>
      <c r="M1742">
        <v>-339</v>
      </c>
      <c r="N1742" s="1">
        <v>38118</v>
      </c>
      <c r="O1742" t="s">
        <v>25</v>
      </c>
      <c r="P1742">
        <v>2</v>
      </c>
      <c r="Q1742">
        <v>5</v>
      </c>
      <c r="R1742">
        <v>2004</v>
      </c>
      <c r="S1742" t="s">
        <v>226</v>
      </c>
    </row>
    <row r="1743" spans="1:19" x14ac:dyDescent="0.25">
      <c r="A1743">
        <v>10297</v>
      </c>
      <c r="B1743" t="s">
        <v>310</v>
      </c>
      <c r="C1743" t="s">
        <v>193</v>
      </c>
      <c r="D1743" t="s">
        <v>194</v>
      </c>
      <c r="E1743" t="s">
        <v>195</v>
      </c>
      <c r="F1743" t="s">
        <v>30</v>
      </c>
      <c r="G1743" t="s">
        <v>24</v>
      </c>
      <c r="H1743">
        <v>7</v>
      </c>
      <c r="I1743">
        <v>28</v>
      </c>
      <c r="J1743">
        <v>79.8</v>
      </c>
      <c r="K1743">
        <v>68</v>
      </c>
      <c r="L1743">
        <v>2234.4</v>
      </c>
      <c r="M1743">
        <v>330.4</v>
      </c>
      <c r="N1743" s="1">
        <v>38246</v>
      </c>
      <c r="O1743" t="s">
        <v>25</v>
      </c>
      <c r="P1743">
        <v>3</v>
      </c>
      <c r="Q1743">
        <v>9</v>
      </c>
      <c r="R1743">
        <v>2004</v>
      </c>
      <c r="S1743" t="s">
        <v>226</v>
      </c>
    </row>
    <row r="1744" spans="1:19" x14ac:dyDescent="0.25">
      <c r="A1744">
        <v>10353</v>
      </c>
      <c r="B1744" t="s">
        <v>310</v>
      </c>
      <c r="C1744" t="s">
        <v>235</v>
      </c>
      <c r="D1744" t="s">
        <v>208</v>
      </c>
      <c r="E1744" t="s">
        <v>22</v>
      </c>
      <c r="F1744" t="s">
        <v>23</v>
      </c>
      <c r="G1744" t="s">
        <v>24</v>
      </c>
      <c r="H1744">
        <v>7</v>
      </c>
      <c r="I1744">
        <v>40</v>
      </c>
      <c r="J1744">
        <v>44.51</v>
      </c>
      <c r="K1744">
        <v>68</v>
      </c>
      <c r="L1744">
        <v>1780.4</v>
      </c>
      <c r="M1744">
        <v>-939.6</v>
      </c>
      <c r="N1744" s="1">
        <v>38325</v>
      </c>
      <c r="O1744" t="s">
        <v>25</v>
      </c>
      <c r="P1744">
        <v>4</v>
      </c>
      <c r="Q1744">
        <v>12</v>
      </c>
      <c r="R1744">
        <v>2004</v>
      </c>
      <c r="S1744" t="s">
        <v>226</v>
      </c>
    </row>
    <row r="1745" spans="1:19" x14ac:dyDescent="0.25">
      <c r="A1745">
        <v>10416</v>
      </c>
      <c r="B1745" t="s">
        <v>310</v>
      </c>
      <c r="C1745" t="s">
        <v>184</v>
      </c>
      <c r="D1745" t="s">
        <v>185</v>
      </c>
      <c r="E1745" t="s">
        <v>110</v>
      </c>
      <c r="F1745" t="s">
        <v>30</v>
      </c>
      <c r="G1745" t="s">
        <v>24</v>
      </c>
      <c r="H1745">
        <v>7</v>
      </c>
      <c r="I1745">
        <v>26</v>
      </c>
      <c r="J1745">
        <v>61.22</v>
      </c>
      <c r="K1745">
        <v>68</v>
      </c>
      <c r="L1745">
        <v>1591.72</v>
      </c>
      <c r="M1745">
        <v>-176.28</v>
      </c>
      <c r="N1745" s="1">
        <v>38482</v>
      </c>
      <c r="O1745" t="s">
        <v>25</v>
      </c>
      <c r="P1745">
        <v>2</v>
      </c>
      <c r="Q1745">
        <v>5</v>
      </c>
      <c r="R1745">
        <v>2005</v>
      </c>
      <c r="S1745" t="s">
        <v>226</v>
      </c>
    </row>
    <row r="1746" spans="1:19" x14ac:dyDescent="0.25">
      <c r="A1746">
        <v>10180</v>
      </c>
      <c r="B1746" t="s">
        <v>311</v>
      </c>
      <c r="C1746" t="s">
        <v>40</v>
      </c>
      <c r="D1746" t="s">
        <v>41</v>
      </c>
      <c r="E1746" t="s">
        <v>29</v>
      </c>
      <c r="F1746" t="s">
        <v>30</v>
      </c>
      <c r="G1746" t="s">
        <v>24</v>
      </c>
      <c r="H1746">
        <v>7</v>
      </c>
      <c r="I1746">
        <v>22</v>
      </c>
      <c r="J1746">
        <v>100</v>
      </c>
      <c r="K1746">
        <v>102</v>
      </c>
      <c r="L1746">
        <v>2514.6</v>
      </c>
      <c r="M1746">
        <v>270.60000000000002</v>
      </c>
      <c r="N1746" s="1">
        <v>37936</v>
      </c>
      <c r="O1746" t="s">
        <v>25</v>
      </c>
      <c r="P1746">
        <v>4</v>
      </c>
      <c r="Q1746">
        <v>11</v>
      </c>
      <c r="R1746">
        <v>2003</v>
      </c>
      <c r="S1746" t="s">
        <v>26</v>
      </c>
    </row>
    <row r="1747" spans="1:19" x14ac:dyDescent="0.25">
      <c r="A1747">
        <v>10264</v>
      </c>
      <c r="B1747" t="s">
        <v>311</v>
      </c>
      <c r="C1747" t="s">
        <v>156</v>
      </c>
      <c r="D1747" t="s">
        <v>157</v>
      </c>
      <c r="E1747" t="s">
        <v>22</v>
      </c>
      <c r="F1747" t="s">
        <v>23</v>
      </c>
      <c r="G1747" t="s">
        <v>33</v>
      </c>
      <c r="H1747">
        <v>7</v>
      </c>
      <c r="I1747">
        <v>34</v>
      </c>
      <c r="J1747">
        <v>97.97</v>
      </c>
      <c r="K1747">
        <v>102</v>
      </c>
      <c r="L1747">
        <v>3330.98</v>
      </c>
      <c r="M1747">
        <v>-137.02000000000001</v>
      </c>
      <c r="N1747" s="1">
        <v>38168</v>
      </c>
      <c r="O1747" t="s">
        <v>25</v>
      </c>
      <c r="P1747">
        <v>2</v>
      </c>
      <c r="Q1747">
        <v>6</v>
      </c>
      <c r="R1747">
        <v>2004</v>
      </c>
      <c r="S1747" t="s">
        <v>26</v>
      </c>
    </row>
    <row r="1748" spans="1:19" x14ac:dyDescent="0.25">
      <c r="A1748">
        <v>10299</v>
      </c>
      <c r="B1748" t="s">
        <v>311</v>
      </c>
      <c r="C1748" t="s">
        <v>60</v>
      </c>
      <c r="D1748" t="s">
        <v>61</v>
      </c>
      <c r="E1748" t="s">
        <v>62</v>
      </c>
      <c r="F1748" t="s">
        <v>30</v>
      </c>
      <c r="G1748" t="s">
        <v>33</v>
      </c>
      <c r="H1748">
        <v>7</v>
      </c>
      <c r="I1748">
        <v>38</v>
      </c>
      <c r="J1748">
        <v>100</v>
      </c>
      <c r="K1748">
        <v>102</v>
      </c>
      <c r="L1748">
        <v>4382.16</v>
      </c>
      <c r="M1748">
        <v>506.16</v>
      </c>
      <c r="N1748" s="1">
        <v>38260</v>
      </c>
      <c r="O1748" t="s">
        <v>25</v>
      </c>
      <c r="P1748">
        <v>3</v>
      </c>
      <c r="Q1748">
        <v>9</v>
      </c>
      <c r="R1748">
        <v>2004</v>
      </c>
      <c r="S1748" t="s">
        <v>26</v>
      </c>
    </row>
    <row r="1749" spans="1:19" x14ac:dyDescent="0.25">
      <c r="A1749">
        <v>10133</v>
      </c>
      <c r="B1749" t="s">
        <v>312</v>
      </c>
      <c r="C1749" t="s">
        <v>78</v>
      </c>
      <c r="D1749" t="s">
        <v>79</v>
      </c>
      <c r="E1749" t="s">
        <v>80</v>
      </c>
      <c r="F1749" t="s">
        <v>30</v>
      </c>
      <c r="G1749" t="s">
        <v>24</v>
      </c>
      <c r="H1749">
        <v>7</v>
      </c>
      <c r="I1749">
        <v>27</v>
      </c>
      <c r="J1749">
        <v>50.19</v>
      </c>
      <c r="K1749">
        <v>43</v>
      </c>
      <c r="L1749">
        <v>1355.13</v>
      </c>
      <c r="M1749">
        <v>194.13</v>
      </c>
      <c r="N1749" s="1">
        <v>37799</v>
      </c>
      <c r="O1749" t="s">
        <v>25</v>
      </c>
      <c r="P1749">
        <v>2</v>
      </c>
      <c r="Q1749">
        <v>6</v>
      </c>
      <c r="R1749">
        <v>2003</v>
      </c>
      <c r="S1749" t="s">
        <v>226</v>
      </c>
    </row>
    <row r="1750" spans="1:19" x14ac:dyDescent="0.25">
      <c r="A1750">
        <v>10235</v>
      </c>
      <c r="B1750" t="s">
        <v>312</v>
      </c>
      <c r="C1750" t="s">
        <v>154</v>
      </c>
      <c r="D1750" t="s">
        <v>155</v>
      </c>
      <c r="E1750" t="s">
        <v>99</v>
      </c>
      <c r="F1750" t="s">
        <v>23</v>
      </c>
      <c r="G1750" t="s">
        <v>24</v>
      </c>
      <c r="H1750">
        <v>7</v>
      </c>
      <c r="I1750">
        <v>41</v>
      </c>
      <c r="J1750">
        <v>35.35</v>
      </c>
      <c r="K1750">
        <v>43</v>
      </c>
      <c r="L1750">
        <v>1449.35</v>
      </c>
      <c r="M1750">
        <v>-313.64999999999998</v>
      </c>
      <c r="N1750" s="1">
        <v>38079</v>
      </c>
      <c r="O1750" t="s">
        <v>25</v>
      </c>
      <c r="P1750">
        <v>2</v>
      </c>
      <c r="Q1750">
        <v>4</v>
      </c>
      <c r="R1750">
        <v>2004</v>
      </c>
      <c r="S1750" t="s">
        <v>226</v>
      </c>
    </row>
    <row r="1751" spans="1:19" x14ac:dyDescent="0.25">
      <c r="A1751">
        <v>10328</v>
      </c>
      <c r="B1751" t="s">
        <v>312</v>
      </c>
      <c r="C1751" t="s">
        <v>227</v>
      </c>
      <c r="D1751" t="s">
        <v>228</v>
      </c>
      <c r="E1751" t="s">
        <v>110</v>
      </c>
      <c r="F1751" t="s">
        <v>30</v>
      </c>
      <c r="G1751" t="s">
        <v>24</v>
      </c>
      <c r="H1751">
        <v>7</v>
      </c>
      <c r="I1751">
        <v>34</v>
      </c>
      <c r="J1751">
        <v>51.93</v>
      </c>
      <c r="K1751">
        <v>43</v>
      </c>
      <c r="L1751">
        <v>1765.62</v>
      </c>
      <c r="M1751">
        <v>303.62</v>
      </c>
      <c r="N1751" s="1">
        <v>38303</v>
      </c>
      <c r="O1751" t="s">
        <v>25</v>
      </c>
      <c r="P1751">
        <v>4</v>
      </c>
      <c r="Q1751">
        <v>11</v>
      </c>
      <c r="R1751">
        <v>2004</v>
      </c>
      <c r="S1751" t="s">
        <v>226</v>
      </c>
    </row>
    <row r="1752" spans="1:19" x14ac:dyDescent="0.25">
      <c r="A1752">
        <v>10401</v>
      </c>
      <c r="B1752" t="s">
        <v>312</v>
      </c>
      <c r="C1752" t="s">
        <v>52</v>
      </c>
      <c r="D1752" t="s">
        <v>53</v>
      </c>
      <c r="E1752" t="s">
        <v>22</v>
      </c>
      <c r="F1752" t="s">
        <v>23</v>
      </c>
      <c r="G1752" t="s">
        <v>24</v>
      </c>
      <c r="H1752">
        <v>7</v>
      </c>
      <c r="I1752">
        <v>56</v>
      </c>
      <c r="J1752">
        <v>35.35</v>
      </c>
      <c r="K1752">
        <v>43</v>
      </c>
      <c r="L1752">
        <v>1979.6</v>
      </c>
      <c r="M1752">
        <v>-428.4</v>
      </c>
      <c r="N1752" s="1">
        <v>38445</v>
      </c>
      <c r="O1752" t="s">
        <v>164</v>
      </c>
      <c r="P1752">
        <v>2</v>
      </c>
      <c r="Q1752">
        <v>4</v>
      </c>
      <c r="R1752">
        <v>2005</v>
      </c>
      <c r="S1752" t="s">
        <v>226</v>
      </c>
    </row>
    <row r="1753" spans="1:19" x14ac:dyDescent="0.25">
      <c r="A1753">
        <v>10104</v>
      </c>
      <c r="B1753" t="s">
        <v>313</v>
      </c>
      <c r="C1753" t="s">
        <v>78</v>
      </c>
      <c r="D1753" t="s">
        <v>79</v>
      </c>
      <c r="E1753" t="s">
        <v>80</v>
      </c>
      <c r="F1753" t="s">
        <v>30</v>
      </c>
      <c r="G1753" t="s">
        <v>33</v>
      </c>
      <c r="H1753">
        <v>7</v>
      </c>
      <c r="I1753">
        <v>33</v>
      </c>
      <c r="J1753">
        <v>100</v>
      </c>
      <c r="K1753">
        <v>115</v>
      </c>
      <c r="L1753">
        <v>3705.24</v>
      </c>
      <c r="M1753">
        <v>-89.76</v>
      </c>
      <c r="N1753" s="1">
        <v>37652</v>
      </c>
      <c r="O1753" t="s">
        <v>25</v>
      </c>
      <c r="P1753">
        <v>1</v>
      </c>
      <c r="Q1753">
        <v>1</v>
      </c>
      <c r="R1753">
        <v>2003</v>
      </c>
      <c r="S1753" t="s">
        <v>202</v>
      </c>
    </row>
    <row r="1754" spans="1:19" x14ac:dyDescent="0.25">
      <c r="A1754">
        <v>10230</v>
      </c>
      <c r="B1754" t="s">
        <v>313</v>
      </c>
      <c r="C1754" t="s">
        <v>187</v>
      </c>
      <c r="D1754" t="s">
        <v>188</v>
      </c>
      <c r="E1754" t="s">
        <v>180</v>
      </c>
      <c r="F1754" t="s">
        <v>30</v>
      </c>
      <c r="G1754" t="s">
        <v>33</v>
      </c>
      <c r="H1754">
        <v>7</v>
      </c>
      <c r="I1754">
        <v>34</v>
      </c>
      <c r="J1754">
        <v>100</v>
      </c>
      <c r="K1754">
        <v>115</v>
      </c>
      <c r="L1754">
        <v>3974.94</v>
      </c>
      <c r="M1754">
        <v>64.94</v>
      </c>
      <c r="N1754" s="1">
        <v>38061</v>
      </c>
      <c r="O1754" t="s">
        <v>25</v>
      </c>
      <c r="P1754">
        <v>1</v>
      </c>
      <c r="Q1754">
        <v>3</v>
      </c>
      <c r="R1754">
        <v>2004</v>
      </c>
      <c r="S1754" t="s">
        <v>202</v>
      </c>
    </row>
    <row r="1755" spans="1:19" x14ac:dyDescent="0.25">
      <c r="A1755">
        <v>10196</v>
      </c>
      <c r="B1755" t="s">
        <v>314</v>
      </c>
      <c r="C1755" t="s">
        <v>103</v>
      </c>
      <c r="D1755" t="s">
        <v>104</v>
      </c>
      <c r="E1755" t="s">
        <v>22</v>
      </c>
      <c r="F1755" t="s">
        <v>23</v>
      </c>
      <c r="G1755" t="s">
        <v>24</v>
      </c>
      <c r="H1755">
        <v>7</v>
      </c>
      <c r="I1755">
        <v>46</v>
      </c>
      <c r="J1755">
        <v>62.09</v>
      </c>
      <c r="K1755">
        <v>58</v>
      </c>
      <c r="L1755">
        <v>2856.14</v>
      </c>
      <c r="M1755">
        <v>188.14</v>
      </c>
      <c r="N1755" s="1">
        <v>37951</v>
      </c>
      <c r="O1755" t="s">
        <v>25</v>
      </c>
      <c r="P1755">
        <v>4</v>
      </c>
      <c r="Q1755">
        <v>11</v>
      </c>
      <c r="R1755">
        <v>2003</v>
      </c>
      <c r="S1755" t="s">
        <v>261</v>
      </c>
    </row>
    <row r="1756" spans="1:19" x14ac:dyDescent="0.25">
      <c r="A1756">
        <v>10282</v>
      </c>
      <c r="B1756" t="s">
        <v>314</v>
      </c>
      <c r="C1756" t="s">
        <v>115</v>
      </c>
      <c r="D1756" t="s">
        <v>116</v>
      </c>
      <c r="E1756" t="s">
        <v>22</v>
      </c>
      <c r="F1756" t="s">
        <v>23</v>
      </c>
      <c r="G1756" t="s">
        <v>24</v>
      </c>
      <c r="H1756">
        <v>7</v>
      </c>
      <c r="I1756">
        <v>37</v>
      </c>
      <c r="J1756">
        <v>66.78</v>
      </c>
      <c r="K1756">
        <v>58</v>
      </c>
      <c r="L1756">
        <v>2470.86</v>
      </c>
      <c r="M1756">
        <v>324.86</v>
      </c>
      <c r="N1756" s="1">
        <v>38219</v>
      </c>
      <c r="O1756" t="s">
        <v>25</v>
      </c>
      <c r="P1756">
        <v>3</v>
      </c>
      <c r="Q1756">
        <v>8</v>
      </c>
      <c r="R1756">
        <v>2004</v>
      </c>
      <c r="S1756" t="s">
        <v>261</v>
      </c>
    </row>
    <row r="1757" spans="1:19" x14ac:dyDescent="0.25">
      <c r="A1757">
        <v>10314</v>
      </c>
      <c r="B1757" t="s">
        <v>314</v>
      </c>
      <c r="C1757" t="s">
        <v>199</v>
      </c>
      <c r="D1757" t="s">
        <v>200</v>
      </c>
      <c r="E1757" t="s">
        <v>137</v>
      </c>
      <c r="F1757" t="s">
        <v>30</v>
      </c>
      <c r="G1757" t="s">
        <v>24</v>
      </c>
      <c r="H1757">
        <v>7</v>
      </c>
      <c r="I1757">
        <v>38</v>
      </c>
      <c r="J1757">
        <v>61.51</v>
      </c>
      <c r="K1757">
        <v>58</v>
      </c>
      <c r="L1757">
        <v>2337.38</v>
      </c>
      <c r="M1757">
        <v>133.38</v>
      </c>
      <c r="N1757" s="1">
        <v>38282</v>
      </c>
      <c r="O1757" t="s">
        <v>25</v>
      </c>
      <c r="P1757">
        <v>4</v>
      </c>
      <c r="Q1757">
        <v>10</v>
      </c>
      <c r="R1757">
        <v>2004</v>
      </c>
      <c r="S1757" t="s">
        <v>261</v>
      </c>
    </row>
    <row r="1758" spans="1:19" x14ac:dyDescent="0.25">
      <c r="A1758">
        <v>10325</v>
      </c>
      <c r="B1758" t="s">
        <v>314</v>
      </c>
      <c r="C1758" t="s">
        <v>63</v>
      </c>
      <c r="D1758" t="s">
        <v>64</v>
      </c>
      <c r="E1758" t="s">
        <v>44</v>
      </c>
      <c r="F1758" t="s">
        <v>30</v>
      </c>
      <c r="G1758" t="s">
        <v>33</v>
      </c>
      <c r="H1758">
        <v>7</v>
      </c>
      <c r="I1758">
        <v>44</v>
      </c>
      <c r="J1758">
        <v>100</v>
      </c>
      <c r="K1758">
        <v>58</v>
      </c>
      <c r="L1758">
        <v>5932.96</v>
      </c>
      <c r="M1758">
        <v>3380.96</v>
      </c>
      <c r="N1758" s="1">
        <v>38296</v>
      </c>
      <c r="O1758" t="s">
        <v>25</v>
      </c>
      <c r="P1758">
        <v>4</v>
      </c>
      <c r="Q1758">
        <v>11</v>
      </c>
      <c r="R1758">
        <v>2004</v>
      </c>
      <c r="S1758" t="s">
        <v>261</v>
      </c>
    </row>
    <row r="1759" spans="1:19" x14ac:dyDescent="0.25">
      <c r="A1759">
        <v>10252</v>
      </c>
      <c r="B1759" t="s">
        <v>315</v>
      </c>
      <c r="C1759" t="s">
        <v>46</v>
      </c>
      <c r="D1759" t="s">
        <v>32</v>
      </c>
      <c r="E1759" t="s">
        <v>29</v>
      </c>
      <c r="F1759" t="s">
        <v>30</v>
      </c>
      <c r="G1759" t="s">
        <v>33</v>
      </c>
      <c r="H1759">
        <v>7</v>
      </c>
      <c r="I1759">
        <v>48</v>
      </c>
      <c r="J1759">
        <v>72.41</v>
      </c>
      <c r="K1759">
        <v>81</v>
      </c>
      <c r="L1759">
        <v>3475.68</v>
      </c>
      <c r="M1759">
        <v>-412.32</v>
      </c>
      <c r="N1759" s="1">
        <v>38133</v>
      </c>
      <c r="O1759" t="s">
        <v>25</v>
      </c>
      <c r="P1759">
        <v>2</v>
      </c>
      <c r="Q1759">
        <v>5</v>
      </c>
      <c r="R1759">
        <v>2004</v>
      </c>
      <c r="S1759" t="s">
        <v>26</v>
      </c>
    </row>
    <row r="1760" spans="1:19" x14ac:dyDescent="0.25">
      <c r="A1760">
        <v>10273</v>
      </c>
      <c r="B1760" t="s">
        <v>316</v>
      </c>
      <c r="C1760" t="s">
        <v>151</v>
      </c>
      <c r="D1760" t="s">
        <v>152</v>
      </c>
      <c r="E1760" t="s">
        <v>153</v>
      </c>
      <c r="F1760" t="s">
        <v>30</v>
      </c>
      <c r="G1760" t="s">
        <v>24</v>
      </c>
      <c r="H1760">
        <v>7</v>
      </c>
      <c r="I1760">
        <v>21</v>
      </c>
      <c r="J1760">
        <v>65.34</v>
      </c>
      <c r="K1760">
        <v>66</v>
      </c>
      <c r="L1760">
        <v>1372.14</v>
      </c>
      <c r="M1760">
        <v>-13.86</v>
      </c>
      <c r="N1760" s="1">
        <v>38189</v>
      </c>
      <c r="O1760" t="s">
        <v>25</v>
      </c>
      <c r="P1760">
        <v>3</v>
      </c>
      <c r="Q1760">
        <v>7</v>
      </c>
      <c r="R1760">
        <v>2004</v>
      </c>
      <c r="S1760" t="s">
        <v>255</v>
      </c>
    </row>
    <row r="1761" spans="1:19" x14ac:dyDescent="0.25">
      <c r="A1761">
        <v>10106</v>
      </c>
      <c r="B1761" t="s">
        <v>317</v>
      </c>
      <c r="C1761" t="s">
        <v>227</v>
      </c>
      <c r="D1761" t="s">
        <v>228</v>
      </c>
      <c r="E1761" t="s">
        <v>110</v>
      </c>
      <c r="F1761" t="s">
        <v>30</v>
      </c>
      <c r="G1761" t="s">
        <v>33</v>
      </c>
      <c r="H1761">
        <v>7</v>
      </c>
      <c r="I1761">
        <v>31</v>
      </c>
      <c r="J1761">
        <v>100</v>
      </c>
      <c r="K1761">
        <v>91</v>
      </c>
      <c r="L1761">
        <v>3312.97</v>
      </c>
      <c r="M1761">
        <v>491.97</v>
      </c>
      <c r="N1761" s="1">
        <v>37669</v>
      </c>
      <c r="O1761" t="s">
        <v>25</v>
      </c>
      <c r="P1761">
        <v>1</v>
      </c>
      <c r="Q1761">
        <v>2</v>
      </c>
      <c r="R1761">
        <v>2003</v>
      </c>
      <c r="S1761" t="s">
        <v>234</v>
      </c>
    </row>
    <row r="1762" spans="1:19" x14ac:dyDescent="0.25">
      <c r="A1762">
        <v>10232</v>
      </c>
      <c r="B1762" t="s">
        <v>318</v>
      </c>
      <c r="C1762" t="s">
        <v>158</v>
      </c>
      <c r="D1762" t="s">
        <v>159</v>
      </c>
      <c r="E1762" t="s">
        <v>77</v>
      </c>
      <c r="F1762" t="s">
        <v>30</v>
      </c>
      <c r="G1762" t="s">
        <v>24</v>
      </c>
      <c r="H1762">
        <v>7</v>
      </c>
      <c r="I1762">
        <v>26</v>
      </c>
      <c r="J1762">
        <v>88.34</v>
      </c>
      <c r="K1762">
        <v>86</v>
      </c>
      <c r="L1762">
        <v>2296.84</v>
      </c>
      <c r="M1762">
        <v>60.84</v>
      </c>
      <c r="N1762" s="1">
        <v>38066</v>
      </c>
      <c r="O1762" t="s">
        <v>25</v>
      </c>
      <c r="P1762">
        <v>1</v>
      </c>
      <c r="Q1762">
        <v>3</v>
      </c>
      <c r="R1762">
        <v>2004</v>
      </c>
      <c r="S1762" t="s">
        <v>255</v>
      </c>
    </row>
    <row r="1763" spans="1:19" x14ac:dyDescent="0.25">
      <c r="A1763">
        <v>10327</v>
      </c>
      <c r="B1763" t="s">
        <v>318</v>
      </c>
      <c r="C1763" t="s">
        <v>135</v>
      </c>
      <c r="D1763" t="s">
        <v>136</v>
      </c>
      <c r="E1763" t="s">
        <v>137</v>
      </c>
      <c r="F1763" t="s">
        <v>30</v>
      </c>
      <c r="G1763" t="s">
        <v>33</v>
      </c>
      <c r="H1763">
        <v>7</v>
      </c>
      <c r="I1763">
        <v>20</v>
      </c>
      <c r="J1763">
        <v>100</v>
      </c>
      <c r="K1763">
        <v>86</v>
      </c>
      <c r="L1763">
        <v>3469.2</v>
      </c>
      <c r="M1763">
        <v>1749.2</v>
      </c>
      <c r="N1763" s="1">
        <v>38301</v>
      </c>
      <c r="O1763" t="s">
        <v>169</v>
      </c>
      <c r="P1763">
        <v>4</v>
      </c>
      <c r="Q1763">
        <v>11</v>
      </c>
      <c r="R1763">
        <v>2004</v>
      </c>
      <c r="S1763" t="s">
        <v>255</v>
      </c>
    </row>
    <row r="1764" spans="1:19" x14ac:dyDescent="0.25">
      <c r="A1764">
        <v>10119</v>
      </c>
      <c r="B1764" t="s">
        <v>319</v>
      </c>
      <c r="C1764" t="s">
        <v>67</v>
      </c>
      <c r="D1764" t="s">
        <v>68</v>
      </c>
      <c r="E1764" t="s">
        <v>69</v>
      </c>
      <c r="F1764" t="s">
        <v>30</v>
      </c>
      <c r="G1764" t="s">
        <v>24</v>
      </c>
      <c r="H1764">
        <v>7</v>
      </c>
      <c r="I1764">
        <v>29</v>
      </c>
      <c r="J1764">
        <v>94.14</v>
      </c>
      <c r="K1764">
        <v>90</v>
      </c>
      <c r="L1764">
        <v>2730.06</v>
      </c>
      <c r="M1764">
        <v>120.06</v>
      </c>
      <c r="N1764" s="1">
        <v>37739</v>
      </c>
      <c r="O1764" t="s">
        <v>25</v>
      </c>
      <c r="P1764">
        <v>2</v>
      </c>
      <c r="Q1764">
        <v>4</v>
      </c>
      <c r="R1764">
        <v>2003</v>
      </c>
      <c r="S1764" t="s">
        <v>255</v>
      </c>
    </row>
    <row r="1765" spans="1:19" x14ac:dyDescent="0.25">
      <c r="A1765">
        <v>10398</v>
      </c>
      <c r="B1765" t="s">
        <v>319</v>
      </c>
      <c r="C1765" t="s">
        <v>27</v>
      </c>
      <c r="D1765" t="s">
        <v>28</v>
      </c>
      <c r="E1765" t="s">
        <v>29</v>
      </c>
      <c r="F1765" t="s">
        <v>30</v>
      </c>
      <c r="G1765" t="s">
        <v>33</v>
      </c>
      <c r="H1765">
        <v>7</v>
      </c>
      <c r="I1765">
        <v>36</v>
      </c>
      <c r="J1765">
        <v>100</v>
      </c>
      <c r="K1765">
        <v>90</v>
      </c>
      <c r="L1765">
        <v>3910.32</v>
      </c>
      <c r="M1765">
        <v>670.32</v>
      </c>
      <c r="N1765" s="1">
        <v>38441</v>
      </c>
      <c r="O1765" t="s">
        <v>25</v>
      </c>
      <c r="P1765">
        <v>1</v>
      </c>
      <c r="Q1765">
        <v>3</v>
      </c>
      <c r="R1765">
        <v>2005</v>
      </c>
      <c r="S1765" t="s">
        <v>255</v>
      </c>
    </row>
    <row r="1766" spans="1:19" x14ac:dyDescent="0.25">
      <c r="A1766">
        <v>10340</v>
      </c>
      <c r="B1766" t="s">
        <v>320</v>
      </c>
      <c r="C1766" t="s">
        <v>145</v>
      </c>
      <c r="D1766" t="s">
        <v>146</v>
      </c>
      <c r="E1766" t="s">
        <v>80</v>
      </c>
      <c r="F1766" t="s">
        <v>30</v>
      </c>
      <c r="G1766" t="s">
        <v>33</v>
      </c>
      <c r="H1766">
        <v>7</v>
      </c>
      <c r="I1766">
        <v>55</v>
      </c>
      <c r="J1766">
        <v>87.75</v>
      </c>
      <c r="K1766">
        <v>99</v>
      </c>
      <c r="L1766">
        <v>4826.25</v>
      </c>
      <c r="M1766">
        <v>-618.75</v>
      </c>
      <c r="N1766" s="1">
        <v>38315</v>
      </c>
      <c r="O1766" t="s">
        <v>25</v>
      </c>
      <c r="P1766">
        <v>4</v>
      </c>
      <c r="Q1766">
        <v>11</v>
      </c>
      <c r="R1766">
        <v>2004</v>
      </c>
      <c r="S1766" t="s">
        <v>234</v>
      </c>
    </row>
    <row r="1767" spans="1:19" x14ac:dyDescent="0.25">
      <c r="A1767">
        <v>10197</v>
      </c>
      <c r="B1767" t="s">
        <v>321</v>
      </c>
      <c r="C1767" t="s">
        <v>145</v>
      </c>
      <c r="D1767" t="s">
        <v>146</v>
      </c>
      <c r="E1767" t="s">
        <v>80</v>
      </c>
      <c r="F1767" t="s">
        <v>30</v>
      </c>
      <c r="G1767" t="s">
        <v>33</v>
      </c>
      <c r="H1767">
        <v>7</v>
      </c>
      <c r="I1767">
        <v>50</v>
      </c>
      <c r="J1767">
        <v>78.790000000000006</v>
      </c>
      <c r="K1767">
        <v>72</v>
      </c>
      <c r="L1767">
        <v>3939.5</v>
      </c>
      <c r="M1767">
        <v>339.5</v>
      </c>
      <c r="N1767" s="1">
        <v>37951</v>
      </c>
      <c r="O1767" t="s">
        <v>25</v>
      </c>
      <c r="P1767">
        <v>4</v>
      </c>
      <c r="Q1767">
        <v>11</v>
      </c>
      <c r="R1767">
        <v>2003</v>
      </c>
      <c r="S1767" t="s">
        <v>255</v>
      </c>
    </row>
    <row r="1768" spans="1:19" x14ac:dyDescent="0.25">
      <c r="A1768">
        <v>10283</v>
      </c>
      <c r="B1768" t="s">
        <v>321</v>
      </c>
      <c r="C1768" t="s">
        <v>154</v>
      </c>
      <c r="D1768" t="s">
        <v>155</v>
      </c>
      <c r="E1768" t="s">
        <v>99</v>
      </c>
      <c r="F1768" t="s">
        <v>23</v>
      </c>
      <c r="G1768" t="s">
        <v>33</v>
      </c>
      <c r="H1768">
        <v>7</v>
      </c>
      <c r="I1768">
        <v>47</v>
      </c>
      <c r="J1768">
        <v>65.77</v>
      </c>
      <c r="K1768">
        <v>72</v>
      </c>
      <c r="L1768">
        <v>3091.19</v>
      </c>
      <c r="M1768">
        <v>-292.81</v>
      </c>
      <c r="N1768" s="1">
        <v>38219</v>
      </c>
      <c r="O1768" t="s">
        <v>25</v>
      </c>
      <c r="P1768">
        <v>3</v>
      </c>
      <c r="Q1768">
        <v>8</v>
      </c>
      <c r="R1768">
        <v>2004</v>
      </c>
      <c r="S1768" t="s">
        <v>255</v>
      </c>
    </row>
    <row r="1769" spans="1:19" x14ac:dyDescent="0.25">
      <c r="A1769">
        <v>10348</v>
      </c>
      <c r="B1769" t="s">
        <v>322</v>
      </c>
      <c r="C1769" t="s">
        <v>87</v>
      </c>
      <c r="D1769" t="s">
        <v>79</v>
      </c>
      <c r="E1769" t="s">
        <v>80</v>
      </c>
      <c r="F1769" t="s">
        <v>30</v>
      </c>
      <c r="G1769" t="s">
        <v>24</v>
      </c>
      <c r="H1769">
        <v>7</v>
      </c>
      <c r="I1769">
        <v>32</v>
      </c>
      <c r="J1769">
        <v>82.83</v>
      </c>
      <c r="K1769">
        <v>101</v>
      </c>
      <c r="L1769">
        <v>2650.56</v>
      </c>
      <c r="M1769">
        <v>-581.44000000000005</v>
      </c>
      <c r="N1769" s="1">
        <v>38292</v>
      </c>
      <c r="O1769" t="s">
        <v>25</v>
      </c>
      <c r="P1769">
        <v>4</v>
      </c>
      <c r="Q1769">
        <v>11</v>
      </c>
      <c r="R1769">
        <v>2004</v>
      </c>
      <c r="S1769" t="s">
        <v>83</v>
      </c>
    </row>
    <row r="1770" spans="1:19" x14ac:dyDescent="0.25">
      <c r="A1770">
        <v>10120</v>
      </c>
      <c r="B1770" t="s">
        <v>323</v>
      </c>
      <c r="C1770" t="s">
        <v>47</v>
      </c>
      <c r="D1770" t="s">
        <v>48</v>
      </c>
      <c r="E1770" t="s">
        <v>49</v>
      </c>
      <c r="F1770" t="s">
        <v>50</v>
      </c>
      <c r="G1770" t="s">
        <v>33</v>
      </c>
      <c r="H1770">
        <v>7</v>
      </c>
      <c r="I1770">
        <v>24</v>
      </c>
      <c r="J1770">
        <v>100</v>
      </c>
      <c r="K1770">
        <v>118</v>
      </c>
      <c r="L1770">
        <v>3417.12</v>
      </c>
      <c r="M1770">
        <v>585.12</v>
      </c>
      <c r="N1770" s="1">
        <v>37740</v>
      </c>
      <c r="O1770" t="s">
        <v>25</v>
      </c>
      <c r="P1770">
        <v>2</v>
      </c>
      <c r="Q1770">
        <v>4</v>
      </c>
      <c r="R1770">
        <v>2003</v>
      </c>
      <c r="S1770" t="s">
        <v>234</v>
      </c>
    </row>
    <row r="1771" spans="1:19" x14ac:dyDescent="0.25">
      <c r="A1771">
        <v>10284</v>
      </c>
      <c r="B1771" t="s">
        <v>324</v>
      </c>
      <c r="C1771" t="s">
        <v>223</v>
      </c>
      <c r="D1771" t="s">
        <v>224</v>
      </c>
      <c r="E1771" t="s">
        <v>44</v>
      </c>
      <c r="F1771" t="s">
        <v>30</v>
      </c>
      <c r="G1771" t="s">
        <v>24</v>
      </c>
      <c r="H1771">
        <v>7</v>
      </c>
      <c r="I1771">
        <v>25</v>
      </c>
      <c r="J1771">
        <v>69.599999999999994</v>
      </c>
      <c r="K1771">
        <v>80</v>
      </c>
      <c r="L1771">
        <v>1740</v>
      </c>
      <c r="M1771">
        <v>-260</v>
      </c>
      <c r="N1771" s="1">
        <v>38220</v>
      </c>
      <c r="O1771" t="s">
        <v>25</v>
      </c>
      <c r="P1771">
        <v>3</v>
      </c>
      <c r="Q1771">
        <v>8</v>
      </c>
      <c r="R1771">
        <v>2004</v>
      </c>
      <c r="S1771" t="s">
        <v>234</v>
      </c>
    </row>
    <row r="1772" spans="1:19" x14ac:dyDescent="0.25">
      <c r="A1772">
        <v>10248</v>
      </c>
      <c r="B1772" t="s">
        <v>325</v>
      </c>
      <c r="C1772" t="s">
        <v>20</v>
      </c>
      <c r="D1772" t="s">
        <v>21</v>
      </c>
      <c r="E1772" t="s">
        <v>22</v>
      </c>
      <c r="F1772" t="s">
        <v>23</v>
      </c>
      <c r="G1772" t="s">
        <v>33</v>
      </c>
      <c r="H1772">
        <v>7</v>
      </c>
      <c r="I1772">
        <v>30</v>
      </c>
      <c r="J1772">
        <v>100</v>
      </c>
      <c r="K1772">
        <v>100</v>
      </c>
      <c r="L1772">
        <v>3245.4</v>
      </c>
      <c r="M1772">
        <v>245.4</v>
      </c>
      <c r="N1772" s="1">
        <v>38114</v>
      </c>
      <c r="O1772" t="s">
        <v>141</v>
      </c>
      <c r="P1772">
        <v>2</v>
      </c>
      <c r="Q1772">
        <v>5</v>
      </c>
      <c r="R1772">
        <v>2004</v>
      </c>
      <c r="S1772" t="s">
        <v>255</v>
      </c>
    </row>
    <row r="1773" spans="1:19" x14ac:dyDescent="0.25">
      <c r="A1773">
        <v>10414</v>
      </c>
      <c r="B1773" t="s">
        <v>325</v>
      </c>
      <c r="C1773" t="s">
        <v>156</v>
      </c>
      <c r="D1773" t="s">
        <v>157</v>
      </c>
      <c r="E1773" t="s">
        <v>22</v>
      </c>
      <c r="F1773" t="s">
        <v>23</v>
      </c>
      <c r="G1773" t="s">
        <v>33</v>
      </c>
      <c r="H1773">
        <v>7</v>
      </c>
      <c r="I1773">
        <v>28</v>
      </c>
      <c r="J1773">
        <v>100</v>
      </c>
      <c r="K1773">
        <v>100</v>
      </c>
      <c r="L1773">
        <v>3029.04</v>
      </c>
      <c r="M1773">
        <v>229.04</v>
      </c>
      <c r="N1773" s="1">
        <v>38478</v>
      </c>
      <c r="O1773" t="s">
        <v>164</v>
      </c>
      <c r="P1773">
        <v>2</v>
      </c>
      <c r="Q1773">
        <v>5</v>
      </c>
      <c r="R1773">
        <v>2005</v>
      </c>
      <c r="S1773" t="s">
        <v>255</v>
      </c>
    </row>
    <row r="1774" spans="1:19" x14ac:dyDescent="0.25">
      <c r="A1774">
        <v>10105</v>
      </c>
      <c r="B1774" t="s">
        <v>326</v>
      </c>
      <c r="C1774" t="s">
        <v>135</v>
      </c>
      <c r="D1774" t="s">
        <v>136</v>
      </c>
      <c r="E1774" t="s">
        <v>137</v>
      </c>
      <c r="F1774" t="s">
        <v>30</v>
      </c>
      <c r="G1774" t="s">
        <v>24</v>
      </c>
      <c r="H1774">
        <v>7</v>
      </c>
      <c r="I1774">
        <v>22</v>
      </c>
      <c r="J1774">
        <v>100</v>
      </c>
      <c r="K1774">
        <v>99</v>
      </c>
      <c r="L1774">
        <v>2556.1799999999998</v>
      </c>
      <c r="M1774">
        <v>378.18</v>
      </c>
      <c r="N1774" s="1">
        <v>37663</v>
      </c>
      <c r="O1774" t="s">
        <v>25</v>
      </c>
      <c r="P1774">
        <v>1</v>
      </c>
      <c r="Q1774">
        <v>2</v>
      </c>
      <c r="R1774">
        <v>2003</v>
      </c>
      <c r="S1774" t="s">
        <v>255</v>
      </c>
    </row>
    <row r="1775" spans="1:19" x14ac:dyDescent="0.25">
      <c r="A1775">
        <v>10129</v>
      </c>
      <c r="B1775" t="s">
        <v>326</v>
      </c>
      <c r="C1775" t="s">
        <v>138</v>
      </c>
      <c r="D1775" t="s">
        <v>139</v>
      </c>
      <c r="E1775" t="s">
        <v>77</v>
      </c>
      <c r="F1775" t="s">
        <v>30</v>
      </c>
      <c r="G1775" t="s">
        <v>24</v>
      </c>
      <c r="H1775">
        <v>7</v>
      </c>
      <c r="I1775">
        <v>30</v>
      </c>
      <c r="J1775">
        <v>85.41</v>
      </c>
      <c r="K1775">
        <v>99</v>
      </c>
      <c r="L1775">
        <v>2562.3000000000002</v>
      </c>
      <c r="M1775">
        <v>-407.7</v>
      </c>
      <c r="N1775" s="1">
        <v>37784</v>
      </c>
      <c r="O1775" t="s">
        <v>25</v>
      </c>
      <c r="P1775">
        <v>2</v>
      </c>
      <c r="Q1775">
        <v>6</v>
      </c>
      <c r="R1775">
        <v>2003</v>
      </c>
      <c r="S1775" t="s">
        <v>255</v>
      </c>
    </row>
    <row r="1776" spans="1:19" x14ac:dyDescent="0.25">
      <c r="A1776">
        <v>10337</v>
      </c>
      <c r="B1776" t="s">
        <v>326</v>
      </c>
      <c r="C1776" t="s">
        <v>90</v>
      </c>
      <c r="D1776" t="s">
        <v>21</v>
      </c>
      <c r="E1776" t="s">
        <v>22</v>
      </c>
      <c r="F1776" t="s">
        <v>23</v>
      </c>
      <c r="G1776" t="s">
        <v>24</v>
      </c>
      <c r="H1776">
        <v>7</v>
      </c>
      <c r="I1776">
        <v>36</v>
      </c>
      <c r="J1776">
        <v>71.89</v>
      </c>
      <c r="K1776">
        <v>99</v>
      </c>
      <c r="L1776">
        <v>2588.04</v>
      </c>
      <c r="M1776">
        <v>-975.96</v>
      </c>
      <c r="N1776" s="1">
        <v>38312</v>
      </c>
      <c r="O1776" t="s">
        <v>25</v>
      </c>
      <c r="P1776">
        <v>4</v>
      </c>
      <c r="Q1776">
        <v>11</v>
      </c>
      <c r="R1776">
        <v>2004</v>
      </c>
      <c r="S1776" t="s">
        <v>255</v>
      </c>
    </row>
    <row r="1777" spans="1:19" x14ac:dyDescent="0.25">
      <c r="A1777">
        <v>10262</v>
      </c>
      <c r="B1777" t="s">
        <v>327</v>
      </c>
      <c r="C1777" t="s">
        <v>78</v>
      </c>
      <c r="D1777" t="s">
        <v>79</v>
      </c>
      <c r="E1777" t="s">
        <v>80</v>
      </c>
      <c r="F1777" t="s">
        <v>30</v>
      </c>
      <c r="G1777" t="s">
        <v>24</v>
      </c>
      <c r="H1777">
        <v>7</v>
      </c>
      <c r="I1777">
        <v>35</v>
      </c>
      <c r="J1777">
        <v>71.069999999999993</v>
      </c>
      <c r="K1777">
        <v>74</v>
      </c>
      <c r="L1777">
        <v>2487.4499999999998</v>
      </c>
      <c r="M1777">
        <v>-102.55</v>
      </c>
      <c r="N1777" s="1">
        <v>38162</v>
      </c>
      <c r="O1777" t="s">
        <v>141</v>
      </c>
      <c r="P1777">
        <v>2</v>
      </c>
      <c r="Q1777">
        <v>6</v>
      </c>
      <c r="R1777">
        <v>2004</v>
      </c>
      <c r="S1777" t="s">
        <v>234</v>
      </c>
    </row>
    <row r="1778" spans="1:19" x14ac:dyDescent="0.25">
      <c r="A1778">
        <v>10316</v>
      </c>
      <c r="B1778" t="s">
        <v>327</v>
      </c>
      <c r="C1778" t="s">
        <v>158</v>
      </c>
      <c r="D1778" t="s">
        <v>159</v>
      </c>
      <c r="E1778" t="s">
        <v>77</v>
      </c>
      <c r="F1778" t="s">
        <v>30</v>
      </c>
      <c r="G1778" t="s">
        <v>24</v>
      </c>
      <c r="H1778">
        <v>7</v>
      </c>
      <c r="I1778">
        <v>44</v>
      </c>
      <c r="J1778">
        <v>62.19</v>
      </c>
      <c r="K1778">
        <v>74</v>
      </c>
      <c r="L1778">
        <v>2736.36</v>
      </c>
      <c r="M1778">
        <v>-519.64</v>
      </c>
      <c r="N1778" s="1">
        <v>38292</v>
      </c>
      <c r="O1778" t="s">
        <v>25</v>
      </c>
      <c r="P1778">
        <v>4</v>
      </c>
      <c r="Q1778">
        <v>11</v>
      </c>
      <c r="R1778">
        <v>2004</v>
      </c>
      <c r="S1778" t="s">
        <v>234</v>
      </c>
    </row>
    <row r="1779" spans="1:19" x14ac:dyDescent="0.25">
      <c r="A1779">
        <v>10131</v>
      </c>
      <c r="B1779" t="s">
        <v>328</v>
      </c>
      <c r="C1779" t="s">
        <v>235</v>
      </c>
      <c r="D1779" t="s">
        <v>208</v>
      </c>
      <c r="E1779" t="s">
        <v>22</v>
      </c>
      <c r="F1779" t="s">
        <v>23</v>
      </c>
      <c r="G1779" t="s">
        <v>24</v>
      </c>
      <c r="H1779">
        <v>7</v>
      </c>
      <c r="I1779">
        <v>21</v>
      </c>
      <c r="J1779">
        <v>41.71</v>
      </c>
      <c r="K1779">
        <v>49</v>
      </c>
      <c r="L1779">
        <v>875.91</v>
      </c>
      <c r="M1779">
        <v>-153.09</v>
      </c>
      <c r="N1779" s="1">
        <v>37788</v>
      </c>
      <c r="O1779" t="s">
        <v>25</v>
      </c>
      <c r="P1779">
        <v>2</v>
      </c>
      <c r="Q1779">
        <v>6</v>
      </c>
      <c r="R1779">
        <v>2003</v>
      </c>
      <c r="S1779" t="s">
        <v>234</v>
      </c>
    </row>
    <row r="1780" spans="1:19" x14ac:dyDescent="0.25">
      <c r="A1780">
        <v>10178</v>
      </c>
      <c r="B1780" t="s">
        <v>328</v>
      </c>
      <c r="C1780" t="s">
        <v>142</v>
      </c>
      <c r="D1780" t="s">
        <v>143</v>
      </c>
      <c r="E1780" t="s">
        <v>29</v>
      </c>
      <c r="F1780" t="s">
        <v>30</v>
      </c>
      <c r="G1780" t="s">
        <v>24</v>
      </c>
      <c r="H1780">
        <v>7</v>
      </c>
      <c r="I1780">
        <v>45</v>
      </c>
      <c r="J1780">
        <v>51.15</v>
      </c>
      <c r="K1780">
        <v>49</v>
      </c>
      <c r="L1780">
        <v>2301.75</v>
      </c>
      <c r="M1780">
        <v>96.75</v>
      </c>
      <c r="N1780" s="1">
        <v>37933</v>
      </c>
      <c r="O1780" t="s">
        <v>25</v>
      </c>
      <c r="P1780">
        <v>4</v>
      </c>
      <c r="Q1780">
        <v>11</v>
      </c>
      <c r="R1780">
        <v>2003</v>
      </c>
      <c r="S1780" t="s">
        <v>234</v>
      </c>
    </row>
    <row r="1781" spans="1:19" x14ac:dyDescent="0.25">
      <c r="A1781">
        <v>10222</v>
      </c>
      <c r="B1781" t="s">
        <v>328</v>
      </c>
      <c r="C1781" t="s">
        <v>149</v>
      </c>
      <c r="D1781" t="s">
        <v>150</v>
      </c>
      <c r="E1781" t="s">
        <v>22</v>
      </c>
      <c r="F1781" t="s">
        <v>23</v>
      </c>
      <c r="G1781" t="s">
        <v>24</v>
      </c>
      <c r="H1781">
        <v>7</v>
      </c>
      <c r="I1781">
        <v>31</v>
      </c>
      <c r="J1781">
        <v>45.69</v>
      </c>
      <c r="K1781">
        <v>49</v>
      </c>
      <c r="L1781">
        <v>1416.39</v>
      </c>
      <c r="M1781">
        <v>-102.61</v>
      </c>
      <c r="N1781" s="1">
        <v>38036</v>
      </c>
      <c r="O1781" t="s">
        <v>25</v>
      </c>
      <c r="P1781">
        <v>1</v>
      </c>
      <c r="Q1781">
        <v>2</v>
      </c>
      <c r="R1781">
        <v>2004</v>
      </c>
      <c r="S1781" t="s">
        <v>234</v>
      </c>
    </row>
    <row r="1782" spans="1:19" x14ac:dyDescent="0.25">
      <c r="A1782">
        <v>10261</v>
      </c>
      <c r="B1782" t="s">
        <v>329</v>
      </c>
      <c r="C1782" t="s">
        <v>123</v>
      </c>
      <c r="D1782" t="s">
        <v>124</v>
      </c>
      <c r="E1782" t="s">
        <v>99</v>
      </c>
      <c r="F1782" t="s">
        <v>23</v>
      </c>
      <c r="G1782" t="s">
        <v>24</v>
      </c>
      <c r="H1782">
        <v>7</v>
      </c>
      <c r="I1782">
        <v>29</v>
      </c>
      <c r="J1782">
        <v>50.78</v>
      </c>
      <c r="K1782">
        <v>54</v>
      </c>
      <c r="L1782">
        <v>1472.62</v>
      </c>
      <c r="M1782">
        <v>-93.38</v>
      </c>
      <c r="N1782" s="1">
        <v>38155</v>
      </c>
      <c r="O1782" t="s">
        <v>25</v>
      </c>
      <c r="P1782">
        <v>2</v>
      </c>
      <c r="Q1782">
        <v>6</v>
      </c>
      <c r="R1782">
        <v>2004</v>
      </c>
      <c r="S1782" t="s">
        <v>255</v>
      </c>
    </row>
    <row r="1783" spans="1:19" x14ac:dyDescent="0.25">
      <c r="A1783">
        <v>10150</v>
      </c>
      <c r="B1783" t="s">
        <v>82</v>
      </c>
      <c r="C1783" t="s">
        <v>88</v>
      </c>
      <c r="D1783" t="s">
        <v>89</v>
      </c>
      <c r="E1783" t="s">
        <v>89</v>
      </c>
      <c r="F1783" t="s">
        <v>50</v>
      </c>
      <c r="G1783" t="s">
        <v>70</v>
      </c>
      <c r="H1783">
        <v>8</v>
      </c>
      <c r="I1783">
        <v>45</v>
      </c>
      <c r="J1783">
        <v>100</v>
      </c>
      <c r="K1783">
        <v>214</v>
      </c>
      <c r="L1783">
        <v>10993.5</v>
      </c>
      <c r="M1783">
        <v>1363.5</v>
      </c>
      <c r="N1783" s="1">
        <v>37883</v>
      </c>
      <c r="O1783" t="s">
        <v>25</v>
      </c>
      <c r="P1783">
        <v>3</v>
      </c>
      <c r="Q1783">
        <v>9</v>
      </c>
      <c r="R1783">
        <v>2003</v>
      </c>
      <c r="S1783" t="s">
        <v>83</v>
      </c>
    </row>
    <row r="1784" spans="1:19" x14ac:dyDescent="0.25">
      <c r="A1784">
        <v>10183</v>
      </c>
      <c r="B1784" t="s">
        <v>82</v>
      </c>
      <c r="C1784" t="s">
        <v>93</v>
      </c>
      <c r="D1784" t="s">
        <v>94</v>
      </c>
      <c r="E1784" t="s">
        <v>22</v>
      </c>
      <c r="F1784" t="s">
        <v>23</v>
      </c>
      <c r="G1784" t="s">
        <v>33</v>
      </c>
      <c r="H1784">
        <v>8</v>
      </c>
      <c r="I1784">
        <v>23</v>
      </c>
      <c r="J1784">
        <v>100</v>
      </c>
      <c r="K1784">
        <v>214</v>
      </c>
      <c r="L1784">
        <v>5372.57</v>
      </c>
      <c r="M1784">
        <v>450.57</v>
      </c>
      <c r="N1784" s="1">
        <v>37938</v>
      </c>
      <c r="O1784" t="s">
        <v>25</v>
      </c>
      <c r="P1784">
        <v>4</v>
      </c>
      <c r="Q1784">
        <v>11</v>
      </c>
      <c r="R1784">
        <v>2003</v>
      </c>
      <c r="S1784" t="s">
        <v>83</v>
      </c>
    </row>
    <row r="1785" spans="1:19" x14ac:dyDescent="0.25">
      <c r="A1785">
        <v>10361</v>
      </c>
      <c r="B1785" t="s">
        <v>126</v>
      </c>
      <c r="C1785" t="s">
        <v>71</v>
      </c>
      <c r="D1785" t="s">
        <v>72</v>
      </c>
      <c r="E1785" t="s">
        <v>49</v>
      </c>
      <c r="F1785" t="s">
        <v>50</v>
      </c>
      <c r="G1785" t="s">
        <v>24</v>
      </c>
      <c r="H1785">
        <v>8</v>
      </c>
      <c r="I1785">
        <v>26</v>
      </c>
      <c r="J1785">
        <v>51.15</v>
      </c>
      <c r="K1785">
        <v>118</v>
      </c>
      <c r="L1785">
        <v>1329.9</v>
      </c>
      <c r="M1785">
        <v>-1738.1</v>
      </c>
      <c r="N1785" s="1">
        <v>38338</v>
      </c>
      <c r="O1785" t="s">
        <v>25</v>
      </c>
      <c r="P1785">
        <v>4</v>
      </c>
      <c r="Q1785">
        <v>12</v>
      </c>
      <c r="R1785">
        <v>2004</v>
      </c>
      <c r="S1785" t="s">
        <v>26</v>
      </c>
    </row>
    <row r="1786" spans="1:19" x14ac:dyDescent="0.25">
      <c r="A1786">
        <v>10145</v>
      </c>
      <c r="B1786" t="s">
        <v>133</v>
      </c>
      <c r="C1786" t="s">
        <v>34</v>
      </c>
      <c r="D1786" t="s">
        <v>35</v>
      </c>
      <c r="E1786" t="s">
        <v>22</v>
      </c>
      <c r="F1786" t="s">
        <v>23</v>
      </c>
      <c r="G1786" t="s">
        <v>33</v>
      </c>
      <c r="H1786">
        <v>8</v>
      </c>
      <c r="I1786">
        <v>33</v>
      </c>
      <c r="J1786">
        <v>100</v>
      </c>
      <c r="K1786">
        <v>193</v>
      </c>
      <c r="L1786">
        <v>5176.38</v>
      </c>
      <c r="M1786">
        <v>-1192.6199999999999</v>
      </c>
      <c r="N1786" s="1">
        <v>37858</v>
      </c>
      <c r="O1786" t="s">
        <v>25</v>
      </c>
      <c r="P1786">
        <v>3</v>
      </c>
      <c r="Q1786">
        <v>8</v>
      </c>
      <c r="R1786">
        <v>2003</v>
      </c>
      <c r="S1786" t="s">
        <v>26</v>
      </c>
    </row>
    <row r="1787" spans="1:19" x14ac:dyDescent="0.25">
      <c r="A1787">
        <v>10285</v>
      </c>
      <c r="B1787" t="s">
        <v>133</v>
      </c>
      <c r="C1787" t="s">
        <v>58</v>
      </c>
      <c r="D1787" t="s">
        <v>59</v>
      </c>
      <c r="E1787" t="s">
        <v>22</v>
      </c>
      <c r="F1787" t="s">
        <v>23</v>
      </c>
      <c r="G1787" t="s">
        <v>33</v>
      </c>
      <c r="H1787">
        <v>8</v>
      </c>
      <c r="I1787">
        <v>27</v>
      </c>
      <c r="J1787">
        <v>100</v>
      </c>
      <c r="K1787">
        <v>193</v>
      </c>
      <c r="L1787">
        <v>5438.07</v>
      </c>
      <c r="M1787">
        <v>227.07</v>
      </c>
      <c r="N1787" s="1">
        <v>38226</v>
      </c>
      <c r="O1787" t="s">
        <v>25</v>
      </c>
      <c r="P1787">
        <v>3</v>
      </c>
      <c r="Q1787">
        <v>8</v>
      </c>
      <c r="R1787">
        <v>2004</v>
      </c>
      <c r="S1787" t="s">
        <v>26</v>
      </c>
    </row>
    <row r="1788" spans="1:19" x14ac:dyDescent="0.25">
      <c r="A1788">
        <v>10209</v>
      </c>
      <c r="B1788" t="s">
        <v>134</v>
      </c>
      <c r="C1788" t="s">
        <v>147</v>
      </c>
      <c r="D1788" t="s">
        <v>148</v>
      </c>
      <c r="E1788" t="s">
        <v>22</v>
      </c>
      <c r="F1788" t="s">
        <v>23</v>
      </c>
      <c r="G1788" t="s">
        <v>33</v>
      </c>
      <c r="H1788">
        <v>8</v>
      </c>
      <c r="I1788">
        <v>39</v>
      </c>
      <c r="J1788">
        <v>100</v>
      </c>
      <c r="K1788">
        <v>136</v>
      </c>
      <c r="L1788">
        <v>5197.92</v>
      </c>
      <c r="M1788">
        <v>-106.08</v>
      </c>
      <c r="N1788" s="1">
        <v>37995</v>
      </c>
      <c r="O1788" t="s">
        <v>25</v>
      </c>
      <c r="P1788">
        <v>1</v>
      </c>
      <c r="Q1788">
        <v>1</v>
      </c>
      <c r="R1788">
        <v>2004</v>
      </c>
      <c r="S1788" t="s">
        <v>83</v>
      </c>
    </row>
    <row r="1789" spans="1:19" x14ac:dyDescent="0.25">
      <c r="A1789">
        <v>10337</v>
      </c>
      <c r="B1789" t="s">
        <v>134</v>
      </c>
      <c r="C1789" t="s">
        <v>90</v>
      </c>
      <c r="D1789" t="s">
        <v>21</v>
      </c>
      <c r="E1789" t="s">
        <v>22</v>
      </c>
      <c r="F1789" t="s">
        <v>23</v>
      </c>
      <c r="G1789" t="s">
        <v>24</v>
      </c>
      <c r="H1789">
        <v>8</v>
      </c>
      <c r="I1789">
        <v>25</v>
      </c>
      <c r="J1789">
        <v>48.05</v>
      </c>
      <c r="K1789">
        <v>136</v>
      </c>
      <c r="L1789">
        <v>1201.25</v>
      </c>
      <c r="M1789">
        <v>-2198.75</v>
      </c>
      <c r="N1789" s="1">
        <v>38312</v>
      </c>
      <c r="O1789" t="s">
        <v>25</v>
      </c>
      <c r="P1789">
        <v>4</v>
      </c>
      <c r="Q1789">
        <v>11</v>
      </c>
      <c r="R1789">
        <v>2004</v>
      </c>
      <c r="S1789" t="s">
        <v>83</v>
      </c>
    </row>
    <row r="1790" spans="1:19" x14ac:dyDescent="0.25">
      <c r="A1790">
        <v>10114</v>
      </c>
      <c r="B1790" t="s">
        <v>165</v>
      </c>
      <c r="C1790" t="s">
        <v>166</v>
      </c>
      <c r="D1790" t="s">
        <v>32</v>
      </c>
      <c r="E1790" t="s">
        <v>29</v>
      </c>
      <c r="F1790" t="s">
        <v>30</v>
      </c>
      <c r="G1790" t="s">
        <v>33</v>
      </c>
      <c r="H1790">
        <v>8</v>
      </c>
      <c r="I1790">
        <v>31</v>
      </c>
      <c r="J1790">
        <v>100</v>
      </c>
      <c r="K1790">
        <v>147</v>
      </c>
      <c r="L1790">
        <v>4305.28</v>
      </c>
      <c r="M1790">
        <v>-251.72</v>
      </c>
      <c r="N1790" s="1">
        <v>37712</v>
      </c>
      <c r="O1790" t="s">
        <v>25</v>
      </c>
      <c r="P1790">
        <v>2</v>
      </c>
      <c r="Q1790">
        <v>4</v>
      </c>
      <c r="R1790">
        <v>2003</v>
      </c>
      <c r="S1790" t="s">
        <v>83</v>
      </c>
    </row>
    <row r="1791" spans="1:19" x14ac:dyDescent="0.25">
      <c r="A1791">
        <v>10322</v>
      </c>
      <c r="B1791" t="s">
        <v>165</v>
      </c>
      <c r="C1791" t="s">
        <v>117</v>
      </c>
      <c r="D1791" t="s">
        <v>118</v>
      </c>
      <c r="E1791" t="s">
        <v>22</v>
      </c>
      <c r="F1791" t="s">
        <v>23</v>
      </c>
      <c r="G1791" t="s">
        <v>24</v>
      </c>
      <c r="H1791">
        <v>8</v>
      </c>
      <c r="I1791">
        <v>46</v>
      </c>
      <c r="J1791">
        <v>61.99</v>
      </c>
      <c r="K1791">
        <v>147</v>
      </c>
      <c r="L1791">
        <v>2851.54</v>
      </c>
      <c r="M1791">
        <v>-3910.46</v>
      </c>
      <c r="N1791" s="1">
        <v>38295</v>
      </c>
      <c r="O1791" t="s">
        <v>25</v>
      </c>
      <c r="P1791">
        <v>4</v>
      </c>
      <c r="Q1791">
        <v>11</v>
      </c>
      <c r="R1791">
        <v>2004</v>
      </c>
      <c r="S1791" t="s">
        <v>83</v>
      </c>
    </row>
    <row r="1792" spans="1:19" x14ac:dyDescent="0.25">
      <c r="A1792">
        <v>10203</v>
      </c>
      <c r="B1792" t="s">
        <v>172</v>
      </c>
      <c r="C1792" t="s">
        <v>78</v>
      </c>
      <c r="D1792" t="s">
        <v>79</v>
      </c>
      <c r="E1792" t="s">
        <v>80</v>
      </c>
      <c r="F1792" t="s">
        <v>30</v>
      </c>
      <c r="G1792" t="s">
        <v>33</v>
      </c>
      <c r="H1792">
        <v>8</v>
      </c>
      <c r="I1792">
        <v>20</v>
      </c>
      <c r="J1792">
        <v>100</v>
      </c>
      <c r="K1792">
        <v>194</v>
      </c>
      <c r="L1792">
        <v>3930.4</v>
      </c>
      <c r="M1792">
        <v>50.4</v>
      </c>
      <c r="N1792" s="1">
        <v>37957</v>
      </c>
      <c r="O1792" t="s">
        <v>25</v>
      </c>
      <c r="P1792">
        <v>4</v>
      </c>
      <c r="Q1792">
        <v>12</v>
      </c>
      <c r="R1792">
        <v>2003</v>
      </c>
      <c r="S1792" t="s">
        <v>83</v>
      </c>
    </row>
    <row r="1793" spans="1:19" x14ac:dyDescent="0.25">
      <c r="A1793">
        <v>10293</v>
      </c>
      <c r="B1793" t="s">
        <v>191</v>
      </c>
      <c r="C1793" t="s">
        <v>108</v>
      </c>
      <c r="D1793" t="s">
        <v>109</v>
      </c>
      <c r="E1793" t="s">
        <v>110</v>
      </c>
      <c r="F1793" t="s">
        <v>30</v>
      </c>
      <c r="G1793" t="s">
        <v>70</v>
      </c>
      <c r="H1793">
        <v>8</v>
      </c>
      <c r="I1793">
        <v>46</v>
      </c>
      <c r="J1793">
        <v>100</v>
      </c>
      <c r="K1793">
        <v>207</v>
      </c>
      <c r="L1793">
        <v>8411.56</v>
      </c>
      <c r="M1793">
        <v>-1110.44</v>
      </c>
      <c r="N1793" s="1">
        <v>38239</v>
      </c>
      <c r="O1793" t="s">
        <v>25</v>
      </c>
      <c r="P1793">
        <v>3</v>
      </c>
      <c r="Q1793">
        <v>9</v>
      </c>
      <c r="R1793">
        <v>2004</v>
      </c>
      <c r="S1793" t="s">
        <v>83</v>
      </c>
    </row>
    <row r="1794" spans="1:19" x14ac:dyDescent="0.25">
      <c r="A1794">
        <v>10325</v>
      </c>
      <c r="B1794" t="s">
        <v>191</v>
      </c>
      <c r="C1794" t="s">
        <v>63</v>
      </c>
      <c r="D1794" t="s">
        <v>64</v>
      </c>
      <c r="E1794" t="s">
        <v>44</v>
      </c>
      <c r="F1794" t="s">
        <v>30</v>
      </c>
      <c r="G1794" t="s">
        <v>24</v>
      </c>
      <c r="H1794">
        <v>8</v>
      </c>
      <c r="I1794">
        <v>42</v>
      </c>
      <c r="J1794">
        <v>64</v>
      </c>
      <c r="K1794">
        <v>207</v>
      </c>
      <c r="L1794">
        <v>2688</v>
      </c>
      <c r="M1794">
        <v>-6006</v>
      </c>
      <c r="N1794" s="1">
        <v>38296</v>
      </c>
      <c r="O1794" t="s">
        <v>25</v>
      </c>
      <c r="P1794">
        <v>4</v>
      </c>
      <c r="Q1794">
        <v>11</v>
      </c>
      <c r="R1794">
        <v>2004</v>
      </c>
      <c r="S1794" t="s">
        <v>83</v>
      </c>
    </row>
    <row r="1795" spans="1:19" x14ac:dyDescent="0.25">
      <c r="A1795">
        <v>10348</v>
      </c>
      <c r="B1795" t="s">
        <v>191</v>
      </c>
      <c r="C1795" t="s">
        <v>87</v>
      </c>
      <c r="D1795" t="s">
        <v>79</v>
      </c>
      <c r="E1795" t="s">
        <v>80</v>
      </c>
      <c r="F1795" t="s">
        <v>30</v>
      </c>
      <c r="G1795" t="s">
        <v>24</v>
      </c>
      <c r="H1795">
        <v>8</v>
      </c>
      <c r="I1795">
        <v>48</v>
      </c>
      <c r="J1795">
        <v>52.36</v>
      </c>
      <c r="K1795">
        <v>207</v>
      </c>
      <c r="L1795">
        <v>2513.2800000000002</v>
      </c>
      <c r="M1795">
        <v>-7422.72</v>
      </c>
      <c r="N1795" s="1">
        <v>38292</v>
      </c>
      <c r="O1795" t="s">
        <v>25</v>
      </c>
      <c r="P1795">
        <v>4</v>
      </c>
      <c r="Q1795">
        <v>11</v>
      </c>
      <c r="R1795">
        <v>2004</v>
      </c>
      <c r="S1795" t="s">
        <v>83</v>
      </c>
    </row>
    <row r="1796" spans="1:19" x14ac:dyDescent="0.25">
      <c r="A1796">
        <v>10359</v>
      </c>
      <c r="B1796" t="s">
        <v>191</v>
      </c>
      <c r="C1796" t="s">
        <v>27</v>
      </c>
      <c r="D1796" t="s">
        <v>28</v>
      </c>
      <c r="E1796" t="s">
        <v>29</v>
      </c>
      <c r="F1796" t="s">
        <v>30</v>
      </c>
      <c r="G1796" t="s">
        <v>33</v>
      </c>
      <c r="H1796">
        <v>8</v>
      </c>
      <c r="I1796">
        <v>42</v>
      </c>
      <c r="J1796">
        <v>100</v>
      </c>
      <c r="K1796">
        <v>207</v>
      </c>
      <c r="L1796">
        <v>4764.4799999999996</v>
      </c>
      <c r="M1796">
        <v>-3929.52</v>
      </c>
      <c r="N1796" s="1">
        <v>38336</v>
      </c>
      <c r="O1796" t="s">
        <v>25</v>
      </c>
      <c r="P1796">
        <v>4</v>
      </c>
      <c r="Q1796">
        <v>12</v>
      </c>
      <c r="R1796">
        <v>2004</v>
      </c>
      <c r="S1796" t="s">
        <v>83</v>
      </c>
    </row>
    <row r="1797" spans="1:19" x14ac:dyDescent="0.25">
      <c r="A1797">
        <v>10103</v>
      </c>
      <c r="B1797" t="s">
        <v>201</v>
      </c>
      <c r="C1797" t="s">
        <v>63</v>
      </c>
      <c r="D1797" t="s">
        <v>64</v>
      </c>
      <c r="E1797" t="s">
        <v>44</v>
      </c>
      <c r="F1797" t="s">
        <v>30</v>
      </c>
      <c r="G1797" t="s">
        <v>33</v>
      </c>
      <c r="H1797">
        <v>8</v>
      </c>
      <c r="I1797">
        <v>27</v>
      </c>
      <c r="J1797">
        <v>100</v>
      </c>
      <c r="K1797">
        <v>136</v>
      </c>
      <c r="L1797">
        <v>3394.98</v>
      </c>
      <c r="M1797">
        <v>-277.02</v>
      </c>
      <c r="N1797" s="1">
        <v>37650</v>
      </c>
      <c r="O1797" t="s">
        <v>25</v>
      </c>
      <c r="P1797">
        <v>1</v>
      </c>
      <c r="Q1797">
        <v>1</v>
      </c>
      <c r="R1797">
        <v>2003</v>
      </c>
      <c r="S1797" t="s">
        <v>202</v>
      </c>
    </row>
    <row r="1798" spans="1:19" x14ac:dyDescent="0.25">
      <c r="A1798">
        <v>10126</v>
      </c>
      <c r="B1798" t="s">
        <v>201</v>
      </c>
      <c r="C1798" t="s">
        <v>87</v>
      </c>
      <c r="D1798" t="s">
        <v>79</v>
      </c>
      <c r="E1798" t="s">
        <v>80</v>
      </c>
      <c r="F1798" t="s">
        <v>30</v>
      </c>
      <c r="G1798" t="s">
        <v>24</v>
      </c>
      <c r="H1798">
        <v>8</v>
      </c>
      <c r="I1798">
        <v>21</v>
      </c>
      <c r="J1798">
        <v>100</v>
      </c>
      <c r="K1798">
        <v>136</v>
      </c>
      <c r="L1798">
        <v>2439.5700000000002</v>
      </c>
      <c r="M1798">
        <v>-416.43</v>
      </c>
      <c r="N1798" s="1">
        <v>37769</v>
      </c>
      <c r="O1798" t="s">
        <v>25</v>
      </c>
      <c r="P1798">
        <v>2</v>
      </c>
      <c r="Q1798">
        <v>5</v>
      </c>
      <c r="R1798">
        <v>2003</v>
      </c>
      <c r="S1798" t="s">
        <v>202</v>
      </c>
    </row>
    <row r="1799" spans="1:19" x14ac:dyDescent="0.25">
      <c r="A1799">
        <v>10140</v>
      </c>
      <c r="B1799" t="s">
        <v>201</v>
      </c>
      <c r="C1799" t="s">
        <v>38</v>
      </c>
      <c r="D1799" t="s">
        <v>39</v>
      </c>
      <c r="E1799" t="s">
        <v>22</v>
      </c>
      <c r="F1799" t="s">
        <v>23</v>
      </c>
      <c r="G1799" t="s">
        <v>33</v>
      </c>
      <c r="H1799">
        <v>8</v>
      </c>
      <c r="I1799">
        <v>38</v>
      </c>
      <c r="J1799">
        <v>100</v>
      </c>
      <c r="K1799">
        <v>136</v>
      </c>
      <c r="L1799">
        <v>4829.8</v>
      </c>
      <c r="M1799">
        <v>-338.2</v>
      </c>
      <c r="N1799" s="1">
        <v>37826</v>
      </c>
      <c r="O1799" t="s">
        <v>25</v>
      </c>
      <c r="P1799">
        <v>3</v>
      </c>
      <c r="Q1799">
        <v>7</v>
      </c>
      <c r="R1799">
        <v>2003</v>
      </c>
      <c r="S1799" t="s">
        <v>202</v>
      </c>
    </row>
    <row r="1800" spans="1:19" x14ac:dyDescent="0.25">
      <c r="A1800">
        <v>10194</v>
      </c>
      <c r="B1800" t="s">
        <v>201</v>
      </c>
      <c r="C1800" t="s">
        <v>95</v>
      </c>
      <c r="D1800" t="s">
        <v>96</v>
      </c>
      <c r="E1800" t="s">
        <v>29</v>
      </c>
      <c r="F1800" t="s">
        <v>30</v>
      </c>
      <c r="G1800" t="s">
        <v>33</v>
      </c>
      <c r="H1800">
        <v>8</v>
      </c>
      <c r="I1800">
        <v>38</v>
      </c>
      <c r="J1800">
        <v>100</v>
      </c>
      <c r="K1800">
        <v>136</v>
      </c>
      <c r="L1800">
        <v>4933.92</v>
      </c>
      <c r="M1800">
        <v>-234.08</v>
      </c>
      <c r="N1800" s="1">
        <v>37950</v>
      </c>
      <c r="O1800" t="s">
        <v>25</v>
      </c>
      <c r="P1800">
        <v>4</v>
      </c>
      <c r="Q1800">
        <v>11</v>
      </c>
      <c r="R1800">
        <v>2003</v>
      </c>
      <c r="S1800" t="s">
        <v>202</v>
      </c>
    </row>
    <row r="1801" spans="1:19" x14ac:dyDescent="0.25">
      <c r="A1801">
        <v>10291</v>
      </c>
      <c r="B1801" t="s">
        <v>201</v>
      </c>
      <c r="C1801" t="s">
        <v>111</v>
      </c>
      <c r="D1801" t="s">
        <v>112</v>
      </c>
      <c r="E1801" t="s">
        <v>86</v>
      </c>
      <c r="F1801" t="s">
        <v>30</v>
      </c>
      <c r="G1801" t="s">
        <v>33</v>
      </c>
      <c r="H1801">
        <v>8</v>
      </c>
      <c r="I1801">
        <v>41</v>
      </c>
      <c r="J1801">
        <v>100</v>
      </c>
      <c r="K1801">
        <v>136</v>
      </c>
      <c r="L1801">
        <v>6387.8</v>
      </c>
      <c r="M1801">
        <v>811.8</v>
      </c>
      <c r="N1801" s="1">
        <v>38238</v>
      </c>
      <c r="O1801" t="s">
        <v>25</v>
      </c>
      <c r="P1801">
        <v>3</v>
      </c>
      <c r="Q1801">
        <v>9</v>
      </c>
      <c r="R1801">
        <v>2004</v>
      </c>
      <c r="S1801" t="s">
        <v>202</v>
      </c>
    </row>
    <row r="1802" spans="1:19" x14ac:dyDescent="0.25">
      <c r="A1802">
        <v>10357</v>
      </c>
      <c r="B1802" t="s">
        <v>201</v>
      </c>
      <c r="C1802" t="s">
        <v>115</v>
      </c>
      <c r="D1802" t="s">
        <v>116</v>
      </c>
      <c r="E1802" t="s">
        <v>22</v>
      </c>
      <c r="F1802" t="s">
        <v>23</v>
      </c>
      <c r="G1802" t="s">
        <v>33</v>
      </c>
      <c r="H1802">
        <v>8</v>
      </c>
      <c r="I1802">
        <v>49</v>
      </c>
      <c r="J1802">
        <v>100</v>
      </c>
      <c r="K1802">
        <v>136</v>
      </c>
      <c r="L1802">
        <v>5960.36</v>
      </c>
      <c r="M1802">
        <v>-703.64</v>
      </c>
      <c r="N1802" s="1">
        <v>38331</v>
      </c>
      <c r="O1802" t="s">
        <v>25</v>
      </c>
      <c r="P1802">
        <v>4</v>
      </c>
      <c r="Q1802">
        <v>12</v>
      </c>
      <c r="R1802">
        <v>2004</v>
      </c>
      <c r="S1802" t="s">
        <v>202</v>
      </c>
    </row>
    <row r="1803" spans="1:19" x14ac:dyDescent="0.25">
      <c r="A1803">
        <v>10370</v>
      </c>
      <c r="B1803" t="s">
        <v>201</v>
      </c>
      <c r="C1803" t="s">
        <v>121</v>
      </c>
      <c r="D1803" t="s">
        <v>122</v>
      </c>
      <c r="E1803" t="s">
        <v>49</v>
      </c>
      <c r="F1803" t="s">
        <v>50</v>
      </c>
      <c r="G1803" t="s">
        <v>70</v>
      </c>
      <c r="H1803">
        <v>8</v>
      </c>
      <c r="I1803">
        <v>49</v>
      </c>
      <c r="J1803">
        <v>100</v>
      </c>
      <c r="K1803">
        <v>136</v>
      </c>
      <c r="L1803">
        <v>8470.14</v>
      </c>
      <c r="M1803">
        <v>1806.14</v>
      </c>
      <c r="N1803" s="1">
        <v>38372</v>
      </c>
      <c r="O1803" t="s">
        <v>25</v>
      </c>
      <c r="P1803">
        <v>1</v>
      </c>
      <c r="Q1803">
        <v>1</v>
      </c>
      <c r="R1803">
        <v>2005</v>
      </c>
      <c r="S1803" t="s">
        <v>202</v>
      </c>
    </row>
    <row r="1804" spans="1:19" x14ac:dyDescent="0.25">
      <c r="A1804">
        <v>10180</v>
      </c>
      <c r="B1804" t="s">
        <v>203</v>
      </c>
      <c r="C1804" t="s">
        <v>40</v>
      </c>
      <c r="D1804" t="s">
        <v>41</v>
      </c>
      <c r="E1804" t="s">
        <v>29</v>
      </c>
      <c r="F1804" t="s">
        <v>30</v>
      </c>
      <c r="G1804" t="s">
        <v>33</v>
      </c>
      <c r="H1804">
        <v>8</v>
      </c>
      <c r="I1804">
        <v>40</v>
      </c>
      <c r="J1804">
        <v>100</v>
      </c>
      <c r="K1804">
        <v>150</v>
      </c>
      <c r="L1804">
        <v>6747.6</v>
      </c>
      <c r="M1804">
        <v>747.6</v>
      </c>
      <c r="N1804" s="1">
        <v>37936</v>
      </c>
      <c r="O1804" t="s">
        <v>25</v>
      </c>
      <c r="P1804">
        <v>4</v>
      </c>
      <c r="Q1804">
        <v>11</v>
      </c>
      <c r="R1804">
        <v>2003</v>
      </c>
      <c r="S1804" t="s">
        <v>26</v>
      </c>
    </row>
    <row r="1805" spans="1:19" x14ac:dyDescent="0.25">
      <c r="A1805">
        <v>10299</v>
      </c>
      <c r="B1805" t="s">
        <v>203</v>
      </c>
      <c r="C1805" t="s">
        <v>60</v>
      </c>
      <c r="D1805" t="s">
        <v>61</v>
      </c>
      <c r="E1805" t="s">
        <v>62</v>
      </c>
      <c r="F1805" t="s">
        <v>30</v>
      </c>
      <c r="G1805" t="s">
        <v>33</v>
      </c>
      <c r="H1805">
        <v>8</v>
      </c>
      <c r="I1805">
        <v>24</v>
      </c>
      <c r="J1805">
        <v>100</v>
      </c>
      <c r="K1805">
        <v>150</v>
      </c>
      <c r="L1805">
        <v>4157.04</v>
      </c>
      <c r="M1805">
        <v>557.04</v>
      </c>
      <c r="N1805" s="1">
        <v>38260</v>
      </c>
      <c r="O1805" t="s">
        <v>25</v>
      </c>
      <c r="P1805">
        <v>3</v>
      </c>
      <c r="Q1805">
        <v>9</v>
      </c>
      <c r="R1805">
        <v>2004</v>
      </c>
      <c r="S1805" t="s">
        <v>26</v>
      </c>
    </row>
    <row r="1806" spans="1:19" x14ac:dyDescent="0.25">
      <c r="A1806">
        <v>10341</v>
      </c>
      <c r="B1806" t="s">
        <v>203</v>
      </c>
      <c r="C1806" t="s">
        <v>67</v>
      </c>
      <c r="D1806" t="s">
        <v>68</v>
      </c>
      <c r="E1806" t="s">
        <v>69</v>
      </c>
      <c r="F1806" t="s">
        <v>30</v>
      </c>
      <c r="G1806" t="s">
        <v>70</v>
      </c>
      <c r="H1806">
        <v>8</v>
      </c>
      <c r="I1806">
        <v>55</v>
      </c>
      <c r="J1806">
        <v>100</v>
      </c>
      <c r="K1806">
        <v>150</v>
      </c>
      <c r="L1806">
        <v>8118.55</v>
      </c>
      <c r="M1806">
        <v>-131.44999999999999</v>
      </c>
      <c r="N1806" s="1">
        <v>38315</v>
      </c>
      <c r="O1806" t="s">
        <v>25</v>
      </c>
      <c r="P1806">
        <v>4</v>
      </c>
      <c r="Q1806">
        <v>11</v>
      </c>
      <c r="R1806">
        <v>2004</v>
      </c>
      <c r="S1806" t="s">
        <v>26</v>
      </c>
    </row>
    <row r="1807" spans="1:19" x14ac:dyDescent="0.25">
      <c r="A1807">
        <v>10122</v>
      </c>
      <c r="B1807" t="s">
        <v>206</v>
      </c>
      <c r="C1807" t="s">
        <v>176</v>
      </c>
      <c r="D1807" t="s">
        <v>177</v>
      </c>
      <c r="E1807" t="s">
        <v>29</v>
      </c>
      <c r="F1807" t="s">
        <v>30</v>
      </c>
      <c r="G1807" t="s">
        <v>33</v>
      </c>
      <c r="H1807">
        <v>8</v>
      </c>
      <c r="I1807">
        <v>37</v>
      </c>
      <c r="J1807">
        <v>99.82</v>
      </c>
      <c r="K1807">
        <v>117</v>
      </c>
      <c r="L1807">
        <v>3693.34</v>
      </c>
      <c r="M1807">
        <v>-635.66</v>
      </c>
      <c r="N1807" s="1">
        <v>37749</v>
      </c>
      <c r="O1807" t="s">
        <v>25</v>
      </c>
      <c r="P1807">
        <v>2</v>
      </c>
      <c r="Q1807">
        <v>5</v>
      </c>
      <c r="R1807">
        <v>2003</v>
      </c>
      <c r="S1807" t="s">
        <v>83</v>
      </c>
    </row>
    <row r="1808" spans="1:19" x14ac:dyDescent="0.25">
      <c r="A1808">
        <v>10310</v>
      </c>
      <c r="B1808" t="s">
        <v>206</v>
      </c>
      <c r="C1808" t="s">
        <v>178</v>
      </c>
      <c r="D1808" t="s">
        <v>179</v>
      </c>
      <c r="E1808" t="s">
        <v>180</v>
      </c>
      <c r="F1808" t="s">
        <v>30</v>
      </c>
      <c r="G1808" t="s">
        <v>33</v>
      </c>
      <c r="H1808">
        <v>8</v>
      </c>
      <c r="I1808">
        <v>24</v>
      </c>
      <c r="J1808">
        <v>100</v>
      </c>
      <c r="K1808">
        <v>117</v>
      </c>
      <c r="L1808">
        <v>3100.32</v>
      </c>
      <c r="M1808">
        <v>292.32</v>
      </c>
      <c r="N1808" s="1">
        <v>38276</v>
      </c>
      <c r="O1808" t="s">
        <v>25</v>
      </c>
      <c r="P1808">
        <v>4</v>
      </c>
      <c r="Q1808">
        <v>10</v>
      </c>
      <c r="R1808">
        <v>2004</v>
      </c>
      <c r="S1808" t="s">
        <v>83</v>
      </c>
    </row>
    <row r="1809" spans="1:19" x14ac:dyDescent="0.25">
      <c r="A1809">
        <v>10117</v>
      </c>
      <c r="B1809" t="s">
        <v>209</v>
      </c>
      <c r="C1809" t="s">
        <v>88</v>
      </c>
      <c r="D1809" t="s">
        <v>89</v>
      </c>
      <c r="E1809" t="s">
        <v>89</v>
      </c>
      <c r="F1809" t="s">
        <v>50</v>
      </c>
      <c r="G1809" t="s">
        <v>33</v>
      </c>
      <c r="H1809">
        <v>8</v>
      </c>
      <c r="I1809">
        <v>39</v>
      </c>
      <c r="J1809">
        <v>100</v>
      </c>
      <c r="K1809">
        <v>173</v>
      </c>
      <c r="L1809">
        <v>5938.14</v>
      </c>
      <c r="M1809">
        <v>-808.86</v>
      </c>
      <c r="N1809" s="1">
        <v>37727</v>
      </c>
      <c r="O1809" t="s">
        <v>25</v>
      </c>
      <c r="P1809">
        <v>2</v>
      </c>
      <c r="Q1809">
        <v>4</v>
      </c>
      <c r="R1809">
        <v>2003</v>
      </c>
      <c r="S1809" t="s">
        <v>83</v>
      </c>
    </row>
    <row r="1810" spans="1:19" x14ac:dyDescent="0.25">
      <c r="A1810">
        <v>10135</v>
      </c>
      <c r="B1810" t="s">
        <v>210</v>
      </c>
      <c r="C1810" t="s">
        <v>115</v>
      </c>
      <c r="D1810" t="s">
        <v>116</v>
      </c>
      <c r="E1810" t="s">
        <v>22</v>
      </c>
      <c r="F1810" t="s">
        <v>23</v>
      </c>
      <c r="G1810" t="s">
        <v>24</v>
      </c>
      <c r="H1810">
        <v>8</v>
      </c>
      <c r="I1810">
        <v>24</v>
      </c>
      <c r="J1810">
        <v>75.010000000000005</v>
      </c>
      <c r="K1810">
        <v>79</v>
      </c>
      <c r="L1810">
        <v>1800.24</v>
      </c>
      <c r="M1810">
        <v>-95.76</v>
      </c>
      <c r="N1810" s="1">
        <v>37804</v>
      </c>
      <c r="O1810" t="s">
        <v>25</v>
      </c>
      <c r="P1810">
        <v>3</v>
      </c>
      <c r="Q1810">
        <v>7</v>
      </c>
      <c r="R1810">
        <v>2003</v>
      </c>
      <c r="S1810" t="s">
        <v>83</v>
      </c>
    </row>
    <row r="1811" spans="1:19" x14ac:dyDescent="0.25">
      <c r="A1811">
        <v>10147</v>
      </c>
      <c r="B1811" t="s">
        <v>210</v>
      </c>
      <c r="C1811" t="s">
        <v>119</v>
      </c>
      <c r="D1811" t="s">
        <v>120</v>
      </c>
      <c r="E1811" t="s">
        <v>22</v>
      </c>
      <c r="F1811" t="s">
        <v>23</v>
      </c>
      <c r="G1811" t="s">
        <v>24</v>
      </c>
      <c r="H1811">
        <v>8</v>
      </c>
      <c r="I1811">
        <v>21</v>
      </c>
      <c r="J1811">
        <v>63.84</v>
      </c>
      <c r="K1811">
        <v>79</v>
      </c>
      <c r="L1811">
        <v>1340.64</v>
      </c>
      <c r="M1811">
        <v>-318.36</v>
      </c>
      <c r="N1811" s="1">
        <v>37869</v>
      </c>
      <c r="O1811" t="s">
        <v>25</v>
      </c>
      <c r="P1811">
        <v>3</v>
      </c>
      <c r="Q1811">
        <v>9</v>
      </c>
      <c r="R1811">
        <v>2003</v>
      </c>
      <c r="S1811" t="s">
        <v>83</v>
      </c>
    </row>
    <row r="1812" spans="1:19" x14ac:dyDescent="0.25">
      <c r="A1812">
        <v>10292</v>
      </c>
      <c r="B1812" t="s">
        <v>211</v>
      </c>
      <c r="C1812" t="s">
        <v>20</v>
      </c>
      <c r="D1812" t="s">
        <v>21</v>
      </c>
      <c r="E1812" t="s">
        <v>22</v>
      </c>
      <c r="F1812" t="s">
        <v>23</v>
      </c>
      <c r="G1812" t="s">
        <v>24</v>
      </c>
      <c r="H1812">
        <v>8</v>
      </c>
      <c r="I1812">
        <v>21</v>
      </c>
      <c r="J1812">
        <v>100</v>
      </c>
      <c r="K1812">
        <v>118</v>
      </c>
      <c r="L1812">
        <v>2214.87</v>
      </c>
      <c r="M1812">
        <v>-263.13</v>
      </c>
      <c r="N1812" s="1">
        <v>38238</v>
      </c>
      <c r="O1812" t="s">
        <v>25</v>
      </c>
      <c r="P1812">
        <v>3</v>
      </c>
      <c r="Q1812">
        <v>9</v>
      </c>
      <c r="R1812">
        <v>2004</v>
      </c>
      <c r="S1812" t="s">
        <v>202</v>
      </c>
    </row>
    <row r="1813" spans="1:19" x14ac:dyDescent="0.25">
      <c r="A1813">
        <v>10389</v>
      </c>
      <c r="B1813" t="s">
        <v>216</v>
      </c>
      <c r="C1813" t="s">
        <v>111</v>
      </c>
      <c r="D1813" t="s">
        <v>112</v>
      </c>
      <c r="E1813" t="s">
        <v>86</v>
      </c>
      <c r="F1813" t="s">
        <v>30</v>
      </c>
      <c r="G1813" t="s">
        <v>33</v>
      </c>
      <c r="H1813">
        <v>8</v>
      </c>
      <c r="I1813">
        <v>47</v>
      </c>
      <c r="J1813">
        <v>100</v>
      </c>
      <c r="K1813">
        <v>115</v>
      </c>
      <c r="L1813">
        <v>5243.79</v>
      </c>
      <c r="M1813">
        <v>-161.21</v>
      </c>
      <c r="N1813" s="1">
        <v>38414</v>
      </c>
      <c r="O1813" t="s">
        <v>25</v>
      </c>
      <c r="P1813">
        <v>1</v>
      </c>
      <c r="Q1813">
        <v>3</v>
      </c>
      <c r="R1813">
        <v>2005</v>
      </c>
      <c r="S1813" t="s">
        <v>83</v>
      </c>
    </row>
    <row r="1814" spans="1:19" x14ac:dyDescent="0.25">
      <c r="A1814">
        <v>10164</v>
      </c>
      <c r="B1814" t="s">
        <v>219</v>
      </c>
      <c r="C1814" t="s">
        <v>167</v>
      </c>
      <c r="D1814" t="s">
        <v>168</v>
      </c>
      <c r="E1814" t="s">
        <v>69</v>
      </c>
      <c r="F1814" t="s">
        <v>30</v>
      </c>
      <c r="G1814" t="s">
        <v>33</v>
      </c>
      <c r="H1814">
        <v>8</v>
      </c>
      <c r="I1814">
        <v>36</v>
      </c>
      <c r="J1814">
        <v>99.17</v>
      </c>
      <c r="K1814">
        <v>116</v>
      </c>
      <c r="L1814">
        <v>3570.12</v>
      </c>
      <c r="M1814">
        <v>-605.88</v>
      </c>
      <c r="N1814" s="1">
        <v>37915</v>
      </c>
      <c r="O1814" t="s">
        <v>169</v>
      </c>
      <c r="P1814">
        <v>4</v>
      </c>
      <c r="Q1814">
        <v>10</v>
      </c>
      <c r="R1814">
        <v>2003</v>
      </c>
      <c r="S1814" t="s">
        <v>202</v>
      </c>
    </row>
    <row r="1815" spans="1:19" x14ac:dyDescent="0.25">
      <c r="A1815">
        <v>10245</v>
      </c>
      <c r="B1815" t="s">
        <v>219</v>
      </c>
      <c r="C1815" t="s">
        <v>103</v>
      </c>
      <c r="D1815" t="s">
        <v>104</v>
      </c>
      <c r="E1815" t="s">
        <v>22</v>
      </c>
      <c r="F1815" t="s">
        <v>23</v>
      </c>
      <c r="G1815" t="s">
        <v>33</v>
      </c>
      <c r="H1815">
        <v>8</v>
      </c>
      <c r="I1815">
        <v>29</v>
      </c>
      <c r="J1815">
        <v>100</v>
      </c>
      <c r="K1815">
        <v>116</v>
      </c>
      <c r="L1815">
        <v>3451</v>
      </c>
      <c r="M1815">
        <v>87</v>
      </c>
      <c r="N1815" s="1">
        <v>38111</v>
      </c>
      <c r="O1815" t="s">
        <v>25</v>
      </c>
      <c r="P1815">
        <v>2</v>
      </c>
      <c r="Q1815">
        <v>5</v>
      </c>
      <c r="R1815">
        <v>2004</v>
      </c>
      <c r="S1815" t="s">
        <v>202</v>
      </c>
    </row>
    <row r="1816" spans="1:19" x14ac:dyDescent="0.25">
      <c r="A1816">
        <v>10270</v>
      </c>
      <c r="B1816" t="s">
        <v>219</v>
      </c>
      <c r="C1816" t="s">
        <v>71</v>
      </c>
      <c r="D1816" t="s">
        <v>72</v>
      </c>
      <c r="E1816" t="s">
        <v>49</v>
      </c>
      <c r="F1816" t="s">
        <v>50</v>
      </c>
      <c r="G1816" t="s">
        <v>33</v>
      </c>
      <c r="H1816">
        <v>8</v>
      </c>
      <c r="I1816">
        <v>43</v>
      </c>
      <c r="J1816">
        <v>96.84</v>
      </c>
      <c r="K1816">
        <v>116</v>
      </c>
      <c r="L1816">
        <v>4164.12</v>
      </c>
      <c r="M1816">
        <v>-823.88</v>
      </c>
      <c r="N1816" s="1">
        <v>38187</v>
      </c>
      <c r="O1816" t="s">
        <v>25</v>
      </c>
      <c r="P1816">
        <v>3</v>
      </c>
      <c r="Q1816">
        <v>7</v>
      </c>
      <c r="R1816">
        <v>2004</v>
      </c>
      <c r="S1816" t="s">
        <v>202</v>
      </c>
    </row>
    <row r="1817" spans="1:19" x14ac:dyDescent="0.25">
      <c r="A1817">
        <v>10411</v>
      </c>
      <c r="B1817" t="s">
        <v>219</v>
      </c>
      <c r="C1817" t="s">
        <v>123</v>
      </c>
      <c r="D1817" t="s">
        <v>124</v>
      </c>
      <c r="E1817" t="s">
        <v>99</v>
      </c>
      <c r="F1817" t="s">
        <v>23</v>
      </c>
      <c r="G1817" t="s">
        <v>33</v>
      </c>
      <c r="H1817">
        <v>8</v>
      </c>
      <c r="I1817">
        <v>27</v>
      </c>
      <c r="J1817">
        <v>100</v>
      </c>
      <c r="K1817">
        <v>116</v>
      </c>
      <c r="L1817">
        <v>3213</v>
      </c>
      <c r="M1817">
        <v>81</v>
      </c>
      <c r="N1817" s="1">
        <v>38473</v>
      </c>
      <c r="O1817" t="s">
        <v>25</v>
      </c>
      <c r="P1817">
        <v>2</v>
      </c>
      <c r="Q1817">
        <v>5</v>
      </c>
      <c r="R1817">
        <v>2005</v>
      </c>
      <c r="S1817" t="s">
        <v>202</v>
      </c>
    </row>
    <row r="1818" spans="1:19" x14ac:dyDescent="0.25">
      <c r="A1818">
        <v>10301</v>
      </c>
      <c r="B1818" t="s">
        <v>220</v>
      </c>
      <c r="C1818" t="s">
        <v>223</v>
      </c>
      <c r="D1818" t="s">
        <v>224</v>
      </c>
      <c r="E1818" t="s">
        <v>44</v>
      </c>
      <c r="F1818" t="s">
        <v>30</v>
      </c>
      <c r="G1818" t="s">
        <v>33</v>
      </c>
      <c r="H1818">
        <v>8</v>
      </c>
      <c r="I1818">
        <v>37</v>
      </c>
      <c r="J1818">
        <v>100</v>
      </c>
      <c r="K1818">
        <v>141</v>
      </c>
      <c r="L1818">
        <v>5917.78</v>
      </c>
      <c r="M1818">
        <v>700.78</v>
      </c>
      <c r="N1818" s="1">
        <v>37899</v>
      </c>
      <c r="O1818" t="s">
        <v>25</v>
      </c>
      <c r="P1818">
        <v>4</v>
      </c>
      <c r="Q1818">
        <v>10</v>
      </c>
      <c r="R1818">
        <v>2003</v>
      </c>
      <c r="S1818" t="s">
        <v>83</v>
      </c>
    </row>
    <row r="1819" spans="1:19" x14ac:dyDescent="0.25">
      <c r="A1819">
        <v>10356</v>
      </c>
      <c r="B1819" t="s">
        <v>220</v>
      </c>
      <c r="C1819" t="s">
        <v>31</v>
      </c>
      <c r="D1819" t="s">
        <v>32</v>
      </c>
      <c r="E1819" t="s">
        <v>29</v>
      </c>
      <c r="F1819" t="s">
        <v>30</v>
      </c>
      <c r="G1819" t="s">
        <v>33</v>
      </c>
      <c r="H1819">
        <v>8</v>
      </c>
      <c r="I1819">
        <v>43</v>
      </c>
      <c r="J1819">
        <v>97.6</v>
      </c>
      <c r="K1819">
        <v>141</v>
      </c>
      <c r="L1819">
        <v>4196.8</v>
      </c>
      <c r="M1819">
        <v>-1866.2</v>
      </c>
      <c r="N1819" s="1">
        <v>38330</v>
      </c>
      <c r="O1819" t="s">
        <v>25</v>
      </c>
      <c r="P1819">
        <v>4</v>
      </c>
      <c r="Q1819">
        <v>12</v>
      </c>
      <c r="R1819">
        <v>2004</v>
      </c>
      <c r="S1819" t="s">
        <v>83</v>
      </c>
    </row>
    <row r="1820" spans="1:19" x14ac:dyDescent="0.25">
      <c r="A1820">
        <v>10369</v>
      </c>
      <c r="B1820" t="s">
        <v>225</v>
      </c>
      <c r="C1820" t="s">
        <v>119</v>
      </c>
      <c r="D1820" t="s">
        <v>120</v>
      </c>
      <c r="E1820" t="s">
        <v>22</v>
      </c>
      <c r="F1820" t="s">
        <v>23</v>
      </c>
      <c r="G1820" t="s">
        <v>70</v>
      </c>
      <c r="H1820">
        <v>8</v>
      </c>
      <c r="I1820">
        <v>44</v>
      </c>
      <c r="J1820">
        <v>100</v>
      </c>
      <c r="K1820">
        <v>102</v>
      </c>
      <c r="L1820">
        <v>9240.44</v>
      </c>
      <c r="M1820">
        <v>4752.4399999999996</v>
      </c>
      <c r="N1820" s="1">
        <v>38372</v>
      </c>
      <c r="O1820" t="s">
        <v>25</v>
      </c>
      <c r="P1820">
        <v>1</v>
      </c>
      <c r="Q1820">
        <v>1</v>
      </c>
      <c r="R1820">
        <v>2005</v>
      </c>
      <c r="S1820" t="s">
        <v>226</v>
      </c>
    </row>
    <row r="1821" spans="1:19" x14ac:dyDescent="0.25">
      <c r="A1821">
        <v>10280</v>
      </c>
      <c r="B1821" t="s">
        <v>231</v>
      </c>
      <c r="C1821" t="s">
        <v>108</v>
      </c>
      <c r="D1821" t="s">
        <v>109</v>
      </c>
      <c r="E1821" t="s">
        <v>110</v>
      </c>
      <c r="F1821" t="s">
        <v>30</v>
      </c>
      <c r="G1821" t="s">
        <v>24</v>
      </c>
      <c r="H1821">
        <v>8</v>
      </c>
      <c r="I1821">
        <v>27</v>
      </c>
      <c r="J1821">
        <v>57.68</v>
      </c>
      <c r="K1821">
        <v>53</v>
      </c>
      <c r="L1821">
        <v>1557.36</v>
      </c>
      <c r="M1821">
        <v>126.36</v>
      </c>
      <c r="N1821" s="1">
        <v>38216</v>
      </c>
      <c r="O1821" t="s">
        <v>25</v>
      </c>
      <c r="P1821">
        <v>3</v>
      </c>
      <c r="Q1821">
        <v>8</v>
      </c>
      <c r="R1821">
        <v>2004</v>
      </c>
      <c r="S1821" t="s">
        <v>226</v>
      </c>
    </row>
    <row r="1822" spans="1:19" x14ac:dyDescent="0.25">
      <c r="A1822">
        <v>10161</v>
      </c>
      <c r="B1822" t="s">
        <v>232</v>
      </c>
      <c r="C1822" t="s">
        <v>199</v>
      </c>
      <c r="D1822" t="s">
        <v>200</v>
      </c>
      <c r="E1822" t="s">
        <v>137</v>
      </c>
      <c r="F1822" t="s">
        <v>30</v>
      </c>
      <c r="G1822" t="s">
        <v>33</v>
      </c>
      <c r="H1822">
        <v>8</v>
      </c>
      <c r="I1822">
        <v>43</v>
      </c>
      <c r="J1822">
        <v>100</v>
      </c>
      <c r="K1822">
        <v>124</v>
      </c>
      <c r="L1822">
        <v>6153.73</v>
      </c>
      <c r="M1822">
        <v>821.73</v>
      </c>
      <c r="N1822" s="1">
        <v>37911</v>
      </c>
      <c r="O1822" t="s">
        <v>25</v>
      </c>
      <c r="P1822">
        <v>4</v>
      </c>
      <c r="Q1822">
        <v>10</v>
      </c>
      <c r="R1822">
        <v>2003</v>
      </c>
      <c r="S1822" t="s">
        <v>83</v>
      </c>
    </row>
    <row r="1823" spans="1:19" x14ac:dyDescent="0.25">
      <c r="A1823">
        <v>10287</v>
      </c>
      <c r="B1823" t="s">
        <v>241</v>
      </c>
      <c r="C1823" t="s">
        <v>181</v>
      </c>
      <c r="D1823" t="s">
        <v>182</v>
      </c>
      <c r="E1823" t="s">
        <v>183</v>
      </c>
      <c r="F1823" t="s">
        <v>30</v>
      </c>
      <c r="G1823" t="s">
        <v>33</v>
      </c>
      <c r="H1823">
        <v>8</v>
      </c>
      <c r="I1823">
        <v>44</v>
      </c>
      <c r="J1823">
        <v>82.39</v>
      </c>
      <c r="K1823">
        <v>77</v>
      </c>
      <c r="L1823">
        <v>3625.16</v>
      </c>
      <c r="M1823">
        <v>237.16</v>
      </c>
      <c r="N1823" s="1">
        <v>38229</v>
      </c>
      <c r="O1823" t="s">
        <v>25</v>
      </c>
      <c r="P1823">
        <v>3</v>
      </c>
      <c r="Q1823">
        <v>8</v>
      </c>
      <c r="R1823">
        <v>2004</v>
      </c>
      <c r="S1823" t="s">
        <v>83</v>
      </c>
    </row>
    <row r="1824" spans="1:19" x14ac:dyDescent="0.25">
      <c r="A1824">
        <v>10331</v>
      </c>
      <c r="B1824" t="s">
        <v>242</v>
      </c>
      <c r="C1824" t="s">
        <v>129</v>
      </c>
      <c r="D1824" t="s">
        <v>94</v>
      </c>
      <c r="E1824" t="s">
        <v>22</v>
      </c>
      <c r="F1824" t="s">
        <v>23</v>
      </c>
      <c r="G1824" t="s">
        <v>24</v>
      </c>
      <c r="H1824">
        <v>8</v>
      </c>
      <c r="I1824">
        <v>30</v>
      </c>
      <c r="J1824">
        <v>32.47</v>
      </c>
      <c r="K1824">
        <v>142</v>
      </c>
      <c r="L1824">
        <v>974.1</v>
      </c>
      <c r="M1824">
        <v>-3285.9</v>
      </c>
      <c r="N1824" s="1">
        <v>38308</v>
      </c>
      <c r="O1824" t="s">
        <v>25</v>
      </c>
      <c r="P1824">
        <v>4</v>
      </c>
      <c r="Q1824">
        <v>11</v>
      </c>
      <c r="R1824">
        <v>2004</v>
      </c>
      <c r="S1824" t="s">
        <v>83</v>
      </c>
    </row>
    <row r="1825" spans="1:19" x14ac:dyDescent="0.25">
      <c r="A1825">
        <v>10104</v>
      </c>
      <c r="B1825" t="s">
        <v>243</v>
      </c>
      <c r="C1825" t="s">
        <v>78</v>
      </c>
      <c r="D1825" t="s">
        <v>79</v>
      </c>
      <c r="E1825" t="s">
        <v>80</v>
      </c>
      <c r="F1825" t="s">
        <v>30</v>
      </c>
      <c r="G1825" t="s">
        <v>33</v>
      </c>
      <c r="H1825">
        <v>8</v>
      </c>
      <c r="I1825">
        <v>24</v>
      </c>
      <c r="J1825">
        <v>100</v>
      </c>
      <c r="K1825">
        <v>163</v>
      </c>
      <c r="L1825">
        <v>3457.92</v>
      </c>
      <c r="M1825">
        <v>-454.08</v>
      </c>
      <c r="N1825" s="1">
        <v>37652</v>
      </c>
      <c r="O1825" t="s">
        <v>25</v>
      </c>
      <c r="P1825">
        <v>1</v>
      </c>
      <c r="Q1825">
        <v>1</v>
      </c>
      <c r="R1825">
        <v>2003</v>
      </c>
      <c r="S1825" t="s">
        <v>83</v>
      </c>
    </row>
    <row r="1826" spans="1:19" x14ac:dyDescent="0.25">
      <c r="A1826">
        <v>10230</v>
      </c>
      <c r="B1826" t="s">
        <v>243</v>
      </c>
      <c r="C1826" t="s">
        <v>187</v>
      </c>
      <c r="D1826" t="s">
        <v>188</v>
      </c>
      <c r="E1826" t="s">
        <v>180</v>
      </c>
      <c r="F1826" t="s">
        <v>30</v>
      </c>
      <c r="G1826" t="s">
        <v>70</v>
      </c>
      <c r="H1826">
        <v>8</v>
      </c>
      <c r="I1826">
        <v>49</v>
      </c>
      <c r="J1826">
        <v>100</v>
      </c>
      <c r="K1826">
        <v>163</v>
      </c>
      <c r="L1826">
        <v>7300.51</v>
      </c>
      <c r="M1826">
        <v>-686.49</v>
      </c>
      <c r="N1826" s="1">
        <v>38061</v>
      </c>
      <c r="O1826" t="s">
        <v>25</v>
      </c>
      <c r="P1826">
        <v>1</v>
      </c>
      <c r="Q1826">
        <v>3</v>
      </c>
      <c r="R1826">
        <v>2004</v>
      </c>
      <c r="S1826" t="s">
        <v>83</v>
      </c>
    </row>
    <row r="1827" spans="1:19" x14ac:dyDescent="0.25">
      <c r="A1827">
        <v>10324</v>
      </c>
      <c r="B1827" t="s">
        <v>243</v>
      </c>
      <c r="C1827" t="s">
        <v>51</v>
      </c>
      <c r="D1827" t="s">
        <v>21</v>
      </c>
      <c r="E1827" t="s">
        <v>22</v>
      </c>
      <c r="F1827" t="s">
        <v>23</v>
      </c>
      <c r="G1827" t="s">
        <v>70</v>
      </c>
      <c r="H1827">
        <v>8</v>
      </c>
      <c r="I1827">
        <v>47</v>
      </c>
      <c r="J1827">
        <v>100</v>
      </c>
      <c r="K1827">
        <v>163</v>
      </c>
      <c r="L1827">
        <v>7207.45</v>
      </c>
      <c r="M1827">
        <v>-453.55</v>
      </c>
      <c r="N1827" s="1">
        <v>38296</v>
      </c>
      <c r="O1827" t="s">
        <v>25</v>
      </c>
      <c r="P1827">
        <v>4</v>
      </c>
      <c r="Q1827">
        <v>11</v>
      </c>
      <c r="R1827">
        <v>2004</v>
      </c>
      <c r="S1827" t="s">
        <v>83</v>
      </c>
    </row>
    <row r="1828" spans="1:19" x14ac:dyDescent="0.25">
      <c r="A1828">
        <v>10349</v>
      </c>
      <c r="B1828" t="s">
        <v>243</v>
      </c>
      <c r="C1828" t="s">
        <v>192</v>
      </c>
      <c r="D1828" t="s">
        <v>21</v>
      </c>
      <c r="E1828" t="s">
        <v>22</v>
      </c>
      <c r="F1828" t="s">
        <v>23</v>
      </c>
      <c r="G1828" t="s">
        <v>33</v>
      </c>
      <c r="H1828">
        <v>8</v>
      </c>
      <c r="I1828">
        <v>38</v>
      </c>
      <c r="J1828">
        <v>100</v>
      </c>
      <c r="K1828">
        <v>163</v>
      </c>
      <c r="L1828">
        <v>6719.54</v>
      </c>
      <c r="M1828">
        <v>525.54</v>
      </c>
      <c r="N1828" s="1">
        <v>38322</v>
      </c>
      <c r="O1828" t="s">
        <v>25</v>
      </c>
      <c r="P1828">
        <v>4</v>
      </c>
      <c r="Q1828">
        <v>12</v>
      </c>
      <c r="R1828">
        <v>2004</v>
      </c>
      <c r="S1828" t="s">
        <v>83</v>
      </c>
    </row>
    <row r="1829" spans="1:19" x14ac:dyDescent="0.25">
      <c r="A1829">
        <v>10162</v>
      </c>
      <c r="B1829" t="s">
        <v>244</v>
      </c>
      <c r="C1829" t="s">
        <v>36</v>
      </c>
      <c r="D1829" t="s">
        <v>37</v>
      </c>
      <c r="E1829" t="s">
        <v>22</v>
      </c>
      <c r="F1829" t="s">
        <v>23</v>
      </c>
      <c r="G1829" t="s">
        <v>24</v>
      </c>
      <c r="H1829">
        <v>8</v>
      </c>
      <c r="I1829">
        <v>27</v>
      </c>
      <c r="J1829">
        <v>69.62</v>
      </c>
      <c r="K1829">
        <v>60</v>
      </c>
      <c r="L1829">
        <v>1879.74</v>
      </c>
      <c r="M1829">
        <v>259.74</v>
      </c>
      <c r="N1829" s="1">
        <v>37912</v>
      </c>
      <c r="O1829" t="s">
        <v>25</v>
      </c>
      <c r="P1829">
        <v>4</v>
      </c>
      <c r="Q1829">
        <v>10</v>
      </c>
      <c r="R1829">
        <v>2003</v>
      </c>
      <c r="S1829" t="s">
        <v>226</v>
      </c>
    </row>
    <row r="1830" spans="1:19" x14ac:dyDescent="0.25">
      <c r="A1830">
        <v>10141</v>
      </c>
      <c r="B1830" t="s">
        <v>245</v>
      </c>
      <c r="C1830" t="s">
        <v>189</v>
      </c>
      <c r="D1830" t="s">
        <v>190</v>
      </c>
      <c r="E1830" t="s">
        <v>62</v>
      </c>
      <c r="F1830" t="s">
        <v>30</v>
      </c>
      <c r="G1830" t="s">
        <v>33</v>
      </c>
      <c r="H1830">
        <v>8</v>
      </c>
      <c r="I1830">
        <v>47</v>
      </c>
      <c r="J1830">
        <v>100</v>
      </c>
      <c r="K1830">
        <v>122</v>
      </c>
      <c r="L1830">
        <v>6287.66</v>
      </c>
      <c r="M1830">
        <v>553.66</v>
      </c>
      <c r="N1830" s="1">
        <v>37834</v>
      </c>
      <c r="O1830" t="s">
        <v>25</v>
      </c>
      <c r="P1830">
        <v>3</v>
      </c>
      <c r="Q1830">
        <v>8</v>
      </c>
      <c r="R1830">
        <v>2003</v>
      </c>
      <c r="S1830" t="s">
        <v>202</v>
      </c>
    </row>
    <row r="1831" spans="1:19" x14ac:dyDescent="0.25">
      <c r="A1831">
        <v>10246</v>
      </c>
      <c r="B1831" t="s">
        <v>245</v>
      </c>
      <c r="C1831" t="s">
        <v>78</v>
      </c>
      <c r="D1831" t="s">
        <v>79</v>
      </c>
      <c r="E1831" t="s">
        <v>80</v>
      </c>
      <c r="F1831" t="s">
        <v>30</v>
      </c>
      <c r="G1831" t="s">
        <v>24</v>
      </c>
      <c r="H1831">
        <v>8</v>
      </c>
      <c r="I1831">
        <v>22</v>
      </c>
      <c r="J1831">
        <v>98.18</v>
      </c>
      <c r="K1831">
        <v>122</v>
      </c>
      <c r="L1831">
        <v>2159.96</v>
      </c>
      <c r="M1831">
        <v>-524.04</v>
      </c>
      <c r="N1831" s="1">
        <v>38112</v>
      </c>
      <c r="O1831" t="s">
        <v>25</v>
      </c>
      <c r="P1831">
        <v>2</v>
      </c>
      <c r="Q1831">
        <v>5</v>
      </c>
      <c r="R1831">
        <v>2004</v>
      </c>
      <c r="S1831" t="s">
        <v>202</v>
      </c>
    </row>
    <row r="1832" spans="1:19" x14ac:dyDescent="0.25">
      <c r="A1832">
        <v>10271</v>
      </c>
      <c r="B1832" t="s">
        <v>245</v>
      </c>
      <c r="C1832" t="s">
        <v>115</v>
      </c>
      <c r="D1832" t="s">
        <v>116</v>
      </c>
      <c r="E1832" t="s">
        <v>22</v>
      </c>
      <c r="F1832" t="s">
        <v>23</v>
      </c>
      <c r="G1832" t="s">
        <v>33</v>
      </c>
      <c r="H1832">
        <v>8</v>
      </c>
      <c r="I1832">
        <v>50</v>
      </c>
      <c r="J1832">
        <v>100</v>
      </c>
      <c r="K1832">
        <v>122</v>
      </c>
      <c r="L1832">
        <v>5093.5</v>
      </c>
      <c r="M1832">
        <v>-1006.5</v>
      </c>
      <c r="N1832" s="1">
        <v>38188</v>
      </c>
      <c r="O1832" t="s">
        <v>25</v>
      </c>
      <c r="P1832">
        <v>3</v>
      </c>
      <c r="Q1832">
        <v>7</v>
      </c>
      <c r="R1832">
        <v>2004</v>
      </c>
      <c r="S1832" t="s">
        <v>202</v>
      </c>
    </row>
    <row r="1833" spans="1:19" x14ac:dyDescent="0.25">
      <c r="A1833">
        <v>10305</v>
      </c>
      <c r="B1833" t="s">
        <v>245</v>
      </c>
      <c r="C1833" t="s">
        <v>58</v>
      </c>
      <c r="D1833" t="s">
        <v>59</v>
      </c>
      <c r="E1833" t="s">
        <v>22</v>
      </c>
      <c r="F1833" t="s">
        <v>23</v>
      </c>
      <c r="G1833" t="s">
        <v>33</v>
      </c>
      <c r="H1833">
        <v>8</v>
      </c>
      <c r="I1833">
        <v>36</v>
      </c>
      <c r="J1833">
        <v>100</v>
      </c>
      <c r="K1833">
        <v>122</v>
      </c>
      <c r="L1833">
        <v>4816.08</v>
      </c>
      <c r="M1833">
        <v>424.08</v>
      </c>
      <c r="N1833" s="1">
        <v>38273</v>
      </c>
      <c r="O1833" t="s">
        <v>25</v>
      </c>
      <c r="P1833">
        <v>4</v>
      </c>
      <c r="Q1833">
        <v>10</v>
      </c>
      <c r="R1833">
        <v>2004</v>
      </c>
      <c r="S1833" t="s">
        <v>202</v>
      </c>
    </row>
    <row r="1834" spans="1:19" x14ac:dyDescent="0.25">
      <c r="A1834">
        <v>10412</v>
      </c>
      <c r="B1834" t="s">
        <v>245</v>
      </c>
      <c r="C1834" t="s">
        <v>78</v>
      </c>
      <c r="D1834" t="s">
        <v>79</v>
      </c>
      <c r="E1834" t="s">
        <v>80</v>
      </c>
      <c r="F1834" t="s">
        <v>30</v>
      </c>
      <c r="G1834" t="s">
        <v>33</v>
      </c>
      <c r="H1834">
        <v>8</v>
      </c>
      <c r="I1834">
        <v>56</v>
      </c>
      <c r="J1834">
        <v>98.18</v>
      </c>
      <c r="K1834">
        <v>122</v>
      </c>
      <c r="L1834">
        <v>5498.08</v>
      </c>
      <c r="M1834">
        <v>-1333.92</v>
      </c>
      <c r="N1834" s="1">
        <v>38475</v>
      </c>
      <c r="O1834" t="s">
        <v>25</v>
      </c>
      <c r="P1834">
        <v>2</v>
      </c>
      <c r="Q1834">
        <v>5</v>
      </c>
      <c r="R1834">
        <v>2005</v>
      </c>
      <c r="S1834" t="s">
        <v>202</v>
      </c>
    </row>
    <row r="1835" spans="1:19" x14ac:dyDescent="0.25">
      <c r="A1835">
        <v>10149</v>
      </c>
      <c r="B1835" t="s">
        <v>246</v>
      </c>
      <c r="C1835" t="s">
        <v>214</v>
      </c>
      <c r="D1835" t="s">
        <v>215</v>
      </c>
      <c r="E1835" t="s">
        <v>22</v>
      </c>
      <c r="F1835" t="s">
        <v>23</v>
      </c>
      <c r="G1835" t="s">
        <v>33</v>
      </c>
      <c r="H1835">
        <v>8</v>
      </c>
      <c r="I1835">
        <v>33</v>
      </c>
      <c r="J1835">
        <v>100</v>
      </c>
      <c r="K1835">
        <v>127</v>
      </c>
      <c r="L1835">
        <v>4950.33</v>
      </c>
      <c r="M1835">
        <v>759.33</v>
      </c>
      <c r="N1835" s="1">
        <v>37876</v>
      </c>
      <c r="O1835" t="s">
        <v>25</v>
      </c>
      <c r="P1835">
        <v>3</v>
      </c>
      <c r="Q1835">
        <v>9</v>
      </c>
      <c r="R1835">
        <v>2003</v>
      </c>
      <c r="S1835" t="s">
        <v>226</v>
      </c>
    </row>
    <row r="1836" spans="1:19" x14ac:dyDescent="0.25">
      <c r="A1836">
        <v>10332</v>
      </c>
      <c r="B1836" t="s">
        <v>246</v>
      </c>
      <c r="C1836" t="s">
        <v>197</v>
      </c>
      <c r="D1836" t="s">
        <v>198</v>
      </c>
      <c r="E1836" t="s">
        <v>77</v>
      </c>
      <c r="F1836" t="s">
        <v>30</v>
      </c>
      <c r="G1836" t="s">
        <v>24</v>
      </c>
      <c r="H1836">
        <v>8</v>
      </c>
      <c r="I1836">
        <v>35</v>
      </c>
      <c r="J1836">
        <v>64.69</v>
      </c>
      <c r="K1836">
        <v>127</v>
      </c>
      <c r="L1836">
        <v>2264.15</v>
      </c>
      <c r="M1836">
        <v>-2180.85</v>
      </c>
      <c r="N1836" s="1">
        <v>38308</v>
      </c>
      <c r="O1836" t="s">
        <v>25</v>
      </c>
      <c r="P1836">
        <v>4</v>
      </c>
      <c r="Q1836">
        <v>11</v>
      </c>
      <c r="R1836">
        <v>2004</v>
      </c>
      <c r="S1836" t="s">
        <v>226</v>
      </c>
    </row>
    <row r="1837" spans="1:19" x14ac:dyDescent="0.25">
      <c r="A1837">
        <v>10347</v>
      </c>
      <c r="B1837" t="s">
        <v>247</v>
      </c>
      <c r="C1837" t="s">
        <v>47</v>
      </c>
      <c r="D1837" t="s">
        <v>48</v>
      </c>
      <c r="E1837" t="s">
        <v>49</v>
      </c>
      <c r="F1837" t="s">
        <v>50</v>
      </c>
      <c r="G1837" t="s">
        <v>33</v>
      </c>
      <c r="H1837">
        <v>8</v>
      </c>
      <c r="I1837">
        <v>50</v>
      </c>
      <c r="J1837">
        <v>100</v>
      </c>
      <c r="K1837">
        <v>60</v>
      </c>
      <c r="L1837">
        <v>6834.5</v>
      </c>
      <c r="M1837">
        <v>3834.5</v>
      </c>
      <c r="N1837" s="1">
        <v>38320</v>
      </c>
      <c r="O1837" t="s">
        <v>25</v>
      </c>
      <c r="P1837">
        <v>4</v>
      </c>
      <c r="Q1837">
        <v>11</v>
      </c>
      <c r="R1837">
        <v>2004</v>
      </c>
      <c r="S1837" t="s">
        <v>202</v>
      </c>
    </row>
    <row r="1838" spans="1:19" x14ac:dyDescent="0.25">
      <c r="A1838">
        <v>10120</v>
      </c>
      <c r="B1838" t="s">
        <v>248</v>
      </c>
      <c r="C1838" t="s">
        <v>47</v>
      </c>
      <c r="D1838" t="s">
        <v>48</v>
      </c>
      <c r="E1838" t="s">
        <v>49</v>
      </c>
      <c r="F1838" t="s">
        <v>50</v>
      </c>
      <c r="G1838" t="s">
        <v>24</v>
      </c>
      <c r="H1838">
        <v>8</v>
      </c>
      <c r="I1838">
        <v>29</v>
      </c>
      <c r="J1838">
        <v>71.81</v>
      </c>
      <c r="K1838">
        <v>84</v>
      </c>
      <c r="L1838">
        <v>2082.4899999999998</v>
      </c>
      <c r="M1838">
        <v>-353.51</v>
      </c>
      <c r="N1838" s="1">
        <v>37740</v>
      </c>
      <c r="O1838" t="s">
        <v>25</v>
      </c>
      <c r="P1838">
        <v>2</v>
      </c>
      <c r="Q1838">
        <v>4</v>
      </c>
      <c r="R1838">
        <v>2003</v>
      </c>
      <c r="S1838" t="s">
        <v>234</v>
      </c>
    </row>
    <row r="1839" spans="1:19" x14ac:dyDescent="0.25">
      <c r="A1839">
        <v>10327</v>
      </c>
      <c r="B1839" t="s">
        <v>248</v>
      </c>
      <c r="C1839" t="s">
        <v>135</v>
      </c>
      <c r="D1839" t="s">
        <v>136</v>
      </c>
      <c r="E1839" t="s">
        <v>137</v>
      </c>
      <c r="F1839" t="s">
        <v>30</v>
      </c>
      <c r="G1839" t="s">
        <v>33</v>
      </c>
      <c r="H1839">
        <v>8</v>
      </c>
      <c r="I1839">
        <v>45</v>
      </c>
      <c r="J1839">
        <v>100</v>
      </c>
      <c r="K1839">
        <v>84</v>
      </c>
      <c r="L1839">
        <v>4781.7</v>
      </c>
      <c r="M1839">
        <v>1001.7</v>
      </c>
      <c r="N1839" s="1">
        <v>38301</v>
      </c>
      <c r="O1839" t="s">
        <v>169</v>
      </c>
      <c r="P1839">
        <v>4</v>
      </c>
      <c r="Q1839">
        <v>11</v>
      </c>
      <c r="R1839">
        <v>2004</v>
      </c>
      <c r="S1839" t="s">
        <v>234</v>
      </c>
    </row>
    <row r="1840" spans="1:19" x14ac:dyDescent="0.25">
      <c r="A1840">
        <v>10139</v>
      </c>
      <c r="B1840" t="s">
        <v>250</v>
      </c>
      <c r="C1840" t="s">
        <v>71</v>
      </c>
      <c r="D1840" t="s">
        <v>72</v>
      </c>
      <c r="E1840" t="s">
        <v>49</v>
      </c>
      <c r="F1840" t="s">
        <v>50</v>
      </c>
      <c r="G1840" t="s">
        <v>70</v>
      </c>
      <c r="H1840">
        <v>8</v>
      </c>
      <c r="I1840">
        <v>41</v>
      </c>
      <c r="J1840">
        <v>100</v>
      </c>
      <c r="K1840">
        <v>168</v>
      </c>
      <c r="L1840">
        <v>7956.46</v>
      </c>
      <c r="M1840">
        <v>1068.46</v>
      </c>
      <c r="N1840" s="1">
        <v>37818</v>
      </c>
      <c r="O1840" t="s">
        <v>25</v>
      </c>
      <c r="P1840">
        <v>3</v>
      </c>
      <c r="Q1840">
        <v>7</v>
      </c>
      <c r="R1840">
        <v>2003</v>
      </c>
      <c r="S1840" t="s">
        <v>226</v>
      </c>
    </row>
    <row r="1841" spans="1:19" x14ac:dyDescent="0.25">
      <c r="A1841">
        <v>10193</v>
      </c>
      <c r="B1841" t="s">
        <v>250</v>
      </c>
      <c r="C1841" t="s">
        <v>229</v>
      </c>
      <c r="D1841" t="s">
        <v>230</v>
      </c>
      <c r="E1841" t="s">
        <v>49</v>
      </c>
      <c r="F1841" t="s">
        <v>50</v>
      </c>
      <c r="G1841" t="s">
        <v>33</v>
      </c>
      <c r="H1841">
        <v>8</v>
      </c>
      <c r="I1841">
        <v>22</v>
      </c>
      <c r="J1841">
        <v>100</v>
      </c>
      <c r="K1841">
        <v>168</v>
      </c>
      <c r="L1841">
        <v>3675.32</v>
      </c>
      <c r="M1841">
        <v>-20.68</v>
      </c>
      <c r="N1841" s="1">
        <v>37946</v>
      </c>
      <c r="O1841" t="s">
        <v>25</v>
      </c>
      <c r="P1841">
        <v>4</v>
      </c>
      <c r="Q1841">
        <v>11</v>
      </c>
      <c r="R1841">
        <v>2003</v>
      </c>
      <c r="S1841" t="s">
        <v>226</v>
      </c>
    </row>
    <row r="1842" spans="1:19" x14ac:dyDescent="0.25">
      <c r="A1842">
        <v>10244</v>
      </c>
      <c r="B1842" t="s">
        <v>250</v>
      </c>
      <c r="C1842" t="s">
        <v>78</v>
      </c>
      <c r="D1842" t="s">
        <v>79</v>
      </c>
      <c r="E1842" t="s">
        <v>80</v>
      </c>
      <c r="F1842" t="s">
        <v>30</v>
      </c>
      <c r="G1842" t="s">
        <v>33</v>
      </c>
      <c r="H1842">
        <v>8</v>
      </c>
      <c r="I1842">
        <v>43</v>
      </c>
      <c r="J1842">
        <v>100</v>
      </c>
      <c r="K1842">
        <v>168</v>
      </c>
      <c r="L1842">
        <v>5950.34</v>
      </c>
      <c r="M1842">
        <v>-1273.6600000000001</v>
      </c>
      <c r="N1842" s="1">
        <v>38106</v>
      </c>
      <c r="O1842" t="s">
        <v>25</v>
      </c>
      <c r="P1842">
        <v>2</v>
      </c>
      <c r="Q1842">
        <v>4</v>
      </c>
      <c r="R1842">
        <v>2004</v>
      </c>
      <c r="S1842" t="s">
        <v>226</v>
      </c>
    </row>
    <row r="1843" spans="1:19" x14ac:dyDescent="0.25">
      <c r="A1843">
        <v>10380</v>
      </c>
      <c r="B1843" t="s">
        <v>250</v>
      </c>
      <c r="C1843" t="s">
        <v>78</v>
      </c>
      <c r="D1843" t="s">
        <v>79</v>
      </c>
      <c r="E1843" t="s">
        <v>80</v>
      </c>
      <c r="F1843" t="s">
        <v>30</v>
      </c>
      <c r="G1843" t="s">
        <v>24</v>
      </c>
      <c r="H1843">
        <v>8</v>
      </c>
      <c r="I1843">
        <v>21</v>
      </c>
      <c r="J1843">
        <v>47.18</v>
      </c>
      <c r="K1843">
        <v>168</v>
      </c>
      <c r="L1843">
        <v>990.78</v>
      </c>
      <c r="M1843">
        <v>-2537.2199999999998</v>
      </c>
      <c r="N1843" s="1">
        <v>38399</v>
      </c>
      <c r="O1843" t="s">
        <v>25</v>
      </c>
      <c r="P1843">
        <v>1</v>
      </c>
      <c r="Q1843">
        <v>2</v>
      </c>
      <c r="R1843">
        <v>2005</v>
      </c>
      <c r="S1843" t="s">
        <v>226</v>
      </c>
    </row>
    <row r="1844" spans="1:19" x14ac:dyDescent="0.25">
      <c r="A1844">
        <v>10192</v>
      </c>
      <c r="B1844" t="s">
        <v>251</v>
      </c>
      <c r="C1844" t="s">
        <v>117</v>
      </c>
      <c r="D1844" t="s">
        <v>118</v>
      </c>
      <c r="E1844" t="s">
        <v>22</v>
      </c>
      <c r="F1844" t="s">
        <v>23</v>
      </c>
      <c r="G1844" t="s">
        <v>33</v>
      </c>
      <c r="H1844">
        <v>8</v>
      </c>
      <c r="I1844">
        <v>38</v>
      </c>
      <c r="J1844">
        <v>100</v>
      </c>
      <c r="K1844">
        <v>132</v>
      </c>
      <c r="L1844">
        <v>4965.84</v>
      </c>
      <c r="M1844">
        <v>-50.16</v>
      </c>
      <c r="N1844" s="1">
        <v>37945</v>
      </c>
      <c r="O1844" t="s">
        <v>25</v>
      </c>
      <c r="P1844">
        <v>4</v>
      </c>
      <c r="Q1844">
        <v>11</v>
      </c>
      <c r="R1844">
        <v>2003</v>
      </c>
      <c r="S1844" t="s">
        <v>83</v>
      </c>
    </row>
    <row r="1845" spans="1:19" x14ac:dyDescent="0.25">
      <c r="A1845">
        <v>10381</v>
      </c>
      <c r="B1845" t="s">
        <v>252</v>
      </c>
      <c r="C1845" t="s">
        <v>36</v>
      </c>
      <c r="D1845" t="s">
        <v>37</v>
      </c>
      <c r="E1845" t="s">
        <v>22</v>
      </c>
      <c r="F1845" t="s">
        <v>23</v>
      </c>
      <c r="G1845" t="s">
        <v>33</v>
      </c>
      <c r="H1845">
        <v>8</v>
      </c>
      <c r="I1845">
        <v>41</v>
      </c>
      <c r="J1845">
        <v>100</v>
      </c>
      <c r="K1845">
        <v>101</v>
      </c>
      <c r="L1845">
        <v>4319.76</v>
      </c>
      <c r="M1845">
        <v>178.76</v>
      </c>
      <c r="N1845" s="1">
        <v>38400</v>
      </c>
      <c r="O1845" t="s">
        <v>25</v>
      </c>
      <c r="P1845">
        <v>1</v>
      </c>
      <c r="Q1845">
        <v>2</v>
      </c>
      <c r="R1845">
        <v>2005</v>
      </c>
      <c r="S1845" t="s">
        <v>226</v>
      </c>
    </row>
    <row r="1846" spans="1:19" x14ac:dyDescent="0.25">
      <c r="A1846">
        <v>10206</v>
      </c>
      <c r="B1846" t="s">
        <v>257</v>
      </c>
      <c r="C1846" t="s">
        <v>97</v>
      </c>
      <c r="D1846" t="s">
        <v>98</v>
      </c>
      <c r="E1846" t="s">
        <v>99</v>
      </c>
      <c r="F1846" t="s">
        <v>23</v>
      </c>
      <c r="G1846" t="s">
        <v>33</v>
      </c>
      <c r="H1846">
        <v>8</v>
      </c>
      <c r="I1846">
        <v>30</v>
      </c>
      <c r="J1846">
        <v>100</v>
      </c>
      <c r="K1846">
        <v>104</v>
      </c>
      <c r="L1846">
        <v>3581.4</v>
      </c>
      <c r="M1846">
        <v>461.4</v>
      </c>
      <c r="N1846" s="1">
        <v>37960</v>
      </c>
      <c r="O1846" t="s">
        <v>25</v>
      </c>
      <c r="P1846">
        <v>4</v>
      </c>
      <c r="Q1846">
        <v>12</v>
      </c>
      <c r="R1846">
        <v>2003</v>
      </c>
      <c r="S1846" t="s">
        <v>226</v>
      </c>
    </row>
    <row r="1847" spans="1:19" x14ac:dyDescent="0.25">
      <c r="A1847">
        <v>10304</v>
      </c>
      <c r="B1847" t="s">
        <v>257</v>
      </c>
      <c r="C1847" t="s">
        <v>113</v>
      </c>
      <c r="D1847" t="s">
        <v>114</v>
      </c>
      <c r="E1847" t="s">
        <v>29</v>
      </c>
      <c r="F1847" t="s">
        <v>30</v>
      </c>
      <c r="G1847" t="s">
        <v>24</v>
      </c>
      <c r="H1847">
        <v>8</v>
      </c>
      <c r="I1847">
        <v>26</v>
      </c>
      <c r="J1847">
        <v>85.87</v>
      </c>
      <c r="K1847">
        <v>104</v>
      </c>
      <c r="L1847">
        <v>2232.62</v>
      </c>
      <c r="M1847">
        <v>-471.38</v>
      </c>
      <c r="N1847" s="1">
        <v>38271</v>
      </c>
      <c r="O1847" t="s">
        <v>25</v>
      </c>
      <c r="P1847">
        <v>4</v>
      </c>
      <c r="Q1847">
        <v>10</v>
      </c>
      <c r="R1847">
        <v>2004</v>
      </c>
      <c r="S1847" t="s">
        <v>226</v>
      </c>
    </row>
    <row r="1848" spans="1:19" x14ac:dyDescent="0.25">
      <c r="A1848">
        <v>10142</v>
      </c>
      <c r="B1848" t="s">
        <v>258</v>
      </c>
      <c r="C1848" t="s">
        <v>115</v>
      </c>
      <c r="D1848" t="s">
        <v>116</v>
      </c>
      <c r="E1848" t="s">
        <v>22</v>
      </c>
      <c r="F1848" t="s">
        <v>23</v>
      </c>
      <c r="G1848" t="s">
        <v>33</v>
      </c>
      <c r="H1848">
        <v>8</v>
      </c>
      <c r="I1848">
        <v>47</v>
      </c>
      <c r="J1848">
        <v>100</v>
      </c>
      <c r="K1848">
        <v>136</v>
      </c>
      <c r="L1848">
        <v>6034.33</v>
      </c>
      <c r="M1848">
        <v>-357.67</v>
      </c>
      <c r="N1848" s="1">
        <v>37841</v>
      </c>
      <c r="O1848" t="s">
        <v>25</v>
      </c>
      <c r="P1848">
        <v>3</v>
      </c>
      <c r="Q1848">
        <v>8</v>
      </c>
      <c r="R1848">
        <v>2003</v>
      </c>
      <c r="S1848" t="s">
        <v>226</v>
      </c>
    </row>
    <row r="1849" spans="1:19" x14ac:dyDescent="0.25">
      <c r="A1849">
        <v>10259</v>
      </c>
      <c r="B1849" t="s">
        <v>259</v>
      </c>
      <c r="C1849" t="s">
        <v>171</v>
      </c>
      <c r="D1849" t="s">
        <v>89</v>
      </c>
      <c r="E1849" t="s">
        <v>89</v>
      </c>
      <c r="F1849" t="s">
        <v>50</v>
      </c>
      <c r="G1849" t="s">
        <v>33</v>
      </c>
      <c r="H1849">
        <v>8</v>
      </c>
      <c r="I1849">
        <v>27</v>
      </c>
      <c r="J1849">
        <v>100</v>
      </c>
      <c r="K1849">
        <v>169</v>
      </c>
      <c r="L1849">
        <v>3657.69</v>
      </c>
      <c r="M1849">
        <v>-905.31</v>
      </c>
      <c r="N1849" s="1">
        <v>38153</v>
      </c>
      <c r="O1849" t="s">
        <v>25</v>
      </c>
      <c r="P1849">
        <v>2</v>
      </c>
      <c r="Q1849">
        <v>6</v>
      </c>
      <c r="R1849">
        <v>2004</v>
      </c>
      <c r="S1849" t="s">
        <v>83</v>
      </c>
    </row>
    <row r="1850" spans="1:19" x14ac:dyDescent="0.25">
      <c r="A1850">
        <v>10425</v>
      </c>
      <c r="B1850" t="s">
        <v>259</v>
      </c>
      <c r="C1850" t="s">
        <v>56</v>
      </c>
      <c r="D1850" t="s">
        <v>57</v>
      </c>
      <c r="E1850" t="s">
        <v>29</v>
      </c>
      <c r="F1850" t="s">
        <v>30</v>
      </c>
      <c r="G1850" t="s">
        <v>33</v>
      </c>
      <c r="H1850">
        <v>8</v>
      </c>
      <c r="I1850">
        <v>28</v>
      </c>
      <c r="J1850">
        <v>100</v>
      </c>
      <c r="K1850">
        <v>169</v>
      </c>
      <c r="L1850">
        <v>3793.16</v>
      </c>
      <c r="M1850">
        <v>-938.84</v>
      </c>
      <c r="N1850" s="1">
        <v>38503</v>
      </c>
      <c r="O1850" t="s">
        <v>125</v>
      </c>
      <c r="P1850">
        <v>2</v>
      </c>
      <c r="Q1850">
        <v>5</v>
      </c>
      <c r="R1850">
        <v>2005</v>
      </c>
      <c r="S1850" t="s">
        <v>83</v>
      </c>
    </row>
    <row r="1851" spans="1:19" x14ac:dyDescent="0.25">
      <c r="A1851">
        <v>10232</v>
      </c>
      <c r="B1851" t="s">
        <v>260</v>
      </c>
      <c r="C1851" t="s">
        <v>158</v>
      </c>
      <c r="D1851" t="s">
        <v>159</v>
      </c>
      <c r="E1851" t="s">
        <v>77</v>
      </c>
      <c r="F1851" t="s">
        <v>30</v>
      </c>
      <c r="G1851" t="s">
        <v>33</v>
      </c>
      <c r="H1851">
        <v>8</v>
      </c>
      <c r="I1851">
        <v>48</v>
      </c>
      <c r="J1851">
        <v>95.8</v>
      </c>
      <c r="K1851">
        <v>100</v>
      </c>
      <c r="L1851">
        <v>4598.3999999999996</v>
      </c>
      <c r="M1851">
        <v>-201.6</v>
      </c>
      <c r="N1851" s="1">
        <v>38066</v>
      </c>
      <c r="O1851" t="s">
        <v>25</v>
      </c>
      <c r="P1851">
        <v>1</v>
      </c>
      <c r="Q1851">
        <v>3</v>
      </c>
      <c r="R1851">
        <v>2004</v>
      </c>
      <c r="S1851" t="s">
        <v>261</v>
      </c>
    </row>
    <row r="1852" spans="1:19" x14ac:dyDescent="0.25">
      <c r="A1852">
        <v>10300</v>
      </c>
      <c r="B1852" t="s">
        <v>262</v>
      </c>
      <c r="C1852" t="s">
        <v>187</v>
      </c>
      <c r="D1852" t="s">
        <v>188</v>
      </c>
      <c r="E1852" t="s">
        <v>180</v>
      </c>
      <c r="F1852" t="s">
        <v>30</v>
      </c>
      <c r="G1852" t="s">
        <v>33</v>
      </c>
      <c r="H1852">
        <v>8</v>
      </c>
      <c r="I1852">
        <v>49</v>
      </c>
      <c r="J1852">
        <v>78.8</v>
      </c>
      <c r="K1852">
        <v>80</v>
      </c>
      <c r="L1852">
        <v>3861.2</v>
      </c>
      <c r="M1852">
        <v>-58.8</v>
      </c>
      <c r="N1852" s="1">
        <v>37898</v>
      </c>
      <c r="O1852" t="s">
        <v>25</v>
      </c>
      <c r="P1852">
        <v>4</v>
      </c>
      <c r="Q1852">
        <v>10</v>
      </c>
      <c r="R1852">
        <v>2003</v>
      </c>
      <c r="S1852" t="s">
        <v>83</v>
      </c>
    </row>
    <row r="1853" spans="1:19" x14ac:dyDescent="0.25">
      <c r="A1853">
        <v>10215</v>
      </c>
      <c r="B1853" t="s">
        <v>263</v>
      </c>
      <c r="C1853" t="s">
        <v>100</v>
      </c>
      <c r="D1853" t="s">
        <v>101</v>
      </c>
      <c r="E1853" t="s">
        <v>22</v>
      </c>
      <c r="F1853" t="s">
        <v>23</v>
      </c>
      <c r="G1853" t="s">
        <v>33</v>
      </c>
      <c r="H1853">
        <v>8</v>
      </c>
      <c r="I1853">
        <v>41</v>
      </c>
      <c r="J1853">
        <v>100</v>
      </c>
      <c r="K1853">
        <v>99</v>
      </c>
      <c r="L1853">
        <v>4555.92</v>
      </c>
      <c r="M1853">
        <v>496.92</v>
      </c>
      <c r="N1853" s="1">
        <v>38015</v>
      </c>
      <c r="O1853" t="s">
        <v>25</v>
      </c>
      <c r="P1853">
        <v>1</v>
      </c>
      <c r="Q1853">
        <v>1</v>
      </c>
      <c r="R1853">
        <v>2004</v>
      </c>
      <c r="S1853" t="s">
        <v>226</v>
      </c>
    </row>
    <row r="1854" spans="1:19" x14ac:dyDescent="0.25">
      <c r="A1854">
        <v>10312</v>
      </c>
      <c r="B1854" t="s">
        <v>263</v>
      </c>
      <c r="C1854" t="s">
        <v>115</v>
      </c>
      <c r="D1854" t="s">
        <v>116</v>
      </c>
      <c r="E1854" t="s">
        <v>22</v>
      </c>
      <c r="F1854" t="s">
        <v>23</v>
      </c>
      <c r="G1854" t="s">
        <v>33</v>
      </c>
      <c r="H1854">
        <v>8</v>
      </c>
      <c r="I1854">
        <v>33</v>
      </c>
      <c r="J1854">
        <v>100</v>
      </c>
      <c r="K1854">
        <v>99</v>
      </c>
      <c r="L1854">
        <v>3535.95</v>
      </c>
      <c r="M1854">
        <v>268.95</v>
      </c>
      <c r="N1854" s="1">
        <v>38281</v>
      </c>
      <c r="O1854" t="s">
        <v>25</v>
      </c>
      <c r="P1854">
        <v>4</v>
      </c>
      <c r="Q1854">
        <v>10</v>
      </c>
      <c r="R1854">
        <v>2004</v>
      </c>
      <c r="S1854" t="s">
        <v>226</v>
      </c>
    </row>
    <row r="1855" spans="1:19" x14ac:dyDescent="0.25">
      <c r="A1855">
        <v>10108</v>
      </c>
      <c r="B1855" t="s">
        <v>264</v>
      </c>
      <c r="C1855" t="s">
        <v>173</v>
      </c>
      <c r="D1855" t="s">
        <v>174</v>
      </c>
      <c r="E1855" t="s">
        <v>175</v>
      </c>
      <c r="F1855" t="s">
        <v>50</v>
      </c>
      <c r="G1855" t="s">
        <v>33</v>
      </c>
      <c r="H1855">
        <v>8</v>
      </c>
      <c r="I1855">
        <v>29</v>
      </c>
      <c r="J1855">
        <v>100</v>
      </c>
      <c r="K1855">
        <v>146</v>
      </c>
      <c r="L1855">
        <v>4049.56</v>
      </c>
      <c r="M1855">
        <v>-184.44</v>
      </c>
      <c r="N1855" s="1">
        <v>37683</v>
      </c>
      <c r="O1855" t="s">
        <v>25</v>
      </c>
      <c r="P1855">
        <v>1</v>
      </c>
      <c r="Q1855">
        <v>3</v>
      </c>
      <c r="R1855">
        <v>2003</v>
      </c>
      <c r="S1855" t="s">
        <v>83</v>
      </c>
    </row>
    <row r="1856" spans="1:19" x14ac:dyDescent="0.25">
      <c r="A1856">
        <v>10172</v>
      </c>
      <c r="B1856" t="s">
        <v>265</v>
      </c>
      <c r="C1856" t="s">
        <v>54</v>
      </c>
      <c r="D1856" t="s">
        <v>55</v>
      </c>
      <c r="E1856" t="s">
        <v>22</v>
      </c>
      <c r="F1856" t="s">
        <v>23</v>
      </c>
      <c r="G1856" t="s">
        <v>33</v>
      </c>
      <c r="H1856">
        <v>8</v>
      </c>
      <c r="I1856">
        <v>48</v>
      </c>
      <c r="J1856">
        <v>100</v>
      </c>
      <c r="K1856">
        <v>141</v>
      </c>
      <c r="L1856">
        <v>5493.12</v>
      </c>
      <c r="M1856">
        <v>-1274.8800000000001</v>
      </c>
      <c r="N1856" s="1">
        <v>37930</v>
      </c>
      <c r="O1856" t="s">
        <v>25</v>
      </c>
      <c r="P1856">
        <v>4</v>
      </c>
      <c r="Q1856">
        <v>11</v>
      </c>
      <c r="R1856">
        <v>2003</v>
      </c>
      <c r="S1856" t="s">
        <v>83</v>
      </c>
    </row>
    <row r="1857" spans="1:19" x14ac:dyDescent="0.25">
      <c r="A1857">
        <v>10212</v>
      </c>
      <c r="B1857" t="s">
        <v>265</v>
      </c>
      <c r="C1857" t="s">
        <v>78</v>
      </c>
      <c r="D1857" t="s">
        <v>79</v>
      </c>
      <c r="E1857" t="s">
        <v>80</v>
      </c>
      <c r="F1857" t="s">
        <v>30</v>
      </c>
      <c r="G1857" t="s">
        <v>33</v>
      </c>
      <c r="H1857">
        <v>8</v>
      </c>
      <c r="I1857">
        <v>45</v>
      </c>
      <c r="J1857">
        <v>100</v>
      </c>
      <c r="K1857">
        <v>141</v>
      </c>
      <c r="L1857">
        <v>6357.6</v>
      </c>
      <c r="M1857">
        <v>12.6</v>
      </c>
      <c r="N1857" s="1">
        <v>38002</v>
      </c>
      <c r="O1857" t="s">
        <v>25</v>
      </c>
      <c r="P1857">
        <v>1</v>
      </c>
      <c r="Q1857">
        <v>1</v>
      </c>
      <c r="R1857">
        <v>2004</v>
      </c>
      <c r="S1857" t="s">
        <v>83</v>
      </c>
    </row>
    <row r="1858" spans="1:19" x14ac:dyDescent="0.25">
      <c r="A1858">
        <v>10321</v>
      </c>
      <c r="B1858" t="s">
        <v>265</v>
      </c>
      <c r="C1858" t="s">
        <v>73</v>
      </c>
      <c r="D1858" t="s">
        <v>74</v>
      </c>
      <c r="E1858" t="s">
        <v>22</v>
      </c>
      <c r="F1858" t="s">
        <v>23</v>
      </c>
      <c r="G1858" t="s">
        <v>33</v>
      </c>
      <c r="H1858">
        <v>8</v>
      </c>
      <c r="I1858">
        <v>28</v>
      </c>
      <c r="J1858">
        <v>100</v>
      </c>
      <c r="K1858">
        <v>141</v>
      </c>
      <c r="L1858">
        <v>4232.76</v>
      </c>
      <c r="M1858">
        <v>284.76</v>
      </c>
      <c r="N1858" s="1">
        <v>38295</v>
      </c>
      <c r="O1858" t="s">
        <v>25</v>
      </c>
      <c r="P1858">
        <v>4</v>
      </c>
      <c r="Q1858">
        <v>11</v>
      </c>
      <c r="R1858">
        <v>2004</v>
      </c>
      <c r="S1858" t="s">
        <v>83</v>
      </c>
    </row>
    <row r="1859" spans="1:19" x14ac:dyDescent="0.25">
      <c r="A1859">
        <v>10159</v>
      </c>
      <c r="B1859" t="s">
        <v>266</v>
      </c>
      <c r="C1859" t="s">
        <v>36</v>
      </c>
      <c r="D1859" t="s">
        <v>37</v>
      </c>
      <c r="E1859" t="s">
        <v>22</v>
      </c>
      <c r="F1859" t="s">
        <v>23</v>
      </c>
      <c r="G1859" t="s">
        <v>24</v>
      </c>
      <c r="H1859">
        <v>8</v>
      </c>
      <c r="I1859">
        <v>21</v>
      </c>
      <c r="J1859">
        <v>64.66</v>
      </c>
      <c r="K1859">
        <v>62</v>
      </c>
      <c r="L1859">
        <v>1357.86</v>
      </c>
      <c r="M1859">
        <v>55.86</v>
      </c>
      <c r="N1859" s="1">
        <v>37904</v>
      </c>
      <c r="O1859" t="s">
        <v>25</v>
      </c>
      <c r="P1859">
        <v>4</v>
      </c>
      <c r="Q1859">
        <v>10</v>
      </c>
      <c r="R1859">
        <v>2003</v>
      </c>
      <c r="S1859" t="s">
        <v>26</v>
      </c>
    </row>
    <row r="1860" spans="1:19" x14ac:dyDescent="0.25">
      <c r="A1860">
        <v>10169</v>
      </c>
      <c r="B1860" t="s">
        <v>266</v>
      </c>
      <c r="C1860" t="s">
        <v>121</v>
      </c>
      <c r="D1860" t="s">
        <v>122</v>
      </c>
      <c r="E1860" t="s">
        <v>49</v>
      </c>
      <c r="F1860" t="s">
        <v>50</v>
      </c>
      <c r="G1860" t="s">
        <v>24</v>
      </c>
      <c r="H1860">
        <v>8</v>
      </c>
      <c r="I1860">
        <v>38</v>
      </c>
      <c r="J1860">
        <v>68.39</v>
      </c>
      <c r="K1860">
        <v>62</v>
      </c>
      <c r="L1860">
        <v>2598.8200000000002</v>
      </c>
      <c r="M1860">
        <v>242.82</v>
      </c>
      <c r="N1860" s="1">
        <v>37929</v>
      </c>
      <c r="O1860" t="s">
        <v>25</v>
      </c>
      <c r="P1860">
        <v>4</v>
      </c>
      <c r="Q1860">
        <v>11</v>
      </c>
      <c r="R1860">
        <v>2003</v>
      </c>
      <c r="S1860" t="s">
        <v>26</v>
      </c>
    </row>
    <row r="1861" spans="1:19" x14ac:dyDescent="0.25">
      <c r="A1861">
        <v>10211</v>
      </c>
      <c r="B1861" t="s">
        <v>266</v>
      </c>
      <c r="C1861" t="s">
        <v>46</v>
      </c>
      <c r="D1861" t="s">
        <v>32</v>
      </c>
      <c r="E1861" t="s">
        <v>29</v>
      </c>
      <c r="F1861" t="s">
        <v>30</v>
      </c>
      <c r="G1861" t="s">
        <v>24</v>
      </c>
      <c r="H1861">
        <v>8</v>
      </c>
      <c r="I1861">
        <v>46</v>
      </c>
      <c r="J1861">
        <v>54.09</v>
      </c>
      <c r="K1861">
        <v>62</v>
      </c>
      <c r="L1861">
        <v>2488.14</v>
      </c>
      <c r="M1861">
        <v>-363.86</v>
      </c>
      <c r="N1861" s="1">
        <v>38001</v>
      </c>
      <c r="O1861" t="s">
        <v>25</v>
      </c>
      <c r="P1861">
        <v>1</v>
      </c>
      <c r="Q1861">
        <v>1</v>
      </c>
      <c r="R1861">
        <v>2004</v>
      </c>
      <c r="S1861" t="s">
        <v>26</v>
      </c>
    </row>
    <row r="1862" spans="1:19" x14ac:dyDescent="0.25">
      <c r="A1862">
        <v>10342</v>
      </c>
      <c r="B1862" t="s">
        <v>266</v>
      </c>
      <c r="C1862" t="s">
        <v>47</v>
      </c>
      <c r="D1862" t="s">
        <v>48</v>
      </c>
      <c r="E1862" t="s">
        <v>49</v>
      </c>
      <c r="F1862" t="s">
        <v>50</v>
      </c>
      <c r="G1862" t="s">
        <v>24</v>
      </c>
      <c r="H1862">
        <v>8</v>
      </c>
      <c r="I1862">
        <v>26</v>
      </c>
      <c r="J1862">
        <v>55.95</v>
      </c>
      <c r="K1862">
        <v>62</v>
      </c>
      <c r="L1862">
        <v>1454.7</v>
      </c>
      <c r="M1862">
        <v>-157.30000000000001</v>
      </c>
      <c r="N1862" s="1">
        <v>38315</v>
      </c>
      <c r="O1862" t="s">
        <v>25</v>
      </c>
      <c r="P1862">
        <v>4</v>
      </c>
      <c r="Q1862">
        <v>11</v>
      </c>
      <c r="R1862">
        <v>2004</v>
      </c>
      <c r="S1862" t="s">
        <v>26</v>
      </c>
    </row>
    <row r="1863" spans="1:19" x14ac:dyDescent="0.25">
      <c r="A1863">
        <v>10119</v>
      </c>
      <c r="B1863" t="s">
        <v>267</v>
      </c>
      <c r="C1863" t="s">
        <v>67</v>
      </c>
      <c r="D1863" t="s">
        <v>68</v>
      </c>
      <c r="E1863" t="s">
        <v>69</v>
      </c>
      <c r="F1863" t="s">
        <v>30</v>
      </c>
      <c r="G1863" t="s">
        <v>24</v>
      </c>
      <c r="H1863">
        <v>8</v>
      </c>
      <c r="I1863">
        <v>27</v>
      </c>
      <c r="J1863">
        <v>99.52</v>
      </c>
      <c r="K1863">
        <v>105</v>
      </c>
      <c r="L1863">
        <v>2687.04</v>
      </c>
      <c r="M1863">
        <v>-147.96</v>
      </c>
      <c r="N1863" s="1">
        <v>37739</v>
      </c>
      <c r="O1863" t="s">
        <v>25</v>
      </c>
      <c r="P1863">
        <v>2</v>
      </c>
      <c r="Q1863">
        <v>4</v>
      </c>
      <c r="R1863">
        <v>2003</v>
      </c>
      <c r="S1863" t="s">
        <v>226</v>
      </c>
    </row>
    <row r="1864" spans="1:19" x14ac:dyDescent="0.25">
      <c r="A1864">
        <v>10196</v>
      </c>
      <c r="B1864" t="s">
        <v>268</v>
      </c>
      <c r="C1864" t="s">
        <v>103</v>
      </c>
      <c r="D1864" t="s">
        <v>104</v>
      </c>
      <c r="E1864" t="s">
        <v>22</v>
      </c>
      <c r="F1864" t="s">
        <v>23</v>
      </c>
      <c r="G1864" t="s">
        <v>33</v>
      </c>
      <c r="H1864">
        <v>8</v>
      </c>
      <c r="I1864">
        <v>27</v>
      </c>
      <c r="J1864">
        <v>100</v>
      </c>
      <c r="K1864">
        <v>143</v>
      </c>
      <c r="L1864">
        <v>4537.08</v>
      </c>
      <c r="M1864">
        <v>676.08</v>
      </c>
      <c r="N1864" s="1">
        <v>37951</v>
      </c>
      <c r="O1864" t="s">
        <v>25</v>
      </c>
      <c r="P1864">
        <v>4</v>
      </c>
      <c r="Q1864">
        <v>11</v>
      </c>
      <c r="R1864">
        <v>2003</v>
      </c>
      <c r="S1864" t="s">
        <v>83</v>
      </c>
    </row>
    <row r="1865" spans="1:19" x14ac:dyDescent="0.25">
      <c r="A1865">
        <v>10282</v>
      </c>
      <c r="B1865" t="s">
        <v>268</v>
      </c>
      <c r="C1865" t="s">
        <v>115</v>
      </c>
      <c r="D1865" t="s">
        <v>116</v>
      </c>
      <c r="E1865" t="s">
        <v>22</v>
      </c>
      <c r="F1865" t="s">
        <v>23</v>
      </c>
      <c r="G1865" t="s">
        <v>33</v>
      </c>
      <c r="H1865">
        <v>8</v>
      </c>
      <c r="I1865">
        <v>31</v>
      </c>
      <c r="J1865">
        <v>100</v>
      </c>
      <c r="K1865">
        <v>143</v>
      </c>
      <c r="L1865">
        <v>4674.8</v>
      </c>
      <c r="M1865">
        <v>241.8</v>
      </c>
      <c r="N1865" s="1">
        <v>38219</v>
      </c>
      <c r="O1865" t="s">
        <v>25</v>
      </c>
      <c r="P1865">
        <v>3</v>
      </c>
      <c r="Q1865">
        <v>8</v>
      </c>
      <c r="R1865">
        <v>2004</v>
      </c>
      <c r="S1865" t="s">
        <v>83</v>
      </c>
    </row>
    <row r="1866" spans="1:19" x14ac:dyDescent="0.25">
      <c r="A1866">
        <v>10314</v>
      </c>
      <c r="B1866" t="s">
        <v>268</v>
      </c>
      <c r="C1866" t="s">
        <v>199</v>
      </c>
      <c r="D1866" t="s">
        <v>200</v>
      </c>
      <c r="E1866" t="s">
        <v>137</v>
      </c>
      <c r="F1866" t="s">
        <v>30</v>
      </c>
      <c r="G1866" t="s">
        <v>33</v>
      </c>
      <c r="H1866">
        <v>8</v>
      </c>
      <c r="I1866">
        <v>29</v>
      </c>
      <c r="J1866">
        <v>100</v>
      </c>
      <c r="K1866">
        <v>143</v>
      </c>
      <c r="L1866">
        <v>4206.74</v>
      </c>
      <c r="M1866">
        <v>59.74</v>
      </c>
      <c r="N1866" s="1">
        <v>38282</v>
      </c>
      <c r="O1866" t="s">
        <v>25</v>
      </c>
      <c r="P1866">
        <v>4</v>
      </c>
      <c r="Q1866">
        <v>10</v>
      </c>
      <c r="R1866">
        <v>2004</v>
      </c>
      <c r="S1866" t="s">
        <v>83</v>
      </c>
    </row>
    <row r="1867" spans="1:19" x14ac:dyDescent="0.25">
      <c r="A1867">
        <v>10110</v>
      </c>
      <c r="B1867" t="s">
        <v>269</v>
      </c>
      <c r="C1867" t="s">
        <v>197</v>
      </c>
      <c r="D1867" t="s">
        <v>198</v>
      </c>
      <c r="E1867" t="s">
        <v>77</v>
      </c>
      <c r="F1867" t="s">
        <v>30</v>
      </c>
      <c r="G1867" t="s">
        <v>24</v>
      </c>
      <c r="H1867">
        <v>8</v>
      </c>
      <c r="I1867">
        <v>28</v>
      </c>
      <c r="J1867">
        <v>89.27</v>
      </c>
      <c r="K1867">
        <v>92</v>
      </c>
      <c r="L1867">
        <v>2499.56</v>
      </c>
      <c r="M1867">
        <v>-76.44</v>
      </c>
      <c r="N1867" s="1">
        <v>37698</v>
      </c>
      <c r="O1867" t="s">
        <v>25</v>
      </c>
      <c r="P1867">
        <v>1</v>
      </c>
      <c r="Q1867">
        <v>3</v>
      </c>
      <c r="R1867">
        <v>2003</v>
      </c>
      <c r="S1867" t="s">
        <v>226</v>
      </c>
    </row>
    <row r="1868" spans="1:19" x14ac:dyDescent="0.25">
      <c r="A1868">
        <v>10367</v>
      </c>
      <c r="B1868" t="s">
        <v>269</v>
      </c>
      <c r="C1868" t="s">
        <v>34</v>
      </c>
      <c r="D1868" t="s">
        <v>35</v>
      </c>
      <c r="E1868" t="s">
        <v>22</v>
      </c>
      <c r="F1868" t="s">
        <v>23</v>
      </c>
      <c r="G1868" t="s">
        <v>24</v>
      </c>
      <c r="H1868">
        <v>8</v>
      </c>
      <c r="I1868">
        <v>43</v>
      </c>
      <c r="J1868">
        <v>62.72</v>
      </c>
      <c r="K1868">
        <v>92</v>
      </c>
      <c r="L1868">
        <v>2696.96</v>
      </c>
      <c r="M1868">
        <v>-1259.04</v>
      </c>
      <c r="N1868" s="1">
        <v>38364</v>
      </c>
      <c r="O1868" t="s">
        <v>169</v>
      </c>
      <c r="P1868">
        <v>1</v>
      </c>
      <c r="Q1868">
        <v>1</v>
      </c>
      <c r="R1868">
        <v>2005</v>
      </c>
      <c r="S1868" t="s">
        <v>226</v>
      </c>
    </row>
    <row r="1869" spans="1:19" x14ac:dyDescent="0.25">
      <c r="A1869">
        <v>10177</v>
      </c>
      <c r="B1869" t="s">
        <v>270</v>
      </c>
      <c r="C1869" t="s">
        <v>196</v>
      </c>
      <c r="D1869" t="s">
        <v>79</v>
      </c>
      <c r="E1869" t="s">
        <v>80</v>
      </c>
      <c r="F1869" t="s">
        <v>30</v>
      </c>
      <c r="G1869" t="s">
        <v>24</v>
      </c>
      <c r="H1869">
        <v>8</v>
      </c>
      <c r="I1869">
        <v>35</v>
      </c>
      <c r="J1869">
        <v>74.599999999999994</v>
      </c>
      <c r="K1869">
        <v>87</v>
      </c>
      <c r="L1869">
        <v>2611</v>
      </c>
      <c r="M1869">
        <v>-434</v>
      </c>
      <c r="N1869" s="1">
        <v>37932</v>
      </c>
      <c r="O1869" t="s">
        <v>25</v>
      </c>
      <c r="P1869">
        <v>4</v>
      </c>
      <c r="Q1869">
        <v>11</v>
      </c>
      <c r="R1869">
        <v>2003</v>
      </c>
      <c r="S1869" t="s">
        <v>226</v>
      </c>
    </row>
    <row r="1870" spans="1:19" x14ac:dyDescent="0.25">
      <c r="A1870">
        <v>10185</v>
      </c>
      <c r="B1870" t="s">
        <v>270</v>
      </c>
      <c r="C1870" t="s">
        <v>140</v>
      </c>
      <c r="D1870" t="s">
        <v>74</v>
      </c>
      <c r="E1870" t="s">
        <v>22</v>
      </c>
      <c r="F1870" t="s">
        <v>23</v>
      </c>
      <c r="G1870" t="s">
        <v>33</v>
      </c>
      <c r="H1870">
        <v>8</v>
      </c>
      <c r="I1870">
        <v>47</v>
      </c>
      <c r="J1870">
        <v>77.239999999999995</v>
      </c>
      <c r="K1870">
        <v>87</v>
      </c>
      <c r="L1870">
        <v>3630.28</v>
      </c>
      <c r="M1870">
        <v>-458.72</v>
      </c>
      <c r="N1870" s="1">
        <v>37939</v>
      </c>
      <c r="O1870" t="s">
        <v>25</v>
      </c>
      <c r="P1870">
        <v>4</v>
      </c>
      <c r="Q1870">
        <v>11</v>
      </c>
      <c r="R1870">
        <v>2003</v>
      </c>
      <c r="S1870" t="s">
        <v>226</v>
      </c>
    </row>
    <row r="1871" spans="1:19" x14ac:dyDescent="0.25">
      <c r="A1871">
        <v>10208</v>
      </c>
      <c r="B1871" t="s">
        <v>270</v>
      </c>
      <c r="C1871" t="s">
        <v>95</v>
      </c>
      <c r="D1871" t="s">
        <v>96</v>
      </c>
      <c r="E1871" t="s">
        <v>29</v>
      </c>
      <c r="F1871" t="s">
        <v>30</v>
      </c>
      <c r="G1871" t="s">
        <v>33</v>
      </c>
      <c r="H1871">
        <v>8</v>
      </c>
      <c r="I1871">
        <v>45</v>
      </c>
      <c r="J1871">
        <v>87.77</v>
      </c>
      <c r="K1871">
        <v>87</v>
      </c>
      <c r="L1871">
        <v>3949.65</v>
      </c>
      <c r="M1871">
        <v>34.65</v>
      </c>
      <c r="N1871" s="1">
        <v>37988</v>
      </c>
      <c r="O1871" t="s">
        <v>25</v>
      </c>
      <c r="P1871">
        <v>1</v>
      </c>
      <c r="Q1871">
        <v>1</v>
      </c>
      <c r="R1871">
        <v>2004</v>
      </c>
      <c r="S1871" t="s">
        <v>226</v>
      </c>
    </row>
    <row r="1872" spans="1:19" x14ac:dyDescent="0.25">
      <c r="A1872">
        <v>10306</v>
      </c>
      <c r="B1872" t="s">
        <v>270</v>
      </c>
      <c r="C1872" t="s">
        <v>197</v>
      </c>
      <c r="D1872" t="s">
        <v>198</v>
      </c>
      <c r="E1872" t="s">
        <v>77</v>
      </c>
      <c r="F1872" t="s">
        <v>30</v>
      </c>
      <c r="G1872" t="s">
        <v>33</v>
      </c>
      <c r="H1872">
        <v>8</v>
      </c>
      <c r="I1872">
        <v>39</v>
      </c>
      <c r="J1872">
        <v>90.4</v>
      </c>
      <c r="K1872">
        <v>87</v>
      </c>
      <c r="L1872">
        <v>3525.6</v>
      </c>
      <c r="M1872">
        <v>132.6</v>
      </c>
      <c r="N1872" s="1">
        <v>38274</v>
      </c>
      <c r="O1872" t="s">
        <v>25</v>
      </c>
      <c r="P1872">
        <v>4</v>
      </c>
      <c r="Q1872">
        <v>10</v>
      </c>
      <c r="R1872">
        <v>2004</v>
      </c>
      <c r="S1872" t="s">
        <v>226</v>
      </c>
    </row>
    <row r="1873" spans="1:19" x14ac:dyDescent="0.25">
      <c r="A1873">
        <v>10313</v>
      </c>
      <c r="B1873" t="s">
        <v>271</v>
      </c>
      <c r="C1873" t="s">
        <v>97</v>
      </c>
      <c r="D1873" t="s">
        <v>98</v>
      </c>
      <c r="E1873" t="s">
        <v>99</v>
      </c>
      <c r="F1873" t="s">
        <v>23</v>
      </c>
      <c r="G1873" t="s">
        <v>24</v>
      </c>
      <c r="H1873">
        <v>8</v>
      </c>
      <c r="I1873">
        <v>28</v>
      </c>
      <c r="J1873">
        <v>100</v>
      </c>
      <c r="K1873">
        <v>121</v>
      </c>
      <c r="L1873">
        <v>2881.76</v>
      </c>
      <c r="M1873">
        <v>-506.24</v>
      </c>
      <c r="N1873" s="1">
        <v>38282</v>
      </c>
      <c r="O1873" t="s">
        <v>25</v>
      </c>
      <c r="P1873">
        <v>4</v>
      </c>
      <c r="Q1873">
        <v>10</v>
      </c>
      <c r="R1873">
        <v>2004</v>
      </c>
      <c r="S1873" t="s">
        <v>202</v>
      </c>
    </row>
    <row r="1874" spans="1:19" x14ac:dyDescent="0.25">
      <c r="A1874">
        <v>10333</v>
      </c>
      <c r="B1874" t="s">
        <v>272</v>
      </c>
      <c r="C1874" t="s">
        <v>45</v>
      </c>
      <c r="D1874" t="s">
        <v>37</v>
      </c>
      <c r="E1874" t="s">
        <v>22</v>
      </c>
      <c r="F1874" t="s">
        <v>23</v>
      </c>
      <c r="G1874" t="s">
        <v>24</v>
      </c>
      <c r="H1874">
        <v>8</v>
      </c>
      <c r="I1874">
        <v>24</v>
      </c>
      <c r="J1874">
        <v>79.86</v>
      </c>
      <c r="K1874">
        <v>50</v>
      </c>
      <c r="L1874">
        <v>1916.64</v>
      </c>
      <c r="M1874">
        <v>716.64</v>
      </c>
      <c r="N1874" s="1">
        <v>38309</v>
      </c>
      <c r="O1874" t="s">
        <v>25</v>
      </c>
      <c r="P1874">
        <v>4</v>
      </c>
      <c r="Q1874">
        <v>11</v>
      </c>
      <c r="R1874">
        <v>2004</v>
      </c>
      <c r="S1874" t="s">
        <v>226</v>
      </c>
    </row>
    <row r="1875" spans="1:19" x14ac:dyDescent="0.25">
      <c r="A1875">
        <v>10358</v>
      </c>
      <c r="B1875" t="s">
        <v>272</v>
      </c>
      <c r="C1875" t="s">
        <v>78</v>
      </c>
      <c r="D1875" t="s">
        <v>79</v>
      </c>
      <c r="E1875" t="s">
        <v>80</v>
      </c>
      <c r="F1875" t="s">
        <v>30</v>
      </c>
      <c r="G1875" t="s">
        <v>33</v>
      </c>
      <c r="H1875">
        <v>8</v>
      </c>
      <c r="I1875">
        <v>30</v>
      </c>
      <c r="J1875">
        <v>100</v>
      </c>
      <c r="K1875">
        <v>50</v>
      </c>
      <c r="L1875">
        <v>5302.8</v>
      </c>
      <c r="M1875">
        <v>3802.8</v>
      </c>
      <c r="N1875" s="1">
        <v>38331</v>
      </c>
      <c r="O1875" t="s">
        <v>25</v>
      </c>
      <c r="P1875">
        <v>4</v>
      </c>
      <c r="Q1875">
        <v>12</v>
      </c>
      <c r="R1875">
        <v>2004</v>
      </c>
      <c r="S1875" t="s">
        <v>226</v>
      </c>
    </row>
    <row r="1876" spans="1:19" x14ac:dyDescent="0.25">
      <c r="A1876">
        <v>10191</v>
      </c>
      <c r="B1876" t="s">
        <v>273</v>
      </c>
      <c r="C1876" t="s">
        <v>178</v>
      </c>
      <c r="D1876" t="s">
        <v>179</v>
      </c>
      <c r="E1876" t="s">
        <v>180</v>
      </c>
      <c r="F1876" t="s">
        <v>30</v>
      </c>
      <c r="G1876" t="s">
        <v>33</v>
      </c>
      <c r="H1876">
        <v>8</v>
      </c>
      <c r="I1876">
        <v>32</v>
      </c>
      <c r="J1876">
        <v>100</v>
      </c>
      <c r="K1876">
        <v>148</v>
      </c>
      <c r="L1876">
        <v>4237.76</v>
      </c>
      <c r="M1876">
        <v>-498.24</v>
      </c>
      <c r="N1876" s="1">
        <v>37945</v>
      </c>
      <c r="O1876" t="s">
        <v>25</v>
      </c>
      <c r="P1876">
        <v>4</v>
      </c>
      <c r="Q1876">
        <v>11</v>
      </c>
      <c r="R1876">
        <v>2003</v>
      </c>
      <c r="S1876" t="s">
        <v>83</v>
      </c>
    </row>
    <row r="1877" spans="1:19" x14ac:dyDescent="0.25">
      <c r="A1877">
        <v>10238</v>
      </c>
      <c r="B1877" t="s">
        <v>273</v>
      </c>
      <c r="C1877" t="s">
        <v>135</v>
      </c>
      <c r="D1877" t="s">
        <v>136</v>
      </c>
      <c r="E1877" t="s">
        <v>137</v>
      </c>
      <c r="F1877" t="s">
        <v>30</v>
      </c>
      <c r="G1877" t="s">
        <v>33</v>
      </c>
      <c r="H1877">
        <v>8</v>
      </c>
      <c r="I1877">
        <v>44</v>
      </c>
      <c r="J1877">
        <v>100</v>
      </c>
      <c r="K1877">
        <v>148</v>
      </c>
      <c r="L1877">
        <v>6350.96</v>
      </c>
      <c r="M1877">
        <v>-161.04</v>
      </c>
      <c r="N1877" s="1">
        <v>38086</v>
      </c>
      <c r="O1877" t="s">
        <v>25</v>
      </c>
      <c r="P1877">
        <v>2</v>
      </c>
      <c r="Q1877">
        <v>4</v>
      </c>
      <c r="R1877">
        <v>2004</v>
      </c>
      <c r="S1877" t="s">
        <v>83</v>
      </c>
    </row>
    <row r="1878" spans="1:19" x14ac:dyDescent="0.25">
      <c r="A1878">
        <v>10276</v>
      </c>
      <c r="B1878" t="s">
        <v>273</v>
      </c>
      <c r="C1878" t="s">
        <v>186</v>
      </c>
      <c r="D1878" t="s">
        <v>120</v>
      </c>
      <c r="E1878" t="s">
        <v>22</v>
      </c>
      <c r="F1878" t="s">
        <v>23</v>
      </c>
      <c r="G1878" t="s">
        <v>33</v>
      </c>
      <c r="H1878">
        <v>8</v>
      </c>
      <c r="I1878">
        <v>48</v>
      </c>
      <c r="J1878">
        <v>100</v>
      </c>
      <c r="K1878">
        <v>148</v>
      </c>
      <c r="L1878">
        <v>5713.92</v>
      </c>
      <c r="M1878">
        <v>-1390.08</v>
      </c>
      <c r="N1878" s="1">
        <v>38201</v>
      </c>
      <c r="O1878" t="s">
        <v>25</v>
      </c>
      <c r="P1878">
        <v>3</v>
      </c>
      <c r="Q1878">
        <v>8</v>
      </c>
      <c r="R1878">
        <v>2004</v>
      </c>
      <c r="S1878" t="s">
        <v>83</v>
      </c>
    </row>
    <row r="1879" spans="1:19" x14ac:dyDescent="0.25">
      <c r="A1879">
        <v>10378</v>
      </c>
      <c r="B1879" t="s">
        <v>273</v>
      </c>
      <c r="C1879" t="s">
        <v>78</v>
      </c>
      <c r="D1879" t="s">
        <v>79</v>
      </c>
      <c r="E1879" t="s">
        <v>80</v>
      </c>
      <c r="F1879" t="s">
        <v>30</v>
      </c>
      <c r="G1879" t="s">
        <v>33</v>
      </c>
      <c r="H1879">
        <v>8</v>
      </c>
      <c r="I1879">
        <v>49</v>
      </c>
      <c r="J1879">
        <v>67.14</v>
      </c>
      <c r="K1879">
        <v>148</v>
      </c>
      <c r="L1879">
        <v>3289.86</v>
      </c>
      <c r="M1879">
        <v>-3962.14</v>
      </c>
      <c r="N1879" s="1">
        <v>38393</v>
      </c>
      <c r="O1879" t="s">
        <v>25</v>
      </c>
      <c r="P1879">
        <v>1</v>
      </c>
      <c r="Q1879">
        <v>2</v>
      </c>
      <c r="R1879">
        <v>2005</v>
      </c>
      <c r="S1879" t="s">
        <v>83</v>
      </c>
    </row>
    <row r="1880" spans="1:19" x14ac:dyDescent="0.25">
      <c r="A1880">
        <v>10124</v>
      </c>
      <c r="B1880" t="s">
        <v>274</v>
      </c>
      <c r="C1880" t="s">
        <v>221</v>
      </c>
      <c r="D1880" t="s">
        <v>222</v>
      </c>
      <c r="E1880" t="s">
        <v>22</v>
      </c>
      <c r="F1880" t="s">
        <v>23</v>
      </c>
      <c r="G1880" t="s">
        <v>24</v>
      </c>
      <c r="H1880">
        <v>8</v>
      </c>
      <c r="I1880">
        <v>23</v>
      </c>
      <c r="J1880">
        <v>57.73</v>
      </c>
      <c r="K1880">
        <v>71</v>
      </c>
      <c r="L1880">
        <v>1327.79</v>
      </c>
      <c r="M1880">
        <v>-305.20999999999998</v>
      </c>
      <c r="N1880" s="1">
        <v>37762</v>
      </c>
      <c r="O1880" t="s">
        <v>25</v>
      </c>
      <c r="P1880">
        <v>2</v>
      </c>
      <c r="Q1880">
        <v>5</v>
      </c>
      <c r="R1880">
        <v>2003</v>
      </c>
      <c r="S1880" t="s">
        <v>83</v>
      </c>
    </row>
    <row r="1881" spans="1:19" x14ac:dyDescent="0.25">
      <c r="A1881">
        <v>10241</v>
      </c>
      <c r="B1881" t="s">
        <v>275</v>
      </c>
      <c r="C1881" t="s">
        <v>217</v>
      </c>
      <c r="D1881" t="s">
        <v>218</v>
      </c>
      <c r="E1881" t="s">
        <v>29</v>
      </c>
      <c r="F1881" t="s">
        <v>30</v>
      </c>
      <c r="G1881" t="s">
        <v>24</v>
      </c>
      <c r="H1881">
        <v>8</v>
      </c>
      <c r="I1881">
        <v>22</v>
      </c>
      <c r="J1881">
        <v>76.430000000000007</v>
      </c>
      <c r="K1881">
        <v>73</v>
      </c>
      <c r="L1881">
        <v>1681.46</v>
      </c>
      <c r="M1881">
        <v>75.459999999999994</v>
      </c>
      <c r="N1881" s="1">
        <v>38090</v>
      </c>
      <c r="O1881" t="s">
        <v>25</v>
      </c>
      <c r="P1881">
        <v>2</v>
      </c>
      <c r="Q1881">
        <v>4</v>
      </c>
      <c r="R1881">
        <v>2004</v>
      </c>
      <c r="S1881" t="s">
        <v>83</v>
      </c>
    </row>
    <row r="1882" spans="1:19" x14ac:dyDescent="0.25">
      <c r="A1882">
        <v>10407</v>
      </c>
      <c r="B1882" t="s">
        <v>275</v>
      </c>
      <c r="C1882" t="s">
        <v>162</v>
      </c>
      <c r="D1882" t="s">
        <v>163</v>
      </c>
      <c r="E1882" t="s">
        <v>22</v>
      </c>
      <c r="F1882" t="s">
        <v>23</v>
      </c>
      <c r="G1882" t="s">
        <v>24</v>
      </c>
      <c r="H1882">
        <v>8</v>
      </c>
      <c r="I1882">
        <v>26</v>
      </c>
      <c r="J1882">
        <v>76.430000000000007</v>
      </c>
      <c r="K1882">
        <v>73</v>
      </c>
      <c r="L1882">
        <v>1987.18</v>
      </c>
      <c r="M1882">
        <v>89.18</v>
      </c>
      <c r="N1882" s="1">
        <v>38464</v>
      </c>
      <c r="O1882" t="s">
        <v>164</v>
      </c>
      <c r="P1882">
        <v>2</v>
      </c>
      <c r="Q1882">
        <v>4</v>
      </c>
      <c r="R1882">
        <v>2005</v>
      </c>
      <c r="S1882" t="s">
        <v>83</v>
      </c>
    </row>
    <row r="1883" spans="1:19" x14ac:dyDescent="0.25">
      <c r="A1883">
        <v>10127</v>
      </c>
      <c r="B1883" t="s">
        <v>276</v>
      </c>
      <c r="C1883" t="s">
        <v>192</v>
      </c>
      <c r="D1883" t="s">
        <v>21</v>
      </c>
      <c r="E1883" t="s">
        <v>22</v>
      </c>
      <c r="F1883" t="s">
        <v>23</v>
      </c>
      <c r="G1883" t="s">
        <v>24</v>
      </c>
      <c r="H1883">
        <v>8</v>
      </c>
      <c r="I1883">
        <v>20</v>
      </c>
      <c r="J1883">
        <v>60.69</v>
      </c>
      <c r="K1883">
        <v>57</v>
      </c>
      <c r="L1883">
        <v>1213.8</v>
      </c>
      <c r="M1883">
        <v>73.8</v>
      </c>
      <c r="N1883" s="1">
        <v>37775</v>
      </c>
      <c r="O1883" t="s">
        <v>25</v>
      </c>
      <c r="P1883">
        <v>2</v>
      </c>
      <c r="Q1883">
        <v>6</v>
      </c>
      <c r="R1883">
        <v>2003</v>
      </c>
      <c r="S1883" t="s">
        <v>83</v>
      </c>
    </row>
    <row r="1884" spans="1:19" x14ac:dyDescent="0.25">
      <c r="A1884">
        <v>10176</v>
      </c>
      <c r="B1884" t="s">
        <v>276</v>
      </c>
      <c r="C1884" t="s">
        <v>184</v>
      </c>
      <c r="D1884" t="s">
        <v>185</v>
      </c>
      <c r="E1884" t="s">
        <v>110</v>
      </c>
      <c r="F1884" t="s">
        <v>30</v>
      </c>
      <c r="G1884" t="s">
        <v>24</v>
      </c>
      <c r="H1884">
        <v>8</v>
      </c>
      <c r="I1884">
        <v>27</v>
      </c>
      <c r="J1884">
        <v>68.78</v>
      </c>
      <c r="K1884">
        <v>57</v>
      </c>
      <c r="L1884">
        <v>1857.06</v>
      </c>
      <c r="M1884">
        <v>318.06</v>
      </c>
      <c r="N1884" s="1">
        <v>37931</v>
      </c>
      <c r="O1884" t="s">
        <v>25</v>
      </c>
      <c r="P1884">
        <v>4</v>
      </c>
      <c r="Q1884">
        <v>11</v>
      </c>
      <c r="R1884">
        <v>2003</v>
      </c>
      <c r="S1884" t="s">
        <v>83</v>
      </c>
    </row>
    <row r="1885" spans="1:19" x14ac:dyDescent="0.25">
      <c r="A1885">
        <v>10220</v>
      </c>
      <c r="B1885" t="s">
        <v>276</v>
      </c>
      <c r="C1885" t="s">
        <v>193</v>
      </c>
      <c r="D1885" t="s">
        <v>194</v>
      </c>
      <c r="E1885" t="s">
        <v>195</v>
      </c>
      <c r="F1885" t="s">
        <v>30</v>
      </c>
      <c r="G1885" t="s">
        <v>24</v>
      </c>
      <c r="H1885">
        <v>8</v>
      </c>
      <c r="I1885">
        <v>26</v>
      </c>
      <c r="J1885">
        <v>56.07</v>
      </c>
      <c r="K1885">
        <v>57</v>
      </c>
      <c r="L1885">
        <v>1457.82</v>
      </c>
      <c r="M1885">
        <v>-24.18</v>
      </c>
      <c r="N1885" s="1">
        <v>38029</v>
      </c>
      <c r="O1885" t="s">
        <v>25</v>
      </c>
      <c r="P1885">
        <v>1</v>
      </c>
      <c r="Q1885">
        <v>2</v>
      </c>
      <c r="R1885">
        <v>2004</v>
      </c>
      <c r="S1885" t="s">
        <v>83</v>
      </c>
    </row>
    <row r="1886" spans="1:19" x14ac:dyDescent="0.25">
      <c r="A1886">
        <v>10237</v>
      </c>
      <c r="B1886" t="s">
        <v>277</v>
      </c>
      <c r="C1886" t="s">
        <v>51</v>
      </c>
      <c r="D1886" t="s">
        <v>21</v>
      </c>
      <c r="E1886" t="s">
        <v>22</v>
      </c>
      <c r="F1886" t="s">
        <v>23</v>
      </c>
      <c r="G1886" t="s">
        <v>24</v>
      </c>
      <c r="H1886">
        <v>8</v>
      </c>
      <c r="I1886">
        <v>20</v>
      </c>
      <c r="J1886">
        <v>100</v>
      </c>
      <c r="K1886">
        <v>112</v>
      </c>
      <c r="L1886">
        <v>2299</v>
      </c>
      <c r="M1886">
        <v>59</v>
      </c>
      <c r="N1886" s="1">
        <v>38082</v>
      </c>
      <c r="O1886" t="s">
        <v>25</v>
      </c>
      <c r="P1886">
        <v>2</v>
      </c>
      <c r="Q1886">
        <v>4</v>
      </c>
      <c r="R1886">
        <v>2004</v>
      </c>
      <c r="S1886" t="s">
        <v>26</v>
      </c>
    </row>
    <row r="1887" spans="1:19" x14ac:dyDescent="0.25">
      <c r="A1887">
        <v>10403</v>
      </c>
      <c r="B1887" t="s">
        <v>277</v>
      </c>
      <c r="C1887" t="s">
        <v>75</v>
      </c>
      <c r="D1887" t="s">
        <v>76</v>
      </c>
      <c r="E1887" t="s">
        <v>77</v>
      </c>
      <c r="F1887" t="s">
        <v>30</v>
      </c>
      <c r="G1887" t="s">
        <v>33</v>
      </c>
      <c r="H1887">
        <v>8</v>
      </c>
      <c r="I1887">
        <v>46</v>
      </c>
      <c r="J1887">
        <v>100</v>
      </c>
      <c r="K1887">
        <v>112</v>
      </c>
      <c r="L1887">
        <v>5287.7</v>
      </c>
      <c r="M1887">
        <v>135.69999999999999</v>
      </c>
      <c r="N1887" s="1">
        <v>38450</v>
      </c>
      <c r="O1887" t="s">
        <v>25</v>
      </c>
      <c r="P1887">
        <v>2</v>
      </c>
      <c r="Q1887">
        <v>4</v>
      </c>
      <c r="R1887">
        <v>2005</v>
      </c>
      <c r="S1887" t="s">
        <v>26</v>
      </c>
    </row>
    <row r="1888" spans="1:19" x14ac:dyDescent="0.25">
      <c r="A1888">
        <v>10148</v>
      </c>
      <c r="B1888" t="s">
        <v>278</v>
      </c>
      <c r="C1888" t="s">
        <v>121</v>
      </c>
      <c r="D1888" t="s">
        <v>122</v>
      </c>
      <c r="E1888" t="s">
        <v>49</v>
      </c>
      <c r="F1888" t="s">
        <v>50</v>
      </c>
      <c r="G1888" t="s">
        <v>24</v>
      </c>
      <c r="H1888">
        <v>8</v>
      </c>
      <c r="I1888">
        <v>47</v>
      </c>
      <c r="J1888">
        <v>56.85</v>
      </c>
      <c r="K1888">
        <v>50</v>
      </c>
      <c r="L1888">
        <v>2671.95</v>
      </c>
      <c r="M1888">
        <v>321.95</v>
      </c>
      <c r="N1888" s="1">
        <v>37875</v>
      </c>
      <c r="O1888" t="s">
        <v>25</v>
      </c>
      <c r="P1888">
        <v>3</v>
      </c>
      <c r="Q1888">
        <v>9</v>
      </c>
      <c r="R1888">
        <v>2003</v>
      </c>
      <c r="S1888" t="s">
        <v>83</v>
      </c>
    </row>
    <row r="1889" spans="1:19" x14ac:dyDescent="0.25">
      <c r="A1889">
        <v>10311</v>
      </c>
      <c r="B1889" t="s">
        <v>278</v>
      </c>
      <c r="C1889" t="s">
        <v>78</v>
      </c>
      <c r="D1889" t="s">
        <v>79</v>
      </c>
      <c r="E1889" t="s">
        <v>80</v>
      </c>
      <c r="F1889" t="s">
        <v>30</v>
      </c>
      <c r="G1889" t="s">
        <v>24</v>
      </c>
      <c r="H1889">
        <v>8</v>
      </c>
      <c r="I1889">
        <v>45</v>
      </c>
      <c r="J1889">
        <v>49.3</v>
      </c>
      <c r="K1889">
        <v>50</v>
      </c>
      <c r="L1889">
        <v>2218.5</v>
      </c>
      <c r="M1889">
        <v>-31.5</v>
      </c>
      <c r="N1889" s="1">
        <v>38276</v>
      </c>
      <c r="O1889" t="s">
        <v>25</v>
      </c>
      <c r="P1889">
        <v>4</v>
      </c>
      <c r="Q1889">
        <v>10</v>
      </c>
      <c r="R1889">
        <v>2004</v>
      </c>
      <c r="S1889" t="s">
        <v>83</v>
      </c>
    </row>
    <row r="1890" spans="1:19" x14ac:dyDescent="0.25">
      <c r="A1890">
        <v>10391</v>
      </c>
      <c r="B1890" t="s">
        <v>280</v>
      </c>
      <c r="C1890" t="s">
        <v>121</v>
      </c>
      <c r="D1890" t="s">
        <v>122</v>
      </c>
      <c r="E1890" t="s">
        <v>49</v>
      </c>
      <c r="F1890" t="s">
        <v>50</v>
      </c>
      <c r="G1890" t="s">
        <v>70</v>
      </c>
      <c r="H1890">
        <v>8</v>
      </c>
      <c r="I1890">
        <v>33</v>
      </c>
      <c r="J1890">
        <v>100</v>
      </c>
      <c r="K1890">
        <v>33</v>
      </c>
      <c r="L1890">
        <v>8344.7099999999991</v>
      </c>
      <c r="M1890">
        <v>7255.71</v>
      </c>
      <c r="N1890" s="1">
        <v>38420</v>
      </c>
      <c r="O1890" t="s">
        <v>25</v>
      </c>
      <c r="P1890">
        <v>1</v>
      </c>
      <c r="Q1890">
        <v>3</v>
      </c>
      <c r="R1890">
        <v>2005</v>
      </c>
      <c r="S1890" t="s">
        <v>226</v>
      </c>
    </row>
    <row r="1891" spans="1:19" x14ac:dyDescent="0.25">
      <c r="A1891">
        <v>10340</v>
      </c>
      <c r="B1891" t="s">
        <v>281</v>
      </c>
      <c r="C1891" t="s">
        <v>145</v>
      </c>
      <c r="D1891" t="s">
        <v>146</v>
      </c>
      <c r="E1891" t="s">
        <v>80</v>
      </c>
      <c r="F1891" t="s">
        <v>30</v>
      </c>
      <c r="G1891" t="s">
        <v>33</v>
      </c>
      <c r="H1891">
        <v>8</v>
      </c>
      <c r="I1891">
        <v>55</v>
      </c>
      <c r="J1891">
        <v>79.98</v>
      </c>
      <c r="K1891">
        <v>76</v>
      </c>
      <c r="L1891">
        <v>4398.8999999999996</v>
      </c>
      <c r="M1891">
        <v>218.9</v>
      </c>
      <c r="N1891" s="1">
        <v>38315</v>
      </c>
      <c r="O1891" t="s">
        <v>25</v>
      </c>
      <c r="P1891">
        <v>4</v>
      </c>
      <c r="Q1891">
        <v>11</v>
      </c>
      <c r="R1891">
        <v>2004</v>
      </c>
      <c r="S1891" t="s">
        <v>26</v>
      </c>
    </row>
    <row r="1892" spans="1:19" x14ac:dyDescent="0.25">
      <c r="A1892">
        <v>10363</v>
      </c>
      <c r="B1892" t="s">
        <v>281</v>
      </c>
      <c r="C1892" t="s">
        <v>189</v>
      </c>
      <c r="D1892" t="s">
        <v>190</v>
      </c>
      <c r="E1892" t="s">
        <v>62</v>
      </c>
      <c r="F1892" t="s">
        <v>30</v>
      </c>
      <c r="G1892" t="s">
        <v>33</v>
      </c>
      <c r="H1892">
        <v>8</v>
      </c>
      <c r="I1892">
        <v>21</v>
      </c>
      <c r="J1892">
        <v>100</v>
      </c>
      <c r="K1892">
        <v>76</v>
      </c>
      <c r="L1892">
        <v>3595.62</v>
      </c>
      <c r="M1892">
        <v>1999.62</v>
      </c>
      <c r="N1892" s="1">
        <v>38358</v>
      </c>
      <c r="O1892" t="s">
        <v>25</v>
      </c>
      <c r="P1892">
        <v>1</v>
      </c>
      <c r="Q1892">
        <v>1</v>
      </c>
      <c r="R1892">
        <v>2005</v>
      </c>
      <c r="S1892" t="s">
        <v>26</v>
      </c>
    </row>
    <row r="1893" spans="1:19" x14ac:dyDescent="0.25">
      <c r="A1893">
        <v>10261</v>
      </c>
      <c r="B1893" t="s">
        <v>282</v>
      </c>
      <c r="C1893" t="s">
        <v>123</v>
      </c>
      <c r="D1893" t="s">
        <v>124</v>
      </c>
      <c r="E1893" t="s">
        <v>99</v>
      </c>
      <c r="F1893" t="s">
        <v>23</v>
      </c>
      <c r="G1893" t="s">
        <v>33</v>
      </c>
      <c r="H1893">
        <v>8</v>
      </c>
      <c r="I1893">
        <v>36</v>
      </c>
      <c r="J1893">
        <v>100</v>
      </c>
      <c r="K1893">
        <v>122</v>
      </c>
      <c r="L1893">
        <v>4512.6000000000004</v>
      </c>
      <c r="M1893">
        <v>120.6</v>
      </c>
      <c r="N1893" s="1">
        <v>38155</v>
      </c>
      <c r="O1893" t="s">
        <v>25</v>
      </c>
      <c r="P1893">
        <v>2</v>
      </c>
      <c r="Q1893">
        <v>6</v>
      </c>
      <c r="R1893">
        <v>2004</v>
      </c>
      <c r="S1893" t="s">
        <v>255</v>
      </c>
    </row>
    <row r="1894" spans="1:19" x14ac:dyDescent="0.25">
      <c r="A1894">
        <v>10372</v>
      </c>
      <c r="B1894" t="s">
        <v>282</v>
      </c>
      <c r="C1894" t="s">
        <v>105</v>
      </c>
      <c r="D1894" t="s">
        <v>106</v>
      </c>
      <c r="E1894" t="s">
        <v>107</v>
      </c>
      <c r="F1894" t="s">
        <v>50</v>
      </c>
      <c r="G1894" t="s">
        <v>33</v>
      </c>
      <c r="H1894">
        <v>8</v>
      </c>
      <c r="I1894">
        <v>37</v>
      </c>
      <c r="J1894">
        <v>100</v>
      </c>
      <c r="K1894">
        <v>122</v>
      </c>
      <c r="L1894">
        <v>3910.53</v>
      </c>
      <c r="M1894">
        <v>-603.47</v>
      </c>
      <c r="N1894" s="1">
        <v>38378</v>
      </c>
      <c r="O1894" t="s">
        <v>25</v>
      </c>
      <c r="P1894">
        <v>1</v>
      </c>
      <c r="Q1894">
        <v>1</v>
      </c>
      <c r="R1894">
        <v>2005</v>
      </c>
      <c r="S1894" t="s">
        <v>255</v>
      </c>
    </row>
    <row r="1895" spans="1:19" x14ac:dyDescent="0.25">
      <c r="A1895">
        <v>10173</v>
      </c>
      <c r="B1895" t="s">
        <v>283</v>
      </c>
      <c r="C1895" t="s">
        <v>227</v>
      </c>
      <c r="D1895" t="s">
        <v>228</v>
      </c>
      <c r="E1895" t="s">
        <v>110</v>
      </c>
      <c r="F1895" t="s">
        <v>30</v>
      </c>
      <c r="G1895" t="s">
        <v>24</v>
      </c>
      <c r="H1895">
        <v>8</v>
      </c>
      <c r="I1895">
        <v>27</v>
      </c>
      <c r="J1895">
        <v>41.22</v>
      </c>
      <c r="K1895">
        <v>44</v>
      </c>
      <c r="L1895">
        <v>1112.94</v>
      </c>
      <c r="M1895">
        <v>-75.06</v>
      </c>
      <c r="N1895" s="1">
        <v>37930</v>
      </c>
      <c r="O1895" t="s">
        <v>25</v>
      </c>
      <c r="P1895">
        <v>4</v>
      </c>
      <c r="Q1895">
        <v>11</v>
      </c>
      <c r="R1895">
        <v>2003</v>
      </c>
      <c r="S1895" t="s">
        <v>226</v>
      </c>
    </row>
    <row r="1896" spans="1:19" x14ac:dyDescent="0.25">
      <c r="A1896">
        <v>10151</v>
      </c>
      <c r="B1896" t="s">
        <v>284</v>
      </c>
      <c r="C1896" t="s">
        <v>160</v>
      </c>
      <c r="D1896" t="s">
        <v>161</v>
      </c>
      <c r="E1896" t="s">
        <v>62</v>
      </c>
      <c r="F1896" t="s">
        <v>30</v>
      </c>
      <c r="G1896" t="s">
        <v>33</v>
      </c>
      <c r="H1896">
        <v>8</v>
      </c>
      <c r="I1896">
        <v>42</v>
      </c>
      <c r="J1896">
        <v>100</v>
      </c>
      <c r="K1896">
        <v>127</v>
      </c>
      <c r="L1896">
        <v>5098.8</v>
      </c>
      <c r="M1896">
        <v>-235.2</v>
      </c>
      <c r="N1896" s="1">
        <v>37885</v>
      </c>
      <c r="O1896" t="s">
        <v>25</v>
      </c>
      <c r="P1896">
        <v>3</v>
      </c>
      <c r="Q1896">
        <v>9</v>
      </c>
      <c r="R1896">
        <v>2003</v>
      </c>
      <c r="S1896" t="s">
        <v>202</v>
      </c>
    </row>
    <row r="1897" spans="1:19" x14ac:dyDescent="0.25">
      <c r="A1897">
        <v>10252</v>
      </c>
      <c r="B1897" t="s">
        <v>285</v>
      </c>
      <c r="C1897" t="s">
        <v>46</v>
      </c>
      <c r="D1897" t="s">
        <v>32</v>
      </c>
      <c r="E1897" t="s">
        <v>29</v>
      </c>
      <c r="F1897" t="s">
        <v>30</v>
      </c>
      <c r="G1897" t="s">
        <v>33</v>
      </c>
      <c r="H1897">
        <v>8</v>
      </c>
      <c r="I1897">
        <v>47</v>
      </c>
      <c r="J1897">
        <v>65.8</v>
      </c>
      <c r="K1897">
        <v>69</v>
      </c>
      <c r="L1897">
        <v>3092.6</v>
      </c>
      <c r="M1897">
        <v>-150.4</v>
      </c>
      <c r="N1897" s="1">
        <v>38133</v>
      </c>
      <c r="O1897" t="s">
        <v>25</v>
      </c>
      <c r="P1897">
        <v>2</v>
      </c>
      <c r="Q1897">
        <v>5</v>
      </c>
      <c r="R1897">
        <v>2004</v>
      </c>
      <c r="S1897" t="s">
        <v>26</v>
      </c>
    </row>
    <row r="1898" spans="1:19" x14ac:dyDescent="0.25">
      <c r="A1898">
        <v>10204</v>
      </c>
      <c r="B1898" t="s">
        <v>286</v>
      </c>
      <c r="C1898" t="s">
        <v>192</v>
      </c>
      <c r="D1898" t="s">
        <v>21</v>
      </c>
      <c r="E1898" t="s">
        <v>22</v>
      </c>
      <c r="F1898" t="s">
        <v>23</v>
      </c>
      <c r="G1898" t="s">
        <v>33</v>
      </c>
      <c r="H1898">
        <v>8</v>
      </c>
      <c r="I1898">
        <v>47</v>
      </c>
      <c r="J1898">
        <v>96.32</v>
      </c>
      <c r="K1898">
        <v>90</v>
      </c>
      <c r="L1898">
        <v>4527.04</v>
      </c>
      <c r="M1898">
        <v>297.04000000000002</v>
      </c>
      <c r="N1898" s="1">
        <v>37957</v>
      </c>
      <c r="O1898" t="s">
        <v>25</v>
      </c>
      <c r="P1898">
        <v>4</v>
      </c>
      <c r="Q1898">
        <v>12</v>
      </c>
      <c r="R1898">
        <v>2003</v>
      </c>
      <c r="S1898" t="s">
        <v>83</v>
      </c>
    </row>
    <row r="1899" spans="1:19" x14ac:dyDescent="0.25">
      <c r="A1899">
        <v>10207</v>
      </c>
      <c r="B1899" t="s">
        <v>287</v>
      </c>
      <c r="C1899" t="s">
        <v>170</v>
      </c>
      <c r="D1899" t="s">
        <v>157</v>
      </c>
      <c r="E1899" t="s">
        <v>22</v>
      </c>
      <c r="F1899" t="s">
        <v>23</v>
      </c>
      <c r="G1899" t="s">
        <v>24</v>
      </c>
      <c r="H1899">
        <v>8</v>
      </c>
      <c r="I1899">
        <v>42</v>
      </c>
      <c r="J1899">
        <v>29.7</v>
      </c>
      <c r="K1899">
        <v>35</v>
      </c>
      <c r="L1899">
        <v>1247.4000000000001</v>
      </c>
      <c r="M1899">
        <v>-222.6</v>
      </c>
      <c r="N1899" s="1">
        <v>37964</v>
      </c>
      <c r="O1899" t="s">
        <v>25</v>
      </c>
      <c r="P1899">
        <v>4</v>
      </c>
      <c r="Q1899">
        <v>12</v>
      </c>
      <c r="R1899">
        <v>2003</v>
      </c>
      <c r="S1899" t="s">
        <v>83</v>
      </c>
    </row>
    <row r="1900" spans="1:19" x14ac:dyDescent="0.25">
      <c r="A1900">
        <v>10371</v>
      </c>
      <c r="B1900" t="s">
        <v>287</v>
      </c>
      <c r="C1900" t="s">
        <v>115</v>
      </c>
      <c r="D1900" t="s">
        <v>116</v>
      </c>
      <c r="E1900" t="s">
        <v>22</v>
      </c>
      <c r="F1900" t="s">
        <v>23</v>
      </c>
      <c r="G1900" t="s">
        <v>33</v>
      </c>
      <c r="H1900">
        <v>8</v>
      </c>
      <c r="I1900">
        <v>45</v>
      </c>
      <c r="J1900">
        <v>100</v>
      </c>
      <c r="K1900">
        <v>35</v>
      </c>
      <c r="L1900">
        <v>5545.8</v>
      </c>
      <c r="M1900">
        <v>3970.8</v>
      </c>
      <c r="N1900" s="1">
        <v>38375</v>
      </c>
      <c r="O1900" t="s">
        <v>25</v>
      </c>
      <c r="P1900">
        <v>1</v>
      </c>
      <c r="Q1900">
        <v>1</v>
      </c>
      <c r="R1900">
        <v>2005</v>
      </c>
      <c r="S1900" t="s">
        <v>83</v>
      </c>
    </row>
    <row r="1901" spans="1:19" x14ac:dyDescent="0.25">
      <c r="A1901">
        <v>10143</v>
      </c>
      <c r="B1901" t="s">
        <v>288</v>
      </c>
      <c r="C1901" t="s">
        <v>140</v>
      </c>
      <c r="D1901" t="s">
        <v>74</v>
      </c>
      <c r="E1901" t="s">
        <v>22</v>
      </c>
      <c r="F1901" t="s">
        <v>23</v>
      </c>
      <c r="G1901" t="s">
        <v>24</v>
      </c>
      <c r="H1901">
        <v>8</v>
      </c>
      <c r="I1901">
        <v>27</v>
      </c>
      <c r="J1901">
        <v>60.97</v>
      </c>
      <c r="K1901">
        <v>68</v>
      </c>
      <c r="L1901">
        <v>1646.19</v>
      </c>
      <c r="M1901">
        <v>-189.81</v>
      </c>
      <c r="N1901" s="1">
        <v>37843</v>
      </c>
      <c r="O1901" t="s">
        <v>25</v>
      </c>
      <c r="P1901">
        <v>3</v>
      </c>
      <c r="Q1901">
        <v>8</v>
      </c>
      <c r="R1901">
        <v>2003</v>
      </c>
      <c r="S1901" t="s">
        <v>234</v>
      </c>
    </row>
    <row r="1902" spans="1:19" x14ac:dyDescent="0.25">
      <c r="A1902">
        <v>10296</v>
      </c>
      <c r="B1902" t="s">
        <v>288</v>
      </c>
      <c r="C1902" t="s">
        <v>236</v>
      </c>
      <c r="D1902" t="s">
        <v>237</v>
      </c>
      <c r="E1902" t="s">
        <v>180</v>
      </c>
      <c r="F1902" t="s">
        <v>30</v>
      </c>
      <c r="G1902" t="s">
        <v>24</v>
      </c>
      <c r="H1902">
        <v>8</v>
      </c>
      <c r="I1902">
        <v>21</v>
      </c>
      <c r="J1902">
        <v>71.25</v>
      </c>
      <c r="K1902">
        <v>68</v>
      </c>
      <c r="L1902">
        <v>1496.25</v>
      </c>
      <c r="M1902">
        <v>68.25</v>
      </c>
      <c r="N1902" s="1">
        <v>38245</v>
      </c>
      <c r="O1902" t="s">
        <v>25</v>
      </c>
      <c r="P1902">
        <v>3</v>
      </c>
      <c r="Q1902">
        <v>9</v>
      </c>
      <c r="R1902">
        <v>2004</v>
      </c>
      <c r="S1902" t="s">
        <v>234</v>
      </c>
    </row>
    <row r="1903" spans="1:19" x14ac:dyDescent="0.25">
      <c r="A1903">
        <v>10288</v>
      </c>
      <c r="B1903" t="s">
        <v>289</v>
      </c>
      <c r="C1903" t="s">
        <v>171</v>
      </c>
      <c r="D1903" t="s">
        <v>89</v>
      </c>
      <c r="E1903" t="s">
        <v>89</v>
      </c>
      <c r="F1903" t="s">
        <v>50</v>
      </c>
      <c r="G1903" t="s">
        <v>33</v>
      </c>
      <c r="H1903">
        <v>8</v>
      </c>
      <c r="I1903">
        <v>48</v>
      </c>
      <c r="J1903">
        <v>100</v>
      </c>
      <c r="K1903">
        <v>117</v>
      </c>
      <c r="L1903">
        <v>6539.04</v>
      </c>
      <c r="M1903">
        <v>923.04</v>
      </c>
      <c r="N1903" s="1">
        <v>38231</v>
      </c>
      <c r="O1903" t="s">
        <v>25</v>
      </c>
      <c r="P1903">
        <v>3</v>
      </c>
      <c r="Q1903">
        <v>9</v>
      </c>
      <c r="R1903">
        <v>2004</v>
      </c>
      <c r="S1903" t="s">
        <v>83</v>
      </c>
    </row>
    <row r="1904" spans="1:19" x14ac:dyDescent="0.25">
      <c r="A1904">
        <v>10420</v>
      </c>
      <c r="B1904" t="s">
        <v>289</v>
      </c>
      <c r="C1904" t="s">
        <v>71</v>
      </c>
      <c r="D1904" t="s">
        <v>72</v>
      </c>
      <c r="E1904" t="s">
        <v>49</v>
      </c>
      <c r="F1904" t="s">
        <v>50</v>
      </c>
      <c r="G1904" t="s">
        <v>33</v>
      </c>
      <c r="H1904">
        <v>8</v>
      </c>
      <c r="I1904">
        <v>55</v>
      </c>
      <c r="J1904">
        <v>96.3</v>
      </c>
      <c r="K1904">
        <v>117</v>
      </c>
      <c r="L1904">
        <v>5296.5</v>
      </c>
      <c r="M1904">
        <v>-1138.5</v>
      </c>
      <c r="N1904" s="1">
        <v>38501</v>
      </c>
      <c r="O1904" t="s">
        <v>125</v>
      </c>
      <c r="P1904">
        <v>2</v>
      </c>
      <c r="Q1904">
        <v>5</v>
      </c>
      <c r="R1904">
        <v>2005</v>
      </c>
      <c r="S1904" t="s">
        <v>83</v>
      </c>
    </row>
    <row r="1905" spans="1:19" x14ac:dyDescent="0.25">
      <c r="A1905">
        <v>10181</v>
      </c>
      <c r="B1905" t="s">
        <v>290</v>
      </c>
      <c r="C1905" t="s">
        <v>42</v>
      </c>
      <c r="D1905" t="s">
        <v>43</v>
      </c>
      <c r="E1905" t="s">
        <v>44</v>
      </c>
      <c r="F1905" t="s">
        <v>30</v>
      </c>
      <c r="G1905" t="s">
        <v>24</v>
      </c>
      <c r="H1905">
        <v>8</v>
      </c>
      <c r="I1905">
        <v>37</v>
      </c>
      <c r="J1905">
        <v>42.67</v>
      </c>
      <c r="K1905">
        <v>37</v>
      </c>
      <c r="L1905">
        <v>1578.79</v>
      </c>
      <c r="M1905">
        <v>209.79</v>
      </c>
      <c r="N1905" s="1">
        <v>37937</v>
      </c>
      <c r="O1905" t="s">
        <v>25</v>
      </c>
      <c r="P1905">
        <v>4</v>
      </c>
      <c r="Q1905">
        <v>11</v>
      </c>
      <c r="R1905">
        <v>2003</v>
      </c>
      <c r="S1905" t="s">
        <v>83</v>
      </c>
    </row>
    <row r="1906" spans="1:19" x14ac:dyDescent="0.25">
      <c r="A1906">
        <v>10266</v>
      </c>
      <c r="B1906" t="s">
        <v>290</v>
      </c>
      <c r="C1906" t="s">
        <v>184</v>
      </c>
      <c r="D1906" t="s">
        <v>185</v>
      </c>
      <c r="E1906" t="s">
        <v>110</v>
      </c>
      <c r="F1906" t="s">
        <v>30</v>
      </c>
      <c r="G1906" t="s">
        <v>24</v>
      </c>
      <c r="H1906">
        <v>8</v>
      </c>
      <c r="I1906">
        <v>34</v>
      </c>
      <c r="J1906">
        <v>40.4</v>
      </c>
      <c r="K1906">
        <v>37</v>
      </c>
      <c r="L1906">
        <v>1373.6</v>
      </c>
      <c r="M1906">
        <v>115.6</v>
      </c>
      <c r="N1906" s="1">
        <v>38174</v>
      </c>
      <c r="O1906" t="s">
        <v>25</v>
      </c>
      <c r="P1906">
        <v>3</v>
      </c>
      <c r="Q1906">
        <v>7</v>
      </c>
      <c r="R1906">
        <v>2004</v>
      </c>
      <c r="S1906" t="s">
        <v>83</v>
      </c>
    </row>
    <row r="1907" spans="1:19" x14ac:dyDescent="0.25">
      <c r="A1907">
        <v>10278</v>
      </c>
      <c r="B1907" t="s">
        <v>290</v>
      </c>
      <c r="C1907" t="s">
        <v>221</v>
      </c>
      <c r="D1907" t="s">
        <v>222</v>
      </c>
      <c r="E1907" t="s">
        <v>22</v>
      </c>
      <c r="F1907" t="s">
        <v>23</v>
      </c>
      <c r="G1907" t="s">
        <v>24</v>
      </c>
      <c r="H1907">
        <v>8</v>
      </c>
      <c r="I1907">
        <v>31</v>
      </c>
      <c r="J1907">
        <v>38.89</v>
      </c>
      <c r="K1907">
        <v>37</v>
      </c>
      <c r="L1907">
        <v>1205.5899999999999</v>
      </c>
      <c r="M1907">
        <v>58.59</v>
      </c>
      <c r="N1907" s="1">
        <v>38205</v>
      </c>
      <c r="O1907" t="s">
        <v>25</v>
      </c>
      <c r="P1907">
        <v>3</v>
      </c>
      <c r="Q1907">
        <v>8</v>
      </c>
      <c r="R1907">
        <v>2004</v>
      </c>
      <c r="S1907" t="s">
        <v>83</v>
      </c>
    </row>
    <row r="1908" spans="1:19" x14ac:dyDescent="0.25">
      <c r="A1908">
        <v>10197</v>
      </c>
      <c r="B1908" t="s">
        <v>291</v>
      </c>
      <c r="C1908" t="s">
        <v>145</v>
      </c>
      <c r="D1908" t="s">
        <v>146</v>
      </c>
      <c r="E1908" t="s">
        <v>80</v>
      </c>
      <c r="F1908" t="s">
        <v>30</v>
      </c>
      <c r="G1908" t="s">
        <v>33</v>
      </c>
      <c r="H1908">
        <v>8</v>
      </c>
      <c r="I1908">
        <v>47</v>
      </c>
      <c r="J1908">
        <v>83.2</v>
      </c>
      <c r="K1908">
        <v>88</v>
      </c>
      <c r="L1908">
        <v>3910.4</v>
      </c>
      <c r="M1908">
        <v>-225.6</v>
      </c>
      <c r="N1908" s="1">
        <v>37951</v>
      </c>
      <c r="O1908" t="s">
        <v>25</v>
      </c>
      <c r="P1908">
        <v>4</v>
      </c>
      <c r="Q1908">
        <v>11</v>
      </c>
      <c r="R1908">
        <v>2003</v>
      </c>
      <c r="S1908" t="s">
        <v>226</v>
      </c>
    </row>
    <row r="1909" spans="1:19" x14ac:dyDescent="0.25">
      <c r="A1909">
        <v>10283</v>
      </c>
      <c r="B1909" t="s">
        <v>291</v>
      </c>
      <c r="C1909" t="s">
        <v>154</v>
      </c>
      <c r="D1909" t="s">
        <v>155</v>
      </c>
      <c r="E1909" t="s">
        <v>99</v>
      </c>
      <c r="F1909" t="s">
        <v>23</v>
      </c>
      <c r="G1909" t="s">
        <v>33</v>
      </c>
      <c r="H1909">
        <v>8</v>
      </c>
      <c r="I1909">
        <v>34</v>
      </c>
      <c r="J1909">
        <v>92.94</v>
      </c>
      <c r="K1909">
        <v>88</v>
      </c>
      <c r="L1909">
        <v>3159.96</v>
      </c>
      <c r="M1909">
        <v>167.96</v>
      </c>
      <c r="N1909" s="1">
        <v>38219</v>
      </c>
      <c r="O1909" t="s">
        <v>25</v>
      </c>
      <c r="P1909">
        <v>3</v>
      </c>
      <c r="Q1909">
        <v>8</v>
      </c>
      <c r="R1909">
        <v>2004</v>
      </c>
      <c r="S1909" t="s">
        <v>226</v>
      </c>
    </row>
    <row r="1910" spans="1:19" x14ac:dyDescent="0.25">
      <c r="A1910">
        <v>10225</v>
      </c>
      <c r="B1910" t="s">
        <v>293</v>
      </c>
      <c r="C1910" t="s">
        <v>181</v>
      </c>
      <c r="D1910" t="s">
        <v>182</v>
      </c>
      <c r="E1910" t="s">
        <v>183</v>
      </c>
      <c r="F1910" t="s">
        <v>30</v>
      </c>
      <c r="G1910" t="s">
        <v>24</v>
      </c>
      <c r="H1910">
        <v>8</v>
      </c>
      <c r="I1910">
        <v>24</v>
      </c>
      <c r="J1910">
        <v>50.21</v>
      </c>
      <c r="K1910">
        <v>61</v>
      </c>
      <c r="L1910">
        <v>1205.04</v>
      </c>
      <c r="M1910">
        <v>-258.95999999999998</v>
      </c>
      <c r="N1910" s="1">
        <v>38039</v>
      </c>
      <c r="O1910" t="s">
        <v>25</v>
      </c>
      <c r="P1910">
        <v>1</v>
      </c>
      <c r="Q1910">
        <v>2</v>
      </c>
      <c r="R1910">
        <v>2004</v>
      </c>
      <c r="S1910" t="s">
        <v>83</v>
      </c>
    </row>
    <row r="1911" spans="1:19" x14ac:dyDescent="0.25">
      <c r="A1911">
        <v>10167</v>
      </c>
      <c r="B1911" t="s">
        <v>296</v>
      </c>
      <c r="C1911" t="s">
        <v>111</v>
      </c>
      <c r="D1911" t="s">
        <v>112</v>
      </c>
      <c r="E1911" t="s">
        <v>86</v>
      </c>
      <c r="F1911" t="s">
        <v>30</v>
      </c>
      <c r="G1911" t="s">
        <v>24</v>
      </c>
      <c r="H1911">
        <v>8</v>
      </c>
      <c r="I1911">
        <v>29</v>
      </c>
      <c r="J1911">
        <v>83.86</v>
      </c>
      <c r="K1911">
        <v>83</v>
      </c>
      <c r="L1911">
        <v>2431.94</v>
      </c>
      <c r="M1911">
        <v>24.94</v>
      </c>
      <c r="N1911" s="1">
        <v>37917</v>
      </c>
      <c r="O1911" t="s">
        <v>141</v>
      </c>
      <c r="P1911">
        <v>4</v>
      </c>
      <c r="Q1911">
        <v>10</v>
      </c>
      <c r="R1911">
        <v>2003</v>
      </c>
      <c r="S1911" t="s">
        <v>226</v>
      </c>
    </row>
    <row r="1912" spans="1:19" x14ac:dyDescent="0.25">
      <c r="A1912">
        <v>10186</v>
      </c>
      <c r="B1912" t="s">
        <v>296</v>
      </c>
      <c r="C1912" t="s">
        <v>144</v>
      </c>
      <c r="D1912" t="s">
        <v>139</v>
      </c>
      <c r="E1912" t="s">
        <v>77</v>
      </c>
      <c r="F1912" t="s">
        <v>30</v>
      </c>
      <c r="G1912" t="s">
        <v>33</v>
      </c>
      <c r="H1912">
        <v>8</v>
      </c>
      <c r="I1912">
        <v>36</v>
      </c>
      <c r="J1912">
        <v>85.54</v>
      </c>
      <c r="K1912">
        <v>83</v>
      </c>
      <c r="L1912">
        <v>3079.44</v>
      </c>
      <c r="M1912">
        <v>91.44</v>
      </c>
      <c r="N1912" s="1">
        <v>37939</v>
      </c>
      <c r="O1912" t="s">
        <v>25</v>
      </c>
      <c r="P1912">
        <v>4</v>
      </c>
      <c r="Q1912">
        <v>11</v>
      </c>
      <c r="R1912">
        <v>2003</v>
      </c>
      <c r="S1912" t="s">
        <v>226</v>
      </c>
    </row>
    <row r="1913" spans="1:19" x14ac:dyDescent="0.25">
      <c r="A1913">
        <v>10307</v>
      </c>
      <c r="B1913" t="s">
        <v>296</v>
      </c>
      <c r="C1913" t="s">
        <v>93</v>
      </c>
      <c r="D1913" t="s">
        <v>94</v>
      </c>
      <c r="E1913" t="s">
        <v>22</v>
      </c>
      <c r="F1913" t="s">
        <v>23</v>
      </c>
      <c r="G1913" t="s">
        <v>24</v>
      </c>
      <c r="H1913">
        <v>8</v>
      </c>
      <c r="I1913">
        <v>22</v>
      </c>
      <c r="J1913">
        <v>91.41</v>
      </c>
      <c r="K1913">
        <v>83</v>
      </c>
      <c r="L1913">
        <v>2011.02</v>
      </c>
      <c r="M1913">
        <v>185.02</v>
      </c>
      <c r="N1913" s="1">
        <v>38274</v>
      </c>
      <c r="O1913" t="s">
        <v>25</v>
      </c>
      <c r="P1913">
        <v>4</v>
      </c>
      <c r="Q1913">
        <v>10</v>
      </c>
      <c r="R1913">
        <v>2004</v>
      </c>
      <c r="S1913" t="s">
        <v>226</v>
      </c>
    </row>
    <row r="1914" spans="1:19" x14ac:dyDescent="0.25">
      <c r="A1914">
        <v>10396</v>
      </c>
      <c r="B1914" t="s">
        <v>296</v>
      </c>
      <c r="C1914" t="s">
        <v>115</v>
      </c>
      <c r="D1914" t="s">
        <v>116</v>
      </c>
      <c r="E1914" t="s">
        <v>22</v>
      </c>
      <c r="F1914" t="s">
        <v>23</v>
      </c>
      <c r="G1914" t="s">
        <v>33</v>
      </c>
      <c r="H1914">
        <v>8</v>
      </c>
      <c r="I1914">
        <v>37</v>
      </c>
      <c r="J1914">
        <v>90.57</v>
      </c>
      <c r="K1914">
        <v>83</v>
      </c>
      <c r="L1914">
        <v>3351.09</v>
      </c>
      <c r="M1914">
        <v>280.08999999999997</v>
      </c>
      <c r="N1914" s="1">
        <v>38434</v>
      </c>
      <c r="O1914" t="s">
        <v>25</v>
      </c>
      <c r="P1914">
        <v>1</v>
      </c>
      <c r="Q1914">
        <v>3</v>
      </c>
      <c r="R1914">
        <v>2005</v>
      </c>
      <c r="S1914" t="s">
        <v>226</v>
      </c>
    </row>
    <row r="1915" spans="1:19" x14ac:dyDescent="0.25">
      <c r="A1915">
        <v>10400</v>
      </c>
      <c r="B1915" t="s">
        <v>296</v>
      </c>
      <c r="C1915" t="s">
        <v>162</v>
      </c>
      <c r="D1915" t="s">
        <v>163</v>
      </c>
      <c r="E1915" t="s">
        <v>22</v>
      </c>
      <c r="F1915" t="s">
        <v>23</v>
      </c>
      <c r="G1915" t="s">
        <v>33</v>
      </c>
      <c r="H1915">
        <v>8</v>
      </c>
      <c r="I1915">
        <v>42</v>
      </c>
      <c r="J1915">
        <v>72.959999999999994</v>
      </c>
      <c r="K1915">
        <v>83</v>
      </c>
      <c r="L1915">
        <v>3064.32</v>
      </c>
      <c r="M1915">
        <v>-421.68</v>
      </c>
      <c r="N1915" s="1">
        <v>38443</v>
      </c>
      <c r="O1915" t="s">
        <v>25</v>
      </c>
      <c r="P1915">
        <v>2</v>
      </c>
      <c r="Q1915">
        <v>4</v>
      </c>
      <c r="R1915">
        <v>2005</v>
      </c>
      <c r="S1915" t="s">
        <v>226</v>
      </c>
    </row>
    <row r="1916" spans="1:19" x14ac:dyDescent="0.25">
      <c r="A1916">
        <v>10253</v>
      </c>
      <c r="B1916" t="s">
        <v>297</v>
      </c>
      <c r="C1916" t="s">
        <v>75</v>
      </c>
      <c r="D1916" t="s">
        <v>76</v>
      </c>
      <c r="E1916" t="s">
        <v>77</v>
      </c>
      <c r="F1916" t="s">
        <v>30</v>
      </c>
      <c r="G1916" t="s">
        <v>33</v>
      </c>
      <c r="H1916">
        <v>8</v>
      </c>
      <c r="I1916">
        <v>39</v>
      </c>
      <c r="J1916">
        <v>100</v>
      </c>
      <c r="K1916">
        <v>140</v>
      </c>
      <c r="L1916">
        <v>5148</v>
      </c>
      <c r="M1916">
        <v>-312</v>
      </c>
      <c r="N1916" s="1">
        <v>38139</v>
      </c>
      <c r="O1916" t="s">
        <v>141</v>
      </c>
      <c r="P1916">
        <v>2</v>
      </c>
      <c r="Q1916">
        <v>6</v>
      </c>
      <c r="R1916">
        <v>2004</v>
      </c>
      <c r="S1916" t="s">
        <v>83</v>
      </c>
    </row>
    <row r="1917" spans="1:19" x14ac:dyDescent="0.25">
      <c r="A1917">
        <v>10355</v>
      </c>
      <c r="B1917" t="s">
        <v>297</v>
      </c>
      <c r="C1917" t="s">
        <v>78</v>
      </c>
      <c r="D1917" t="s">
        <v>79</v>
      </c>
      <c r="E1917" t="s">
        <v>80</v>
      </c>
      <c r="F1917" t="s">
        <v>30</v>
      </c>
      <c r="G1917" t="s">
        <v>33</v>
      </c>
      <c r="H1917">
        <v>8</v>
      </c>
      <c r="I1917">
        <v>32</v>
      </c>
      <c r="J1917">
        <v>100</v>
      </c>
      <c r="K1917">
        <v>140</v>
      </c>
      <c r="L1917">
        <v>5302.72</v>
      </c>
      <c r="M1917">
        <v>822.72</v>
      </c>
      <c r="N1917" s="1">
        <v>38328</v>
      </c>
      <c r="O1917" t="s">
        <v>25</v>
      </c>
      <c r="P1917">
        <v>4</v>
      </c>
      <c r="Q1917">
        <v>12</v>
      </c>
      <c r="R1917">
        <v>2004</v>
      </c>
      <c r="S1917" t="s">
        <v>83</v>
      </c>
    </row>
    <row r="1918" spans="1:19" x14ac:dyDescent="0.25">
      <c r="A1918">
        <v>10390</v>
      </c>
      <c r="B1918" t="s">
        <v>297</v>
      </c>
      <c r="C1918" t="s">
        <v>115</v>
      </c>
      <c r="D1918" t="s">
        <v>116</v>
      </c>
      <c r="E1918" t="s">
        <v>22</v>
      </c>
      <c r="F1918" t="s">
        <v>23</v>
      </c>
      <c r="G1918" t="s">
        <v>33</v>
      </c>
      <c r="H1918">
        <v>8</v>
      </c>
      <c r="I1918">
        <v>45</v>
      </c>
      <c r="J1918">
        <v>100</v>
      </c>
      <c r="K1918">
        <v>140</v>
      </c>
      <c r="L1918">
        <v>6763.05</v>
      </c>
      <c r="M1918">
        <v>463.05</v>
      </c>
      <c r="N1918" s="1">
        <v>38415</v>
      </c>
      <c r="O1918" t="s">
        <v>25</v>
      </c>
      <c r="P1918">
        <v>1</v>
      </c>
      <c r="Q1918">
        <v>3</v>
      </c>
      <c r="R1918">
        <v>2005</v>
      </c>
      <c r="S1918" t="s">
        <v>83</v>
      </c>
    </row>
    <row r="1919" spans="1:19" x14ac:dyDescent="0.25">
      <c r="A1919">
        <v>10419</v>
      </c>
      <c r="B1919" t="s">
        <v>297</v>
      </c>
      <c r="C1919" t="s">
        <v>67</v>
      </c>
      <c r="D1919" t="s">
        <v>68</v>
      </c>
      <c r="E1919" t="s">
        <v>69</v>
      </c>
      <c r="F1919" t="s">
        <v>30</v>
      </c>
      <c r="G1919" t="s">
        <v>70</v>
      </c>
      <c r="H1919">
        <v>8</v>
      </c>
      <c r="I1919">
        <v>70</v>
      </c>
      <c r="J1919">
        <v>100</v>
      </c>
      <c r="K1919">
        <v>140</v>
      </c>
      <c r="L1919">
        <v>9240</v>
      </c>
      <c r="M1919">
        <v>-560</v>
      </c>
      <c r="N1919" s="1">
        <v>38489</v>
      </c>
      <c r="O1919" t="s">
        <v>25</v>
      </c>
      <c r="P1919">
        <v>2</v>
      </c>
      <c r="Q1919">
        <v>5</v>
      </c>
      <c r="R1919">
        <v>2005</v>
      </c>
      <c r="S1919" t="s">
        <v>83</v>
      </c>
    </row>
    <row r="1920" spans="1:19" x14ac:dyDescent="0.25">
      <c r="A1920">
        <v>10262</v>
      </c>
      <c r="B1920" t="s">
        <v>298</v>
      </c>
      <c r="C1920" t="s">
        <v>78</v>
      </c>
      <c r="D1920" t="s">
        <v>79</v>
      </c>
      <c r="E1920" t="s">
        <v>80</v>
      </c>
      <c r="F1920" t="s">
        <v>30</v>
      </c>
      <c r="G1920" t="s">
        <v>24</v>
      </c>
      <c r="H1920">
        <v>8</v>
      </c>
      <c r="I1920">
        <v>48</v>
      </c>
      <c r="J1920">
        <v>61.42</v>
      </c>
      <c r="K1920">
        <v>68</v>
      </c>
      <c r="L1920">
        <v>2948.16</v>
      </c>
      <c r="M1920">
        <v>-315.83999999999997</v>
      </c>
      <c r="N1920" s="1">
        <v>38162</v>
      </c>
      <c r="O1920" t="s">
        <v>141</v>
      </c>
      <c r="P1920">
        <v>2</v>
      </c>
      <c r="Q1920">
        <v>6</v>
      </c>
      <c r="R1920">
        <v>2004</v>
      </c>
      <c r="S1920" t="s">
        <v>234</v>
      </c>
    </row>
    <row r="1921" spans="1:19" x14ac:dyDescent="0.25">
      <c r="A1921">
        <v>10316</v>
      </c>
      <c r="B1921" t="s">
        <v>298</v>
      </c>
      <c r="C1921" t="s">
        <v>158</v>
      </c>
      <c r="D1921" t="s">
        <v>159</v>
      </c>
      <c r="E1921" t="s">
        <v>77</v>
      </c>
      <c r="F1921" t="s">
        <v>30</v>
      </c>
      <c r="G1921" t="s">
        <v>24</v>
      </c>
      <c r="H1921">
        <v>8</v>
      </c>
      <c r="I1921">
        <v>30</v>
      </c>
      <c r="J1921">
        <v>77.790000000000006</v>
      </c>
      <c r="K1921">
        <v>68</v>
      </c>
      <c r="L1921">
        <v>2333.6999999999998</v>
      </c>
      <c r="M1921">
        <v>293.7</v>
      </c>
      <c r="N1921" s="1">
        <v>38292</v>
      </c>
      <c r="O1921" t="s">
        <v>25</v>
      </c>
      <c r="P1921">
        <v>4</v>
      </c>
      <c r="Q1921">
        <v>11</v>
      </c>
      <c r="R1921">
        <v>2004</v>
      </c>
      <c r="S1921" t="s">
        <v>234</v>
      </c>
    </row>
    <row r="1922" spans="1:19" x14ac:dyDescent="0.25">
      <c r="A1922">
        <v>10182</v>
      </c>
      <c r="B1922" t="s">
        <v>299</v>
      </c>
      <c r="C1922" t="s">
        <v>115</v>
      </c>
      <c r="D1922" t="s">
        <v>116</v>
      </c>
      <c r="E1922" t="s">
        <v>22</v>
      </c>
      <c r="F1922" t="s">
        <v>23</v>
      </c>
      <c r="G1922" t="s">
        <v>24</v>
      </c>
      <c r="H1922">
        <v>8</v>
      </c>
      <c r="I1922">
        <v>23</v>
      </c>
      <c r="J1922">
        <v>42.26</v>
      </c>
      <c r="K1922">
        <v>41</v>
      </c>
      <c r="L1922">
        <v>971.98</v>
      </c>
      <c r="M1922">
        <v>28.98</v>
      </c>
      <c r="N1922" s="1">
        <v>37937</v>
      </c>
      <c r="O1922" t="s">
        <v>25</v>
      </c>
      <c r="P1922">
        <v>4</v>
      </c>
      <c r="Q1922">
        <v>11</v>
      </c>
      <c r="R1922">
        <v>2003</v>
      </c>
      <c r="S1922" t="s">
        <v>226</v>
      </c>
    </row>
    <row r="1923" spans="1:19" x14ac:dyDescent="0.25">
      <c r="A1923">
        <v>10227</v>
      </c>
      <c r="B1923" t="s">
        <v>299</v>
      </c>
      <c r="C1923" t="s">
        <v>95</v>
      </c>
      <c r="D1923" t="s">
        <v>96</v>
      </c>
      <c r="E1923" t="s">
        <v>29</v>
      </c>
      <c r="F1923" t="s">
        <v>30</v>
      </c>
      <c r="G1923" t="s">
        <v>24</v>
      </c>
      <c r="H1923">
        <v>8</v>
      </c>
      <c r="I1923">
        <v>27</v>
      </c>
      <c r="J1923">
        <v>43.9</v>
      </c>
      <c r="K1923">
        <v>41</v>
      </c>
      <c r="L1923">
        <v>1185.3</v>
      </c>
      <c r="M1923">
        <v>78.3</v>
      </c>
      <c r="N1923" s="1">
        <v>38048</v>
      </c>
      <c r="O1923" t="s">
        <v>25</v>
      </c>
      <c r="P1923">
        <v>1</v>
      </c>
      <c r="Q1923">
        <v>3</v>
      </c>
      <c r="R1923">
        <v>2004</v>
      </c>
      <c r="S1923" t="s">
        <v>226</v>
      </c>
    </row>
    <row r="1924" spans="1:19" x14ac:dyDescent="0.25">
      <c r="A1924">
        <v>10165</v>
      </c>
      <c r="B1924" t="s">
        <v>300</v>
      </c>
      <c r="C1924" t="s">
        <v>88</v>
      </c>
      <c r="D1924" t="s">
        <v>89</v>
      </c>
      <c r="E1924" t="s">
        <v>89</v>
      </c>
      <c r="F1924" t="s">
        <v>50</v>
      </c>
      <c r="G1924" t="s">
        <v>24</v>
      </c>
      <c r="H1924">
        <v>8</v>
      </c>
      <c r="I1924">
        <v>24</v>
      </c>
      <c r="J1924">
        <v>99.36</v>
      </c>
      <c r="K1924">
        <v>118</v>
      </c>
      <c r="L1924">
        <v>2384.64</v>
      </c>
      <c r="M1924">
        <v>-447.36</v>
      </c>
      <c r="N1924" s="1">
        <v>37916</v>
      </c>
      <c r="O1924" t="s">
        <v>25</v>
      </c>
      <c r="P1924">
        <v>4</v>
      </c>
      <c r="Q1924">
        <v>10</v>
      </c>
      <c r="R1924">
        <v>2003</v>
      </c>
      <c r="S1924" t="s">
        <v>83</v>
      </c>
    </row>
    <row r="1925" spans="1:19" x14ac:dyDescent="0.25">
      <c r="A1925">
        <v>10210</v>
      </c>
      <c r="B1925" t="s">
        <v>302</v>
      </c>
      <c r="C1925" t="s">
        <v>127</v>
      </c>
      <c r="D1925" t="s">
        <v>128</v>
      </c>
      <c r="E1925" t="s">
        <v>107</v>
      </c>
      <c r="F1925" t="s">
        <v>50</v>
      </c>
      <c r="G1925" t="s">
        <v>24</v>
      </c>
      <c r="H1925">
        <v>8</v>
      </c>
      <c r="I1925">
        <v>40</v>
      </c>
      <c r="J1925">
        <v>71</v>
      </c>
      <c r="K1925">
        <v>72</v>
      </c>
      <c r="L1925">
        <v>2840</v>
      </c>
      <c r="M1925">
        <v>-40</v>
      </c>
      <c r="N1925" s="1">
        <v>37998</v>
      </c>
      <c r="O1925" t="s">
        <v>25</v>
      </c>
      <c r="P1925">
        <v>1</v>
      </c>
      <c r="Q1925">
        <v>1</v>
      </c>
      <c r="R1925">
        <v>2004</v>
      </c>
      <c r="S1925" t="s">
        <v>234</v>
      </c>
    </row>
    <row r="1926" spans="1:19" x14ac:dyDescent="0.25">
      <c r="A1926">
        <v>10308</v>
      </c>
      <c r="B1926" t="s">
        <v>302</v>
      </c>
      <c r="C1926" t="s">
        <v>131</v>
      </c>
      <c r="D1926" t="s">
        <v>132</v>
      </c>
      <c r="E1926" t="s">
        <v>22</v>
      </c>
      <c r="F1926" t="s">
        <v>23</v>
      </c>
      <c r="G1926" t="s">
        <v>33</v>
      </c>
      <c r="H1926">
        <v>8</v>
      </c>
      <c r="I1926">
        <v>44</v>
      </c>
      <c r="J1926">
        <v>83.32</v>
      </c>
      <c r="K1926">
        <v>72</v>
      </c>
      <c r="L1926">
        <v>3666.08</v>
      </c>
      <c r="M1926">
        <v>498.08</v>
      </c>
      <c r="N1926" s="1">
        <v>38275</v>
      </c>
      <c r="O1926" t="s">
        <v>25</v>
      </c>
      <c r="P1926">
        <v>4</v>
      </c>
      <c r="Q1926">
        <v>10</v>
      </c>
      <c r="R1926">
        <v>2004</v>
      </c>
      <c r="S1926" t="s">
        <v>234</v>
      </c>
    </row>
    <row r="1927" spans="1:19" x14ac:dyDescent="0.25">
      <c r="A1927">
        <v>10386</v>
      </c>
      <c r="B1927" t="s">
        <v>302</v>
      </c>
      <c r="C1927" t="s">
        <v>78</v>
      </c>
      <c r="D1927" t="s">
        <v>79</v>
      </c>
      <c r="E1927" t="s">
        <v>80</v>
      </c>
      <c r="F1927" t="s">
        <v>30</v>
      </c>
      <c r="G1927" t="s">
        <v>33</v>
      </c>
      <c r="H1927">
        <v>8</v>
      </c>
      <c r="I1927">
        <v>50</v>
      </c>
      <c r="J1927">
        <v>63.34</v>
      </c>
      <c r="K1927">
        <v>72</v>
      </c>
      <c r="L1927">
        <v>3167</v>
      </c>
      <c r="M1927">
        <v>-433</v>
      </c>
      <c r="N1927" s="1">
        <v>38412</v>
      </c>
      <c r="O1927" t="s">
        <v>169</v>
      </c>
      <c r="P1927">
        <v>1</v>
      </c>
      <c r="Q1927">
        <v>3</v>
      </c>
      <c r="R1927">
        <v>2005</v>
      </c>
      <c r="S1927" t="s">
        <v>234</v>
      </c>
    </row>
    <row r="1928" spans="1:19" x14ac:dyDescent="0.25">
      <c r="A1928">
        <v>10175</v>
      </c>
      <c r="B1928" t="s">
        <v>304</v>
      </c>
      <c r="C1928" t="s">
        <v>138</v>
      </c>
      <c r="D1928" t="s">
        <v>139</v>
      </c>
      <c r="E1928" t="s">
        <v>77</v>
      </c>
      <c r="F1928" t="s">
        <v>30</v>
      </c>
      <c r="G1928" t="s">
        <v>24</v>
      </c>
      <c r="H1928">
        <v>8</v>
      </c>
      <c r="I1928">
        <v>22</v>
      </c>
      <c r="J1928">
        <v>100</v>
      </c>
      <c r="K1928">
        <v>96</v>
      </c>
      <c r="L1928">
        <v>2436.7199999999998</v>
      </c>
      <c r="M1928">
        <v>324.72000000000003</v>
      </c>
      <c r="N1928" s="1">
        <v>37931</v>
      </c>
      <c r="O1928" t="s">
        <v>25</v>
      </c>
      <c r="P1928">
        <v>4</v>
      </c>
      <c r="Q1928">
        <v>11</v>
      </c>
      <c r="R1928">
        <v>2003</v>
      </c>
      <c r="S1928" t="s">
        <v>202</v>
      </c>
    </row>
    <row r="1929" spans="1:19" x14ac:dyDescent="0.25">
      <c r="A1929">
        <v>10229</v>
      </c>
      <c r="B1929" t="s">
        <v>304</v>
      </c>
      <c r="C1929" t="s">
        <v>115</v>
      </c>
      <c r="D1929" t="s">
        <v>116</v>
      </c>
      <c r="E1929" t="s">
        <v>22</v>
      </c>
      <c r="F1929" t="s">
        <v>23</v>
      </c>
      <c r="G1929" t="s">
        <v>24</v>
      </c>
      <c r="H1929">
        <v>8</v>
      </c>
      <c r="I1929">
        <v>25</v>
      </c>
      <c r="J1929">
        <v>100</v>
      </c>
      <c r="K1929">
        <v>96</v>
      </c>
      <c r="L1929">
        <v>2793</v>
      </c>
      <c r="M1929">
        <v>393</v>
      </c>
      <c r="N1929" s="1">
        <v>38057</v>
      </c>
      <c r="O1929" t="s">
        <v>25</v>
      </c>
      <c r="P1929">
        <v>1</v>
      </c>
      <c r="Q1929">
        <v>3</v>
      </c>
      <c r="R1929">
        <v>2004</v>
      </c>
      <c r="S1929" t="s">
        <v>202</v>
      </c>
    </row>
    <row r="1930" spans="1:19" x14ac:dyDescent="0.25">
      <c r="A1930">
        <v>10281</v>
      </c>
      <c r="B1930" t="s">
        <v>304</v>
      </c>
      <c r="C1930" t="s">
        <v>65</v>
      </c>
      <c r="D1930" t="s">
        <v>66</v>
      </c>
      <c r="E1930" t="s">
        <v>22</v>
      </c>
      <c r="F1930" t="s">
        <v>23</v>
      </c>
      <c r="G1930" t="s">
        <v>24</v>
      </c>
      <c r="H1930">
        <v>8</v>
      </c>
      <c r="I1930">
        <v>29</v>
      </c>
      <c r="J1930">
        <v>82.83</v>
      </c>
      <c r="K1930">
        <v>96</v>
      </c>
      <c r="L1930">
        <v>2402.0700000000002</v>
      </c>
      <c r="M1930">
        <v>-381.93</v>
      </c>
      <c r="N1930" s="1">
        <v>38218</v>
      </c>
      <c r="O1930" t="s">
        <v>25</v>
      </c>
      <c r="P1930">
        <v>3</v>
      </c>
      <c r="Q1930">
        <v>8</v>
      </c>
      <c r="R1930">
        <v>2004</v>
      </c>
      <c r="S1930" t="s">
        <v>202</v>
      </c>
    </row>
    <row r="1931" spans="1:19" x14ac:dyDescent="0.25">
      <c r="A1931">
        <v>10107</v>
      </c>
      <c r="B1931" t="s">
        <v>305</v>
      </c>
      <c r="C1931" t="s">
        <v>20</v>
      </c>
      <c r="D1931" t="s">
        <v>21</v>
      </c>
      <c r="E1931" t="s">
        <v>22</v>
      </c>
      <c r="F1931" t="s">
        <v>23</v>
      </c>
      <c r="G1931" t="s">
        <v>24</v>
      </c>
      <c r="H1931">
        <v>8</v>
      </c>
      <c r="I1931">
        <v>20</v>
      </c>
      <c r="J1931">
        <v>92.9</v>
      </c>
      <c r="K1931">
        <v>99</v>
      </c>
      <c r="L1931">
        <v>1858</v>
      </c>
      <c r="M1931">
        <v>-122</v>
      </c>
      <c r="N1931" s="1">
        <v>37676</v>
      </c>
      <c r="O1931" t="s">
        <v>25</v>
      </c>
      <c r="P1931">
        <v>1</v>
      </c>
      <c r="Q1931">
        <v>2</v>
      </c>
      <c r="R1931">
        <v>2003</v>
      </c>
      <c r="S1931" t="s">
        <v>26</v>
      </c>
    </row>
    <row r="1932" spans="1:19" x14ac:dyDescent="0.25">
      <c r="A1932">
        <v>10263</v>
      </c>
      <c r="B1932" t="s">
        <v>305</v>
      </c>
      <c r="C1932" t="s">
        <v>54</v>
      </c>
      <c r="D1932" t="s">
        <v>55</v>
      </c>
      <c r="E1932" t="s">
        <v>22</v>
      </c>
      <c r="F1932" t="s">
        <v>23</v>
      </c>
      <c r="G1932" t="s">
        <v>24</v>
      </c>
      <c r="H1932">
        <v>8</v>
      </c>
      <c r="I1932">
        <v>31</v>
      </c>
      <c r="J1932">
        <v>79.91</v>
      </c>
      <c r="K1932">
        <v>99</v>
      </c>
      <c r="L1932">
        <v>2477.21</v>
      </c>
      <c r="M1932">
        <v>-591.79</v>
      </c>
      <c r="N1932" s="1">
        <v>38166</v>
      </c>
      <c r="O1932" t="s">
        <v>25</v>
      </c>
      <c r="P1932">
        <v>2</v>
      </c>
      <c r="Q1932">
        <v>6</v>
      </c>
      <c r="R1932">
        <v>2004</v>
      </c>
      <c r="S1932" t="s">
        <v>26</v>
      </c>
    </row>
    <row r="1933" spans="1:19" x14ac:dyDescent="0.25">
      <c r="A1933">
        <v>10184</v>
      </c>
      <c r="B1933" t="s">
        <v>307</v>
      </c>
      <c r="C1933" t="s">
        <v>212</v>
      </c>
      <c r="D1933" t="s">
        <v>213</v>
      </c>
      <c r="E1933" t="s">
        <v>80</v>
      </c>
      <c r="F1933" t="s">
        <v>30</v>
      </c>
      <c r="G1933" t="s">
        <v>24</v>
      </c>
      <c r="H1933">
        <v>8</v>
      </c>
      <c r="I1933">
        <v>33</v>
      </c>
      <c r="J1933">
        <v>62.77</v>
      </c>
      <c r="K1933">
        <v>54</v>
      </c>
      <c r="L1933">
        <v>2071.41</v>
      </c>
      <c r="M1933">
        <v>289.41000000000003</v>
      </c>
      <c r="N1933" s="1">
        <v>37939</v>
      </c>
      <c r="O1933" t="s">
        <v>25</v>
      </c>
      <c r="P1933">
        <v>4</v>
      </c>
      <c r="Q1933">
        <v>11</v>
      </c>
      <c r="R1933">
        <v>2003</v>
      </c>
      <c r="S1933" t="s">
        <v>202</v>
      </c>
    </row>
    <row r="1934" spans="1:19" x14ac:dyDescent="0.25">
      <c r="A1934">
        <v>10195</v>
      </c>
      <c r="B1934" t="s">
        <v>307</v>
      </c>
      <c r="C1934" t="s">
        <v>131</v>
      </c>
      <c r="D1934" t="s">
        <v>132</v>
      </c>
      <c r="E1934" t="s">
        <v>22</v>
      </c>
      <c r="F1934" t="s">
        <v>23</v>
      </c>
      <c r="G1934" t="s">
        <v>24</v>
      </c>
      <c r="H1934">
        <v>8</v>
      </c>
      <c r="I1934">
        <v>32</v>
      </c>
      <c r="J1934">
        <v>43.29</v>
      </c>
      <c r="K1934">
        <v>54</v>
      </c>
      <c r="L1934">
        <v>1385.28</v>
      </c>
      <c r="M1934">
        <v>-342.72</v>
      </c>
      <c r="N1934" s="1">
        <v>37950</v>
      </c>
      <c r="O1934" t="s">
        <v>25</v>
      </c>
      <c r="P1934">
        <v>4</v>
      </c>
      <c r="Q1934">
        <v>11</v>
      </c>
      <c r="R1934">
        <v>2003</v>
      </c>
      <c r="S1934" t="s">
        <v>202</v>
      </c>
    </row>
    <row r="1935" spans="1:19" x14ac:dyDescent="0.25">
      <c r="A1935">
        <v>10383</v>
      </c>
      <c r="B1935" t="s">
        <v>308</v>
      </c>
      <c r="C1935" t="s">
        <v>78</v>
      </c>
      <c r="D1935" t="s">
        <v>79</v>
      </c>
      <c r="E1935" t="s">
        <v>80</v>
      </c>
      <c r="F1935" t="s">
        <v>30</v>
      </c>
      <c r="G1935" t="s">
        <v>24</v>
      </c>
      <c r="H1935">
        <v>8</v>
      </c>
      <c r="I1935">
        <v>44</v>
      </c>
      <c r="J1935">
        <v>36.07</v>
      </c>
      <c r="K1935">
        <v>62</v>
      </c>
      <c r="L1935">
        <v>1587.08</v>
      </c>
      <c r="M1935">
        <v>-1140.92</v>
      </c>
      <c r="N1935" s="1">
        <v>38405</v>
      </c>
      <c r="O1935" t="s">
        <v>25</v>
      </c>
      <c r="P1935">
        <v>1</v>
      </c>
      <c r="Q1935">
        <v>2</v>
      </c>
      <c r="R1935">
        <v>2005</v>
      </c>
      <c r="S1935" t="s">
        <v>261</v>
      </c>
    </row>
    <row r="1936" spans="1:19" x14ac:dyDescent="0.25">
      <c r="A1936">
        <v>10382</v>
      </c>
      <c r="B1936" t="s">
        <v>309</v>
      </c>
      <c r="C1936" t="s">
        <v>115</v>
      </c>
      <c r="D1936" t="s">
        <v>116</v>
      </c>
      <c r="E1936" t="s">
        <v>22</v>
      </c>
      <c r="F1936" t="s">
        <v>23</v>
      </c>
      <c r="G1936" t="s">
        <v>33</v>
      </c>
      <c r="H1936">
        <v>8</v>
      </c>
      <c r="I1936">
        <v>48</v>
      </c>
      <c r="J1936">
        <v>100</v>
      </c>
      <c r="K1936">
        <v>64</v>
      </c>
      <c r="L1936">
        <v>6799.68</v>
      </c>
      <c r="M1936">
        <v>3727.68</v>
      </c>
      <c r="N1936" s="1">
        <v>38400</v>
      </c>
      <c r="O1936" t="s">
        <v>25</v>
      </c>
      <c r="P1936">
        <v>1</v>
      </c>
      <c r="Q1936">
        <v>2</v>
      </c>
      <c r="R1936">
        <v>2005</v>
      </c>
      <c r="S1936" t="s">
        <v>202</v>
      </c>
    </row>
    <row r="1937" spans="1:19" x14ac:dyDescent="0.25">
      <c r="A1937">
        <v>10388</v>
      </c>
      <c r="B1937" t="s">
        <v>310</v>
      </c>
      <c r="C1937" t="s">
        <v>73</v>
      </c>
      <c r="D1937" t="s">
        <v>74</v>
      </c>
      <c r="E1937" t="s">
        <v>22</v>
      </c>
      <c r="F1937" t="s">
        <v>23</v>
      </c>
      <c r="G1937" t="s">
        <v>33</v>
      </c>
      <c r="H1937">
        <v>8</v>
      </c>
      <c r="I1937">
        <v>35</v>
      </c>
      <c r="J1937">
        <v>100</v>
      </c>
      <c r="K1937">
        <v>68</v>
      </c>
      <c r="L1937">
        <v>3918.95</v>
      </c>
      <c r="M1937">
        <v>1538.95</v>
      </c>
      <c r="N1937" s="1">
        <v>38414</v>
      </c>
      <c r="O1937" t="s">
        <v>25</v>
      </c>
      <c r="P1937">
        <v>1</v>
      </c>
      <c r="Q1937">
        <v>3</v>
      </c>
      <c r="R1937">
        <v>2005</v>
      </c>
      <c r="S1937" t="s">
        <v>226</v>
      </c>
    </row>
    <row r="1938" spans="1:19" x14ac:dyDescent="0.25">
      <c r="A1938">
        <v>10319</v>
      </c>
      <c r="B1938" t="s">
        <v>311</v>
      </c>
      <c r="C1938" t="s">
        <v>204</v>
      </c>
      <c r="D1938" t="s">
        <v>21</v>
      </c>
      <c r="E1938" t="s">
        <v>22</v>
      </c>
      <c r="F1938" t="s">
        <v>23</v>
      </c>
      <c r="G1938" t="s">
        <v>24</v>
      </c>
      <c r="H1938">
        <v>8</v>
      </c>
      <c r="I1938">
        <v>22</v>
      </c>
      <c r="J1938">
        <v>100</v>
      </c>
      <c r="K1938">
        <v>102</v>
      </c>
      <c r="L1938">
        <v>2626.8</v>
      </c>
      <c r="M1938">
        <v>382.8</v>
      </c>
      <c r="N1938" s="1">
        <v>38294</v>
      </c>
      <c r="O1938" t="s">
        <v>25</v>
      </c>
      <c r="P1938">
        <v>4</v>
      </c>
      <c r="Q1938">
        <v>11</v>
      </c>
      <c r="R1938">
        <v>2004</v>
      </c>
      <c r="S1938" t="s">
        <v>26</v>
      </c>
    </row>
    <row r="1939" spans="1:19" x14ac:dyDescent="0.25">
      <c r="A1939">
        <v>10250</v>
      </c>
      <c r="B1939" t="s">
        <v>312</v>
      </c>
      <c r="C1939" t="s">
        <v>162</v>
      </c>
      <c r="D1939" t="s">
        <v>163</v>
      </c>
      <c r="E1939" t="s">
        <v>22</v>
      </c>
      <c r="F1939" t="s">
        <v>23</v>
      </c>
      <c r="G1939" t="s">
        <v>24</v>
      </c>
      <c r="H1939">
        <v>8</v>
      </c>
      <c r="I1939">
        <v>36</v>
      </c>
      <c r="J1939">
        <v>51.93</v>
      </c>
      <c r="K1939">
        <v>43</v>
      </c>
      <c r="L1939">
        <v>1869.48</v>
      </c>
      <c r="M1939">
        <v>321.48</v>
      </c>
      <c r="N1939" s="1">
        <v>38118</v>
      </c>
      <c r="O1939" t="s">
        <v>25</v>
      </c>
      <c r="P1939">
        <v>2</v>
      </c>
      <c r="Q1939">
        <v>5</v>
      </c>
      <c r="R1939">
        <v>2004</v>
      </c>
      <c r="S1939" t="s">
        <v>226</v>
      </c>
    </row>
    <row r="1940" spans="1:19" x14ac:dyDescent="0.25">
      <c r="A1940">
        <v>10353</v>
      </c>
      <c r="B1940" t="s">
        <v>312</v>
      </c>
      <c r="C1940" t="s">
        <v>235</v>
      </c>
      <c r="D1940" t="s">
        <v>208</v>
      </c>
      <c r="E1940" t="s">
        <v>22</v>
      </c>
      <c r="F1940" t="s">
        <v>23</v>
      </c>
      <c r="G1940" t="s">
        <v>33</v>
      </c>
      <c r="H1940">
        <v>8</v>
      </c>
      <c r="I1940">
        <v>40</v>
      </c>
      <c r="J1940">
        <v>82.21</v>
      </c>
      <c r="K1940">
        <v>43</v>
      </c>
      <c r="L1940">
        <v>3288.4</v>
      </c>
      <c r="M1940">
        <v>1568.4</v>
      </c>
      <c r="N1940" s="1">
        <v>38325</v>
      </c>
      <c r="O1940" t="s">
        <v>25</v>
      </c>
      <c r="P1940">
        <v>4</v>
      </c>
      <c r="Q1940">
        <v>12</v>
      </c>
      <c r="R1940">
        <v>2004</v>
      </c>
      <c r="S1940" t="s">
        <v>226</v>
      </c>
    </row>
    <row r="1941" spans="1:19" x14ac:dyDescent="0.25">
      <c r="A1941">
        <v>10416</v>
      </c>
      <c r="B1941" t="s">
        <v>312</v>
      </c>
      <c r="C1941" t="s">
        <v>184</v>
      </c>
      <c r="D1941" t="s">
        <v>185</v>
      </c>
      <c r="E1941" t="s">
        <v>110</v>
      </c>
      <c r="F1941" t="s">
        <v>30</v>
      </c>
      <c r="G1941" t="s">
        <v>24</v>
      </c>
      <c r="H1941">
        <v>8</v>
      </c>
      <c r="I1941">
        <v>37</v>
      </c>
      <c r="J1941">
        <v>51.93</v>
      </c>
      <c r="K1941">
        <v>43</v>
      </c>
      <c r="L1941">
        <v>1921.41</v>
      </c>
      <c r="M1941">
        <v>330.41</v>
      </c>
      <c r="N1941" s="1">
        <v>38482</v>
      </c>
      <c r="O1941" t="s">
        <v>25</v>
      </c>
      <c r="P1941">
        <v>2</v>
      </c>
      <c r="Q1941">
        <v>5</v>
      </c>
      <c r="R1941">
        <v>2005</v>
      </c>
      <c r="S1941" t="s">
        <v>226</v>
      </c>
    </row>
    <row r="1942" spans="1:19" x14ac:dyDescent="0.25">
      <c r="A1942">
        <v>10336</v>
      </c>
      <c r="B1942" t="s">
        <v>313</v>
      </c>
      <c r="C1942" t="s">
        <v>166</v>
      </c>
      <c r="D1942" t="s">
        <v>32</v>
      </c>
      <c r="E1942" t="s">
        <v>29</v>
      </c>
      <c r="F1942" t="s">
        <v>30</v>
      </c>
      <c r="G1942" t="s">
        <v>33</v>
      </c>
      <c r="H1942">
        <v>8</v>
      </c>
      <c r="I1942">
        <v>23</v>
      </c>
      <c r="J1942">
        <v>100</v>
      </c>
      <c r="K1942">
        <v>115</v>
      </c>
      <c r="L1942">
        <v>3141.57</v>
      </c>
      <c r="M1942">
        <v>496.57</v>
      </c>
      <c r="N1942" s="1">
        <v>38311</v>
      </c>
      <c r="O1942" t="s">
        <v>25</v>
      </c>
      <c r="P1942">
        <v>4</v>
      </c>
      <c r="Q1942">
        <v>11</v>
      </c>
      <c r="R1942">
        <v>2004</v>
      </c>
      <c r="S1942" t="s">
        <v>202</v>
      </c>
    </row>
    <row r="1943" spans="1:19" x14ac:dyDescent="0.25">
      <c r="A1943">
        <v>10350</v>
      </c>
      <c r="B1943" t="s">
        <v>313</v>
      </c>
      <c r="C1943" t="s">
        <v>78</v>
      </c>
      <c r="D1943" t="s">
        <v>79</v>
      </c>
      <c r="E1943" t="s">
        <v>80</v>
      </c>
      <c r="F1943" t="s">
        <v>30</v>
      </c>
      <c r="G1943" t="s">
        <v>24</v>
      </c>
      <c r="H1943">
        <v>8</v>
      </c>
      <c r="I1943">
        <v>31</v>
      </c>
      <c r="J1943">
        <v>71.400000000000006</v>
      </c>
      <c r="K1943">
        <v>115</v>
      </c>
      <c r="L1943">
        <v>2213.4</v>
      </c>
      <c r="M1943">
        <v>-1351.6</v>
      </c>
      <c r="N1943" s="1">
        <v>38323</v>
      </c>
      <c r="O1943" t="s">
        <v>25</v>
      </c>
      <c r="P1943">
        <v>4</v>
      </c>
      <c r="Q1943">
        <v>12</v>
      </c>
      <c r="R1943">
        <v>2004</v>
      </c>
      <c r="S1943" t="s">
        <v>202</v>
      </c>
    </row>
    <row r="1944" spans="1:19" x14ac:dyDescent="0.25">
      <c r="A1944">
        <v>10375</v>
      </c>
      <c r="B1944" t="s">
        <v>315</v>
      </c>
      <c r="C1944" t="s">
        <v>56</v>
      </c>
      <c r="D1944" t="s">
        <v>57</v>
      </c>
      <c r="E1944" t="s">
        <v>29</v>
      </c>
      <c r="F1944" t="s">
        <v>30</v>
      </c>
      <c r="G1944" t="s">
        <v>33</v>
      </c>
      <c r="H1944">
        <v>8</v>
      </c>
      <c r="I1944">
        <v>49</v>
      </c>
      <c r="J1944">
        <v>100</v>
      </c>
      <c r="K1944">
        <v>81</v>
      </c>
      <c r="L1944">
        <v>5406.66</v>
      </c>
      <c r="M1944">
        <v>1437.66</v>
      </c>
      <c r="N1944" s="1">
        <v>38386</v>
      </c>
      <c r="O1944" t="s">
        <v>25</v>
      </c>
      <c r="P1944">
        <v>1</v>
      </c>
      <c r="Q1944">
        <v>2</v>
      </c>
      <c r="R1944">
        <v>2005</v>
      </c>
      <c r="S1944" t="s">
        <v>26</v>
      </c>
    </row>
    <row r="1945" spans="1:19" x14ac:dyDescent="0.25">
      <c r="A1945">
        <v>10133</v>
      </c>
      <c r="B1945" t="s">
        <v>317</v>
      </c>
      <c r="C1945" t="s">
        <v>78</v>
      </c>
      <c r="D1945" t="s">
        <v>79</v>
      </c>
      <c r="E1945" t="s">
        <v>80</v>
      </c>
      <c r="F1945" t="s">
        <v>30</v>
      </c>
      <c r="G1945" t="s">
        <v>24</v>
      </c>
      <c r="H1945">
        <v>8</v>
      </c>
      <c r="I1945">
        <v>24</v>
      </c>
      <c r="J1945">
        <v>77.64</v>
      </c>
      <c r="K1945">
        <v>91</v>
      </c>
      <c r="L1945">
        <v>1863.36</v>
      </c>
      <c r="M1945">
        <v>-320.64</v>
      </c>
      <c r="N1945" s="1">
        <v>37799</v>
      </c>
      <c r="O1945" t="s">
        <v>25</v>
      </c>
      <c r="P1945">
        <v>2</v>
      </c>
      <c r="Q1945">
        <v>6</v>
      </c>
      <c r="R1945">
        <v>2003</v>
      </c>
      <c r="S1945" t="s">
        <v>234</v>
      </c>
    </row>
    <row r="1946" spans="1:19" x14ac:dyDescent="0.25">
      <c r="A1946">
        <v>10235</v>
      </c>
      <c r="B1946" t="s">
        <v>317</v>
      </c>
      <c r="C1946" t="s">
        <v>154</v>
      </c>
      <c r="D1946" t="s">
        <v>155</v>
      </c>
      <c r="E1946" t="s">
        <v>99</v>
      </c>
      <c r="F1946" t="s">
        <v>23</v>
      </c>
      <c r="G1946" t="s">
        <v>24</v>
      </c>
      <c r="H1946">
        <v>8</v>
      </c>
      <c r="I1946">
        <v>25</v>
      </c>
      <c r="J1946">
        <v>100</v>
      </c>
      <c r="K1946">
        <v>91</v>
      </c>
      <c r="L1946">
        <v>2580.25</v>
      </c>
      <c r="M1946">
        <v>305.25</v>
      </c>
      <c r="N1946" s="1">
        <v>38079</v>
      </c>
      <c r="O1946" t="s">
        <v>25</v>
      </c>
      <c r="P1946">
        <v>2</v>
      </c>
      <c r="Q1946">
        <v>4</v>
      </c>
      <c r="R1946">
        <v>2004</v>
      </c>
      <c r="S1946" t="s">
        <v>234</v>
      </c>
    </row>
    <row r="1947" spans="1:19" x14ac:dyDescent="0.25">
      <c r="A1947">
        <v>10328</v>
      </c>
      <c r="B1947" t="s">
        <v>317</v>
      </c>
      <c r="C1947" t="s">
        <v>227</v>
      </c>
      <c r="D1947" t="s">
        <v>228</v>
      </c>
      <c r="E1947" t="s">
        <v>110</v>
      </c>
      <c r="F1947" t="s">
        <v>30</v>
      </c>
      <c r="G1947" t="s">
        <v>24</v>
      </c>
      <c r="H1947">
        <v>8</v>
      </c>
      <c r="I1947">
        <v>27</v>
      </c>
      <c r="J1947">
        <v>100</v>
      </c>
      <c r="K1947">
        <v>91</v>
      </c>
      <c r="L1947">
        <v>2762.1</v>
      </c>
      <c r="M1947">
        <v>305.10000000000002</v>
      </c>
      <c r="N1947" s="1">
        <v>38303</v>
      </c>
      <c r="O1947" t="s">
        <v>25</v>
      </c>
      <c r="P1947">
        <v>4</v>
      </c>
      <c r="Q1947">
        <v>11</v>
      </c>
      <c r="R1947">
        <v>2004</v>
      </c>
      <c r="S1947" t="s">
        <v>234</v>
      </c>
    </row>
    <row r="1948" spans="1:19" x14ac:dyDescent="0.25">
      <c r="A1948">
        <v>10401</v>
      </c>
      <c r="B1948" t="s">
        <v>317</v>
      </c>
      <c r="C1948" t="s">
        <v>52</v>
      </c>
      <c r="D1948" t="s">
        <v>53</v>
      </c>
      <c r="E1948" t="s">
        <v>22</v>
      </c>
      <c r="F1948" t="s">
        <v>23</v>
      </c>
      <c r="G1948" t="s">
        <v>24</v>
      </c>
      <c r="H1948">
        <v>8</v>
      </c>
      <c r="I1948">
        <v>11</v>
      </c>
      <c r="J1948">
        <v>100</v>
      </c>
      <c r="K1948">
        <v>91</v>
      </c>
      <c r="L1948">
        <v>1135.31</v>
      </c>
      <c r="M1948">
        <v>134.31</v>
      </c>
      <c r="N1948" s="1">
        <v>38445</v>
      </c>
      <c r="O1948" t="s">
        <v>164</v>
      </c>
      <c r="P1948">
        <v>2</v>
      </c>
      <c r="Q1948">
        <v>4</v>
      </c>
      <c r="R1948">
        <v>2005</v>
      </c>
      <c r="S1948" t="s">
        <v>234</v>
      </c>
    </row>
    <row r="1949" spans="1:19" x14ac:dyDescent="0.25">
      <c r="A1949">
        <v>10153</v>
      </c>
      <c r="B1949" t="s">
        <v>318</v>
      </c>
      <c r="C1949" t="s">
        <v>78</v>
      </c>
      <c r="D1949" t="s">
        <v>79</v>
      </c>
      <c r="E1949" t="s">
        <v>80</v>
      </c>
      <c r="F1949" t="s">
        <v>30</v>
      </c>
      <c r="G1949" t="s">
        <v>24</v>
      </c>
      <c r="H1949">
        <v>8</v>
      </c>
      <c r="I1949">
        <v>31</v>
      </c>
      <c r="J1949">
        <v>87.48</v>
      </c>
      <c r="K1949">
        <v>86</v>
      </c>
      <c r="L1949">
        <v>2711.88</v>
      </c>
      <c r="M1949">
        <v>45.88</v>
      </c>
      <c r="N1949" s="1">
        <v>37892</v>
      </c>
      <c r="O1949" t="s">
        <v>25</v>
      </c>
      <c r="P1949">
        <v>3</v>
      </c>
      <c r="Q1949">
        <v>9</v>
      </c>
      <c r="R1949">
        <v>2003</v>
      </c>
      <c r="S1949" t="s">
        <v>255</v>
      </c>
    </row>
    <row r="1950" spans="1:19" x14ac:dyDescent="0.25">
      <c r="A1950">
        <v>10131</v>
      </c>
      <c r="B1950" t="s">
        <v>319</v>
      </c>
      <c r="C1950" t="s">
        <v>235</v>
      </c>
      <c r="D1950" t="s">
        <v>208</v>
      </c>
      <c r="E1950" t="s">
        <v>22</v>
      </c>
      <c r="F1950" t="s">
        <v>23</v>
      </c>
      <c r="G1950" t="s">
        <v>24</v>
      </c>
      <c r="H1950">
        <v>8</v>
      </c>
      <c r="I1950">
        <v>22</v>
      </c>
      <c r="J1950">
        <v>85.99</v>
      </c>
      <c r="K1950">
        <v>90</v>
      </c>
      <c r="L1950">
        <v>1891.78</v>
      </c>
      <c r="M1950">
        <v>-88.22</v>
      </c>
      <c r="N1950" s="1">
        <v>37788</v>
      </c>
      <c r="O1950" t="s">
        <v>25</v>
      </c>
      <c r="P1950">
        <v>2</v>
      </c>
      <c r="Q1950">
        <v>6</v>
      </c>
      <c r="R1950">
        <v>2003</v>
      </c>
      <c r="S1950" t="s">
        <v>255</v>
      </c>
    </row>
    <row r="1951" spans="1:19" x14ac:dyDescent="0.25">
      <c r="A1951">
        <v>10178</v>
      </c>
      <c r="B1951" t="s">
        <v>319</v>
      </c>
      <c r="C1951" t="s">
        <v>142</v>
      </c>
      <c r="D1951" t="s">
        <v>143</v>
      </c>
      <c r="E1951" t="s">
        <v>29</v>
      </c>
      <c r="F1951" t="s">
        <v>30</v>
      </c>
      <c r="G1951" t="s">
        <v>33</v>
      </c>
      <c r="H1951">
        <v>8</v>
      </c>
      <c r="I1951">
        <v>34</v>
      </c>
      <c r="J1951">
        <v>96.86</v>
      </c>
      <c r="K1951">
        <v>90</v>
      </c>
      <c r="L1951">
        <v>3293.24</v>
      </c>
      <c r="M1951">
        <v>233.24</v>
      </c>
      <c r="N1951" s="1">
        <v>37933</v>
      </c>
      <c r="O1951" t="s">
        <v>25</v>
      </c>
      <c r="P1951">
        <v>4</v>
      </c>
      <c r="Q1951">
        <v>11</v>
      </c>
      <c r="R1951">
        <v>2003</v>
      </c>
      <c r="S1951" t="s">
        <v>255</v>
      </c>
    </row>
    <row r="1952" spans="1:19" x14ac:dyDescent="0.25">
      <c r="A1952">
        <v>10222</v>
      </c>
      <c r="B1952" t="s">
        <v>319</v>
      </c>
      <c r="C1952" t="s">
        <v>149</v>
      </c>
      <c r="D1952" t="s">
        <v>150</v>
      </c>
      <c r="E1952" t="s">
        <v>22</v>
      </c>
      <c r="F1952" t="s">
        <v>23</v>
      </c>
      <c r="G1952" t="s">
        <v>24</v>
      </c>
      <c r="H1952">
        <v>8</v>
      </c>
      <c r="I1952">
        <v>26</v>
      </c>
      <c r="J1952">
        <v>100</v>
      </c>
      <c r="K1952">
        <v>90</v>
      </c>
      <c r="L1952">
        <v>2659.54</v>
      </c>
      <c r="M1952">
        <v>319.54000000000002</v>
      </c>
      <c r="N1952" s="1">
        <v>38036</v>
      </c>
      <c r="O1952" t="s">
        <v>25</v>
      </c>
      <c r="P1952">
        <v>1</v>
      </c>
      <c r="Q1952">
        <v>2</v>
      </c>
      <c r="R1952">
        <v>2004</v>
      </c>
      <c r="S1952" t="s">
        <v>255</v>
      </c>
    </row>
    <row r="1953" spans="1:19" x14ac:dyDescent="0.25">
      <c r="A1953">
        <v>10284</v>
      </c>
      <c r="B1953" t="s">
        <v>320</v>
      </c>
      <c r="C1953" t="s">
        <v>223</v>
      </c>
      <c r="D1953" t="s">
        <v>224</v>
      </c>
      <c r="E1953" t="s">
        <v>44</v>
      </c>
      <c r="F1953" t="s">
        <v>30</v>
      </c>
      <c r="G1953" t="s">
        <v>33</v>
      </c>
      <c r="H1953">
        <v>8</v>
      </c>
      <c r="I1953">
        <v>45</v>
      </c>
      <c r="J1953">
        <v>100</v>
      </c>
      <c r="K1953">
        <v>99</v>
      </c>
      <c r="L1953">
        <v>4576.95</v>
      </c>
      <c r="M1953">
        <v>121.95</v>
      </c>
      <c r="N1953" s="1">
        <v>38220</v>
      </c>
      <c r="O1953" t="s">
        <v>25</v>
      </c>
      <c r="P1953">
        <v>3</v>
      </c>
      <c r="Q1953">
        <v>8</v>
      </c>
      <c r="R1953">
        <v>2004</v>
      </c>
      <c r="S1953" t="s">
        <v>234</v>
      </c>
    </row>
    <row r="1954" spans="1:19" x14ac:dyDescent="0.25">
      <c r="A1954">
        <v>10398</v>
      </c>
      <c r="B1954" t="s">
        <v>320</v>
      </c>
      <c r="C1954" t="s">
        <v>27</v>
      </c>
      <c r="D1954" t="s">
        <v>28</v>
      </c>
      <c r="E1954" t="s">
        <v>29</v>
      </c>
      <c r="F1954" t="s">
        <v>30</v>
      </c>
      <c r="G1954" t="s">
        <v>24</v>
      </c>
      <c r="H1954">
        <v>8</v>
      </c>
      <c r="I1954">
        <v>22</v>
      </c>
      <c r="J1954">
        <v>86.76</v>
      </c>
      <c r="K1954">
        <v>99</v>
      </c>
      <c r="L1954">
        <v>1908.72</v>
      </c>
      <c r="M1954">
        <v>-269.27999999999997</v>
      </c>
      <c r="N1954" s="1">
        <v>38441</v>
      </c>
      <c r="O1954" t="s">
        <v>25</v>
      </c>
      <c r="P1954">
        <v>1</v>
      </c>
      <c r="Q1954">
        <v>3</v>
      </c>
      <c r="R1954">
        <v>2005</v>
      </c>
      <c r="S1954" t="s">
        <v>234</v>
      </c>
    </row>
    <row r="1955" spans="1:19" x14ac:dyDescent="0.25">
      <c r="A1955">
        <v>10168</v>
      </c>
      <c r="B1955" t="s">
        <v>323</v>
      </c>
      <c r="C1955" t="s">
        <v>38</v>
      </c>
      <c r="D1955" t="s">
        <v>39</v>
      </c>
      <c r="E1955" t="s">
        <v>22</v>
      </c>
      <c r="F1955" t="s">
        <v>23</v>
      </c>
      <c r="G1955" t="s">
        <v>33</v>
      </c>
      <c r="H1955">
        <v>8</v>
      </c>
      <c r="I1955">
        <v>36</v>
      </c>
      <c r="J1955">
        <v>100</v>
      </c>
      <c r="K1955">
        <v>118</v>
      </c>
      <c r="L1955">
        <v>4527.72</v>
      </c>
      <c r="M1955">
        <v>279.72000000000003</v>
      </c>
      <c r="N1955" s="1">
        <v>37922</v>
      </c>
      <c r="O1955" t="s">
        <v>25</v>
      </c>
      <c r="P1955">
        <v>4</v>
      </c>
      <c r="Q1955">
        <v>10</v>
      </c>
      <c r="R1955">
        <v>2003</v>
      </c>
      <c r="S1955" t="s">
        <v>234</v>
      </c>
    </row>
    <row r="1956" spans="1:19" x14ac:dyDescent="0.25">
      <c r="A1956">
        <v>10188</v>
      </c>
      <c r="B1956" t="s">
        <v>323</v>
      </c>
      <c r="C1956" t="s">
        <v>42</v>
      </c>
      <c r="D1956" t="s">
        <v>43</v>
      </c>
      <c r="E1956" t="s">
        <v>44</v>
      </c>
      <c r="F1956" t="s">
        <v>30</v>
      </c>
      <c r="G1956" t="s">
        <v>33</v>
      </c>
      <c r="H1956">
        <v>8</v>
      </c>
      <c r="I1956">
        <v>29</v>
      </c>
      <c r="J1956">
        <v>100</v>
      </c>
      <c r="K1956">
        <v>118</v>
      </c>
      <c r="L1956">
        <v>3957.05</v>
      </c>
      <c r="M1956">
        <v>535.04999999999995</v>
      </c>
      <c r="N1956" s="1">
        <v>37943</v>
      </c>
      <c r="O1956" t="s">
        <v>25</v>
      </c>
      <c r="P1956">
        <v>4</v>
      </c>
      <c r="Q1956">
        <v>11</v>
      </c>
      <c r="R1956">
        <v>2003</v>
      </c>
      <c r="S1956" t="s">
        <v>234</v>
      </c>
    </row>
    <row r="1957" spans="1:19" x14ac:dyDescent="0.25">
      <c r="A1957">
        <v>10223</v>
      </c>
      <c r="B1957" t="s">
        <v>323</v>
      </c>
      <c r="C1957" t="s">
        <v>47</v>
      </c>
      <c r="D1957" t="s">
        <v>48</v>
      </c>
      <c r="E1957" t="s">
        <v>49</v>
      </c>
      <c r="F1957" t="s">
        <v>50</v>
      </c>
      <c r="G1957" t="s">
        <v>33</v>
      </c>
      <c r="H1957">
        <v>8</v>
      </c>
      <c r="I1957">
        <v>29</v>
      </c>
      <c r="J1957">
        <v>100</v>
      </c>
      <c r="K1957">
        <v>118</v>
      </c>
      <c r="L1957">
        <v>3199.86</v>
      </c>
      <c r="M1957">
        <v>-222.14</v>
      </c>
      <c r="N1957" s="1">
        <v>38037</v>
      </c>
      <c r="O1957" t="s">
        <v>25</v>
      </c>
      <c r="P1957">
        <v>1</v>
      </c>
      <c r="Q1957">
        <v>2</v>
      </c>
      <c r="R1957">
        <v>2004</v>
      </c>
      <c r="S1957" t="s">
        <v>234</v>
      </c>
    </row>
    <row r="1958" spans="1:19" x14ac:dyDescent="0.25">
      <c r="A1958">
        <v>10275</v>
      </c>
      <c r="B1958" t="s">
        <v>323</v>
      </c>
      <c r="C1958" t="s">
        <v>56</v>
      </c>
      <c r="D1958" t="s">
        <v>57</v>
      </c>
      <c r="E1958" t="s">
        <v>29</v>
      </c>
      <c r="F1958" t="s">
        <v>30</v>
      </c>
      <c r="G1958" t="s">
        <v>33</v>
      </c>
      <c r="H1958">
        <v>8</v>
      </c>
      <c r="I1958">
        <v>48</v>
      </c>
      <c r="J1958">
        <v>100</v>
      </c>
      <c r="K1958">
        <v>118</v>
      </c>
      <c r="L1958">
        <v>6378.72</v>
      </c>
      <c r="M1958">
        <v>714.72</v>
      </c>
      <c r="N1958" s="1">
        <v>38191</v>
      </c>
      <c r="O1958" t="s">
        <v>25</v>
      </c>
      <c r="P1958">
        <v>3</v>
      </c>
      <c r="Q1958">
        <v>7</v>
      </c>
      <c r="R1958">
        <v>2004</v>
      </c>
      <c r="S1958" t="s">
        <v>234</v>
      </c>
    </row>
    <row r="1959" spans="1:19" x14ac:dyDescent="0.25">
      <c r="A1959">
        <v>10318</v>
      </c>
      <c r="B1959" t="s">
        <v>323</v>
      </c>
      <c r="C1959" t="s">
        <v>65</v>
      </c>
      <c r="D1959" t="s">
        <v>66</v>
      </c>
      <c r="E1959" t="s">
        <v>22</v>
      </c>
      <c r="F1959" t="s">
        <v>23</v>
      </c>
      <c r="G1959" t="s">
        <v>70</v>
      </c>
      <c r="H1959">
        <v>8</v>
      </c>
      <c r="I1959">
        <v>50</v>
      </c>
      <c r="J1959">
        <v>100</v>
      </c>
      <c r="K1959">
        <v>118</v>
      </c>
      <c r="L1959">
        <v>7119</v>
      </c>
      <c r="M1959">
        <v>1219</v>
      </c>
      <c r="N1959" s="1">
        <v>38293</v>
      </c>
      <c r="O1959" t="s">
        <v>25</v>
      </c>
      <c r="P1959">
        <v>4</v>
      </c>
      <c r="Q1959">
        <v>11</v>
      </c>
      <c r="R1959">
        <v>2004</v>
      </c>
      <c r="S1959" t="s">
        <v>234</v>
      </c>
    </row>
    <row r="1960" spans="1:19" x14ac:dyDescent="0.25">
      <c r="A1960">
        <v>10106</v>
      </c>
      <c r="B1960" t="s">
        <v>324</v>
      </c>
      <c r="C1960" t="s">
        <v>227</v>
      </c>
      <c r="D1960" t="s">
        <v>228</v>
      </c>
      <c r="E1960" t="s">
        <v>110</v>
      </c>
      <c r="F1960" t="s">
        <v>30</v>
      </c>
      <c r="G1960" t="s">
        <v>33</v>
      </c>
      <c r="H1960">
        <v>8</v>
      </c>
      <c r="I1960">
        <v>44</v>
      </c>
      <c r="J1960">
        <v>74.400000000000006</v>
      </c>
      <c r="K1960">
        <v>80</v>
      </c>
      <c r="L1960">
        <v>3273.6</v>
      </c>
      <c r="M1960">
        <v>-246.4</v>
      </c>
      <c r="N1960" s="1">
        <v>37669</v>
      </c>
      <c r="O1960" t="s">
        <v>25</v>
      </c>
      <c r="P1960">
        <v>1</v>
      </c>
      <c r="Q1960">
        <v>2</v>
      </c>
      <c r="R1960">
        <v>2003</v>
      </c>
      <c r="S1960" t="s">
        <v>234</v>
      </c>
    </row>
    <row r="1961" spans="1:19" x14ac:dyDescent="0.25">
      <c r="A1961">
        <v>10273</v>
      </c>
      <c r="B1961" t="s">
        <v>325</v>
      </c>
      <c r="C1961" t="s">
        <v>151</v>
      </c>
      <c r="D1961" t="s">
        <v>152</v>
      </c>
      <c r="E1961" t="s">
        <v>153</v>
      </c>
      <c r="F1961" t="s">
        <v>30</v>
      </c>
      <c r="G1961" t="s">
        <v>33</v>
      </c>
      <c r="H1961">
        <v>8</v>
      </c>
      <c r="I1961">
        <v>40</v>
      </c>
      <c r="J1961">
        <v>86.15</v>
      </c>
      <c r="K1961">
        <v>100</v>
      </c>
      <c r="L1961">
        <v>3446</v>
      </c>
      <c r="M1961">
        <v>-554</v>
      </c>
      <c r="N1961" s="1">
        <v>38189</v>
      </c>
      <c r="O1961" t="s">
        <v>25</v>
      </c>
      <c r="P1961">
        <v>3</v>
      </c>
      <c r="Q1961">
        <v>7</v>
      </c>
      <c r="R1961">
        <v>2004</v>
      </c>
      <c r="S1961" t="s">
        <v>255</v>
      </c>
    </row>
    <row r="1962" spans="1:19" x14ac:dyDescent="0.25">
      <c r="A1962">
        <v>10248</v>
      </c>
      <c r="B1962" t="s">
        <v>326</v>
      </c>
      <c r="C1962" t="s">
        <v>20</v>
      </c>
      <c r="D1962" t="s">
        <v>21</v>
      </c>
      <c r="E1962" t="s">
        <v>22</v>
      </c>
      <c r="F1962" t="s">
        <v>23</v>
      </c>
      <c r="G1962" t="s">
        <v>33</v>
      </c>
      <c r="H1962">
        <v>8</v>
      </c>
      <c r="I1962">
        <v>35</v>
      </c>
      <c r="J1962">
        <v>90.37</v>
      </c>
      <c r="K1962">
        <v>99</v>
      </c>
      <c r="L1962">
        <v>3162.95</v>
      </c>
      <c r="M1962">
        <v>-302.05</v>
      </c>
      <c r="N1962" s="1">
        <v>38114</v>
      </c>
      <c r="O1962" t="s">
        <v>141</v>
      </c>
      <c r="P1962">
        <v>2</v>
      </c>
      <c r="Q1962">
        <v>5</v>
      </c>
      <c r="R1962">
        <v>2004</v>
      </c>
      <c r="S1962" t="s">
        <v>255</v>
      </c>
    </row>
    <row r="1963" spans="1:19" x14ac:dyDescent="0.25">
      <c r="A1963">
        <v>10373</v>
      </c>
      <c r="B1963" t="s">
        <v>326</v>
      </c>
      <c r="C1963" t="s">
        <v>160</v>
      </c>
      <c r="D1963" t="s">
        <v>161</v>
      </c>
      <c r="E1963" t="s">
        <v>62</v>
      </c>
      <c r="F1963" t="s">
        <v>30</v>
      </c>
      <c r="G1963" t="s">
        <v>33</v>
      </c>
      <c r="H1963">
        <v>8</v>
      </c>
      <c r="I1963">
        <v>37</v>
      </c>
      <c r="J1963">
        <v>100</v>
      </c>
      <c r="K1963">
        <v>99</v>
      </c>
      <c r="L1963">
        <v>4025.6</v>
      </c>
      <c r="M1963">
        <v>362.6</v>
      </c>
      <c r="N1963" s="1">
        <v>38383</v>
      </c>
      <c r="O1963" t="s">
        <v>25</v>
      </c>
      <c r="P1963">
        <v>1</v>
      </c>
      <c r="Q1963">
        <v>1</v>
      </c>
      <c r="R1963">
        <v>2005</v>
      </c>
      <c r="S1963" t="s">
        <v>255</v>
      </c>
    </row>
    <row r="1964" spans="1:19" x14ac:dyDescent="0.25">
      <c r="A1964">
        <v>10414</v>
      </c>
      <c r="B1964" t="s">
        <v>326</v>
      </c>
      <c r="C1964" t="s">
        <v>156</v>
      </c>
      <c r="D1964" t="s">
        <v>157</v>
      </c>
      <c r="E1964" t="s">
        <v>22</v>
      </c>
      <c r="F1964" t="s">
        <v>23</v>
      </c>
      <c r="G1964" t="s">
        <v>24</v>
      </c>
      <c r="H1964">
        <v>8</v>
      </c>
      <c r="I1964">
        <v>27</v>
      </c>
      <c r="J1964">
        <v>90.37</v>
      </c>
      <c r="K1964">
        <v>99</v>
      </c>
      <c r="L1964">
        <v>2439.9899999999998</v>
      </c>
      <c r="M1964">
        <v>-233.01</v>
      </c>
      <c r="N1964" s="1">
        <v>38478</v>
      </c>
      <c r="O1964" t="s">
        <v>164</v>
      </c>
      <c r="P1964">
        <v>2</v>
      </c>
      <c r="Q1964">
        <v>5</v>
      </c>
      <c r="R1964">
        <v>2005</v>
      </c>
      <c r="S1964" t="s">
        <v>255</v>
      </c>
    </row>
    <row r="1965" spans="1:19" x14ac:dyDescent="0.25">
      <c r="A1965">
        <v>10339</v>
      </c>
      <c r="B1965" t="s">
        <v>327</v>
      </c>
      <c r="C1965" t="s">
        <v>105</v>
      </c>
      <c r="D1965" t="s">
        <v>106</v>
      </c>
      <c r="E1965" t="s">
        <v>107</v>
      </c>
      <c r="F1965" t="s">
        <v>50</v>
      </c>
      <c r="G1965" t="s">
        <v>24</v>
      </c>
      <c r="H1965">
        <v>8</v>
      </c>
      <c r="I1965">
        <v>50</v>
      </c>
      <c r="J1965">
        <v>57.86</v>
      </c>
      <c r="K1965">
        <v>74</v>
      </c>
      <c r="L1965">
        <v>2893</v>
      </c>
      <c r="M1965">
        <v>-807</v>
      </c>
      <c r="N1965" s="1">
        <v>38314</v>
      </c>
      <c r="O1965" t="s">
        <v>25</v>
      </c>
      <c r="P1965">
        <v>4</v>
      </c>
      <c r="Q1965">
        <v>11</v>
      </c>
      <c r="R1965">
        <v>2004</v>
      </c>
      <c r="S1965" t="s">
        <v>234</v>
      </c>
    </row>
    <row r="1966" spans="1:19" x14ac:dyDescent="0.25">
      <c r="A1966">
        <v>10155</v>
      </c>
      <c r="B1966" t="s">
        <v>328</v>
      </c>
      <c r="C1966" t="s">
        <v>60</v>
      </c>
      <c r="D1966" t="s">
        <v>61</v>
      </c>
      <c r="E1966" t="s">
        <v>62</v>
      </c>
      <c r="F1966" t="s">
        <v>30</v>
      </c>
      <c r="G1966" t="s">
        <v>24</v>
      </c>
      <c r="H1966">
        <v>8</v>
      </c>
      <c r="I1966">
        <v>34</v>
      </c>
      <c r="J1966">
        <v>49.16</v>
      </c>
      <c r="K1966">
        <v>49</v>
      </c>
      <c r="L1966">
        <v>1671.44</v>
      </c>
      <c r="M1966">
        <v>5.44</v>
      </c>
      <c r="N1966" s="1">
        <v>37900</v>
      </c>
      <c r="O1966" t="s">
        <v>25</v>
      </c>
      <c r="P1966">
        <v>4</v>
      </c>
      <c r="Q1966">
        <v>10</v>
      </c>
      <c r="R1966">
        <v>2003</v>
      </c>
      <c r="S1966" t="s">
        <v>234</v>
      </c>
    </row>
    <row r="1967" spans="1:19" x14ac:dyDescent="0.25">
      <c r="A1967">
        <v>10329</v>
      </c>
      <c r="B1967" t="s">
        <v>328</v>
      </c>
      <c r="C1967" t="s">
        <v>20</v>
      </c>
      <c r="D1967" t="s">
        <v>21</v>
      </c>
      <c r="E1967" t="s">
        <v>22</v>
      </c>
      <c r="F1967" t="s">
        <v>23</v>
      </c>
      <c r="G1967" t="s">
        <v>33</v>
      </c>
      <c r="H1967">
        <v>8</v>
      </c>
      <c r="I1967">
        <v>44</v>
      </c>
      <c r="J1967">
        <v>86.13</v>
      </c>
      <c r="K1967">
        <v>49</v>
      </c>
      <c r="L1967">
        <v>3789.72</v>
      </c>
      <c r="M1967">
        <v>1633.72</v>
      </c>
      <c r="N1967" s="1">
        <v>38306</v>
      </c>
      <c r="O1967" t="s">
        <v>25</v>
      </c>
      <c r="P1967">
        <v>4</v>
      </c>
      <c r="Q1967">
        <v>11</v>
      </c>
      <c r="R1967">
        <v>2004</v>
      </c>
      <c r="S1967" t="s">
        <v>234</v>
      </c>
    </row>
    <row r="1968" spans="1:19" x14ac:dyDescent="0.25">
      <c r="A1968">
        <v>10105</v>
      </c>
      <c r="B1968" t="s">
        <v>329</v>
      </c>
      <c r="C1968" t="s">
        <v>135</v>
      </c>
      <c r="D1968" t="s">
        <v>136</v>
      </c>
      <c r="E1968" t="s">
        <v>137</v>
      </c>
      <c r="F1968" t="s">
        <v>30</v>
      </c>
      <c r="G1968" t="s">
        <v>24</v>
      </c>
      <c r="H1968">
        <v>8</v>
      </c>
      <c r="I1968">
        <v>25</v>
      </c>
      <c r="J1968">
        <v>56.78</v>
      </c>
      <c r="K1968">
        <v>54</v>
      </c>
      <c r="L1968">
        <v>1419.5</v>
      </c>
      <c r="M1968">
        <v>69.5</v>
      </c>
      <c r="N1968" s="1">
        <v>37663</v>
      </c>
      <c r="O1968" t="s">
        <v>25</v>
      </c>
      <c r="P1968">
        <v>1</v>
      </c>
      <c r="Q1968">
        <v>2</v>
      </c>
      <c r="R1968">
        <v>2003</v>
      </c>
      <c r="S1968" t="s">
        <v>255</v>
      </c>
    </row>
    <row r="1969" spans="1:19" x14ac:dyDescent="0.25">
      <c r="A1969">
        <v>10129</v>
      </c>
      <c r="B1969" t="s">
        <v>329</v>
      </c>
      <c r="C1969" t="s">
        <v>138</v>
      </c>
      <c r="D1969" t="s">
        <v>139</v>
      </c>
      <c r="E1969" t="s">
        <v>77</v>
      </c>
      <c r="F1969" t="s">
        <v>30</v>
      </c>
      <c r="G1969" t="s">
        <v>24</v>
      </c>
      <c r="H1969">
        <v>8</v>
      </c>
      <c r="I1969">
        <v>32</v>
      </c>
      <c r="J1969">
        <v>64.97</v>
      </c>
      <c r="K1969">
        <v>54</v>
      </c>
      <c r="L1969">
        <v>2079.04</v>
      </c>
      <c r="M1969">
        <v>351.04</v>
      </c>
      <c r="N1969" s="1">
        <v>37784</v>
      </c>
      <c r="O1969" t="s">
        <v>25</v>
      </c>
      <c r="P1969">
        <v>2</v>
      </c>
      <c r="Q1969">
        <v>6</v>
      </c>
      <c r="R1969">
        <v>2003</v>
      </c>
      <c r="S1969" t="s">
        <v>255</v>
      </c>
    </row>
    <row r="1970" spans="1:19" x14ac:dyDescent="0.25">
      <c r="A1970">
        <v>10180</v>
      </c>
      <c r="B1970" t="s">
        <v>19</v>
      </c>
      <c r="C1970" t="s">
        <v>40</v>
      </c>
      <c r="D1970" t="s">
        <v>41</v>
      </c>
      <c r="E1970" t="s">
        <v>29</v>
      </c>
      <c r="F1970" t="s">
        <v>30</v>
      </c>
      <c r="G1970" t="s">
        <v>24</v>
      </c>
      <c r="H1970">
        <v>9</v>
      </c>
      <c r="I1970">
        <v>29</v>
      </c>
      <c r="J1970">
        <v>86.13</v>
      </c>
      <c r="K1970">
        <v>95</v>
      </c>
      <c r="L1970">
        <v>2497.77</v>
      </c>
      <c r="M1970">
        <v>-257.23</v>
      </c>
      <c r="N1970" s="1">
        <v>37936</v>
      </c>
      <c r="O1970" t="s">
        <v>25</v>
      </c>
      <c r="P1970">
        <v>4</v>
      </c>
      <c r="Q1970">
        <v>11</v>
      </c>
      <c r="R1970">
        <v>2003</v>
      </c>
      <c r="S1970" t="s">
        <v>26</v>
      </c>
    </row>
    <row r="1971" spans="1:19" x14ac:dyDescent="0.25">
      <c r="A1971">
        <v>10299</v>
      </c>
      <c r="B1971" t="s">
        <v>19</v>
      </c>
      <c r="C1971" t="s">
        <v>60</v>
      </c>
      <c r="D1971" t="s">
        <v>61</v>
      </c>
      <c r="E1971" t="s">
        <v>62</v>
      </c>
      <c r="F1971" t="s">
        <v>30</v>
      </c>
      <c r="G1971" t="s">
        <v>24</v>
      </c>
      <c r="H1971">
        <v>9</v>
      </c>
      <c r="I1971">
        <v>23</v>
      </c>
      <c r="J1971">
        <v>100</v>
      </c>
      <c r="K1971">
        <v>95</v>
      </c>
      <c r="L1971">
        <v>2597.39</v>
      </c>
      <c r="M1971">
        <v>412.39</v>
      </c>
      <c r="N1971" s="1">
        <v>38260</v>
      </c>
      <c r="O1971" t="s">
        <v>25</v>
      </c>
      <c r="P1971">
        <v>3</v>
      </c>
      <c r="Q1971">
        <v>9</v>
      </c>
      <c r="R1971">
        <v>2004</v>
      </c>
      <c r="S1971" t="s">
        <v>26</v>
      </c>
    </row>
    <row r="1972" spans="1:19" x14ac:dyDescent="0.25">
      <c r="A1972">
        <v>10341</v>
      </c>
      <c r="B1972" t="s">
        <v>19</v>
      </c>
      <c r="C1972" t="s">
        <v>67</v>
      </c>
      <c r="D1972" t="s">
        <v>68</v>
      </c>
      <c r="E1972" t="s">
        <v>69</v>
      </c>
      <c r="F1972" t="s">
        <v>30</v>
      </c>
      <c r="G1972" t="s">
        <v>70</v>
      </c>
      <c r="H1972">
        <v>9</v>
      </c>
      <c r="I1972">
        <v>41</v>
      </c>
      <c r="J1972">
        <v>100</v>
      </c>
      <c r="K1972">
        <v>95</v>
      </c>
      <c r="L1972">
        <v>7737.93</v>
      </c>
      <c r="M1972">
        <v>3842.93</v>
      </c>
      <c r="N1972" s="1">
        <v>38315</v>
      </c>
      <c r="O1972" t="s">
        <v>25</v>
      </c>
      <c r="P1972">
        <v>4</v>
      </c>
      <c r="Q1972">
        <v>11</v>
      </c>
      <c r="R1972">
        <v>2004</v>
      </c>
      <c r="S1972" t="s">
        <v>26</v>
      </c>
    </row>
    <row r="1973" spans="1:19" x14ac:dyDescent="0.25">
      <c r="A1973">
        <v>10245</v>
      </c>
      <c r="B1973" t="s">
        <v>82</v>
      </c>
      <c r="C1973" t="s">
        <v>103</v>
      </c>
      <c r="D1973" t="s">
        <v>104</v>
      </c>
      <c r="E1973" t="s">
        <v>22</v>
      </c>
      <c r="F1973" t="s">
        <v>23</v>
      </c>
      <c r="G1973" t="s">
        <v>33</v>
      </c>
      <c r="H1973">
        <v>9</v>
      </c>
      <c r="I1973">
        <v>34</v>
      </c>
      <c r="J1973">
        <v>100</v>
      </c>
      <c r="K1973">
        <v>214</v>
      </c>
      <c r="L1973">
        <v>6120.34</v>
      </c>
      <c r="M1973">
        <v>-1155.6600000000001</v>
      </c>
      <c r="N1973" s="1">
        <v>38111</v>
      </c>
      <c r="O1973" t="s">
        <v>25</v>
      </c>
      <c r="P1973">
        <v>2</v>
      </c>
      <c r="Q1973">
        <v>5</v>
      </c>
      <c r="R1973">
        <v>2004</v>
      </c>
      <c r="S1973" t="s">
        <v>83</v>
      </c>
    </row>
    <row r="1974" spans="1:19" x14ac:dyDescent="0.25">
      <c r="A1974">
        <v>10270</v>
      </c>
      <c r="B1974" t="s">
        <v>82</v>
      </c>
      <c r="C1974" t="s">
        <v>71</v>
      </c>
      <c r="D1974" t="s">
        <v>72</v>
      </c>
      <c r="E1974" t="s">
        <v>49</v>
      </c>
      <c r="F1974" t="s">
        <v>50</v>
      </c>
      <c r="G1974" t="s">
        <v>33</v>
      </c>
      <c r="H1974">
        <v>9</v>
      </c>
      <c r="I1974">
        <v>21</v>
      </c>
      <c r="J1974">
        <v>100</v>
      </c>
      <c r="K1974">
        <v>214</v>
      </c>
      <c r="L1974">
        <v>4905.3900000000003</v>
      </c>
      <c r="M1974">
        <v>411.39</v>
      </c>
      <c r="N1974" s="1">
        <v>38187</v>
      </c>
      <c r="O1974" t="s">
        <v>25</v>
      </c>
      <c r="P1974">
        <v>3</v>
      </c>
      <c r="Q1974">
        <v>7</v>
      </c>
      <c r="R1974">
        <v>2004</v>
      </c>
      <c r="S1974" t="s">
        <v>83</v>
      </c>
    </row>
    <row r="1975" spans="1:19" x14ac:dyDescent="0.25">
      <c r="A1975">
        <v>10411</v>
      </c>
      <c r="B1975" t="s">
        <v>82</v>
      </c>
      <c r="C1975" t="s">
        <v>123</v>
      </c>
      <c r="D1975" t="s">
        <v>124</v>
      </c>
      <c r="E1975" t="s">
        <v>99</v>
      </c>
      <c r="F1975" t="s">
        <v>23</v>
      </c>
      <c r="G1975" t="s">
        <v>33</v>
      </c>
      <c r="H1975">
        <v>9</v>
      </c>
      <c r="I1975">
        <v>23</v>
      </c>
      <c r="J1975">
        <v>100</v>
      </c>
      <c r="K1975">
        <v>214</v>
      </c>
      <c r="L1975">
        <v>4140.2299999999996</v>
      </c>
      <c r="M1975">
        <v>-781.77</v>
      </c>
      <c r="N1975" s="1">
        <v>38473</v>
      </c>
      <c r="O1975" t="s">
        <v>25</v>
      </c>
      <c r="P1975">
        <v>2</v>
      </c>
      <c r="Q1975">
        <v>5</v>
      </c>
      <c r="R1975">
        <v>2005</v>
      </c>
      <c r="S1975" t="s">
        <v>83</v>
      </c>
    </row>
    <row r="1976" spans="1:19" x14ac:dyDescent="0.25">
      <c r="A1976">
        <v>10145</v>
      </c>
      <c r="B1976" t="s">
        <v>126</v>
      </c>
      <c r="C1976" t="s">
        <v>34</v>
      </c>
      <c r="D1976" t="s">
        <v>35</v>
      </c>
      <c r="E1976" t="s">
        <v>22</v>
      </c>
      <c r="F1976" t="s">
        <v>23</v>
      </c>
      <c r="G1976" t="s">
        <v>33</v>
      </c>
      <c r="H1976">
        <v>9</v>
      </c>
      <c r="I1976">
        <v>37</v>
      </c>
      <c r="J1976">
        <v>100</v>
      </c>
      <c r="K1976">
        <v>118</v>
      </c>
      <c r="L1976">
        <v>5192.95</v>
      </c>
      <c r="M1976">
        <v>826.95</v>
      </c>
      <c r="N1976" s="1">
        <v>37858</v>
      </c>
      <c r="O1976" t="s">
        <v>25</v>
      </c>
      <c r="P1976">
        <v>3</v>
      </c>
      <c r="Q1976">
        <v>8</v>
      </c>
      <c r="R1976">
        <v>2003</v>
      </c>
      <c r="S1976" t="s">
        <v>26</v>
      </c>
    </row>
    <row r="1977" spans="1:19" x14ac:dyDescent="0.25">
      <c r="A1977">
        <v>10285</v>
      </c>
      <c r="B1977" t="s">
        <v>126</v>
      </c>
      <c r="C1977" t="s">
        <v>58</v>
      </c>
      <c r="D1977" t="s">
        <v>59</v>
      </c>
      <c r="E1977" t="s">
        <v>22</v>
      </c>
      <c r="F1977" t="s">
        <v>23</v>
      </c>
      <c r="G1977" t="s">
        <v>33</v>
      </c>
      <c r="H1977">
        <v>9</v>
      </c>
      <c r="I1977">
        <v>47</v>
      </c>
      <c r="J1977">
        <v>100</v>
      </c>
      <c r="K1977">
        <v>118</v>
      </c>
      <c r="L1977">
        <v>6484.59</v>
      </c>
      <c r="M1977">
        <v>938.59</v>
      </c>
      <c r="N1977" s="1">
        <v>38226</v>
      </c>
      <c r="O1977" t="s">
        <v>25</v>
      </c>
      <c r="P1977">
        <v>3</v>
      </c>
      <c r="Q1977">
        <v>8</v>
      </c>
      <c r="R1977">
        <v>2004</v>
      </c>
      <c r="S1977" t="s">
        <v>26</v>
      </c>
    </row>
    <row r="1978" spans="1:19" x14ac:dyDescent="0.25">
      <c r="A1978">
        <v>10237</v>
      </c>
      <c r="B1978" t="s">
        <v>133</v>
      </c>
      <c r="C1978" t="s">
        <v>51</v>
      </c>
      <c r="D1978" t="s">
        <v>21</v>
      </c>
      <c r="E1978" t="s">
        <v>22</v>
      </c>
      <c r="F1978" t="s">
        <v>23</v>
      </c>
      <c r="G1978" t="s">
        <v>70</v>
      </c>
      <c r="H1978">
        <v>9</v>
      </c>
      <c r="I1978">
        <v>39</v>
      </c>
      <c r="J1978">
        <v>100</v>
      </c>
      <c r="K1978">
        <v>193</v>
      </c>
      <c r="L1978">
        <v>7023.9</v>
      </c>
      <c r="M1978">
        <v>-503.1</v>
      </c>
      <c r="N1978" s="1">
        <v>38082</v>
      </c>
      <c r="O1978" t="s">
        <v>25</v>
      </c>
      <c r="P1978">
        <v>2</v>
      </c>
      <c r="Q1978">
        <v>4</v>
      </c>
      <c r="R1978">
        <v>2004</v>
      </c>
      <c r="S1978" t="s">
        <v>26</v>
      </c>
    </row>
    <row r="1979" spans="1:19" x14ac:dyDescent="0.25">
      <c r="A1979">
        <v>10403</v>
      </c>
      <c r="B1979" t="s">
        <v>133</v>
      </c>
      <c r="C1979" t="s">
        <v>75</v>
      </c>
      <c r="D1979" t="s">
        <v>76</v>
      </c>
      <c r="E1979" t="s">
        <v>77</v>
      </c>
      <c r="F1979" t="s">
        <v>30</v>
      </c>
      <c r="G1979" t="s">
        <v>70</v>
      </c>
      <c r="H1979">
        <v>9</v>
      </c>
      <c r="I1979">
        <v>66</v>
      </c>
      <c r="J1979">
        <v>100</v>
      </c>
      <c r="K1979">
        <v>193</v>
      </c>
      <c r="L1979">
        <v>11886.6</v>
      </c>
      <c r="M1979">
        <v>-851.4</v>
      </c>
      <c r="N1979" s="1">
        <v>38450</v>
      </c>
      <c r="O1979" t="s">
        <v>25</v>
      </c>
      <c r="P1979">
        <v>2</v>
      </c>
      <c r="Q1979">
        <v>4</v>
      </c>
      <c r="R1979">
        <v>2005</v>
      </c>
      <c r="S1979" t="s">
        <v>26</v>
      </c>
    </row>
    <row r="1980" spans="1:19" x14ac:dyDescent="0.25">
      <c r="A1980">
        <v>10167</v>
      </c>
      <c r="B1980" t="s">
        <v>134</v>
      </c>
      <c r="C1980" t="s">
        <v>111</v>
      </c>
      <c r="D1980" t="s">
        <v>112</v>
      </c>
      <c r="E1980" t="s">
        <v>86</v>
      </c>
      <c r="F1980" t="s">
        <v>30</v>
      </c>
      <c r="G1980" t="s">
        <v>33</v>
      </c>
      <c r="H1980">
        <v>9</v>
      </c>
      <c r="I1980">
        <v>44</v>
      </c>
      <c r="J1980">
        <v>100</v>
      </c>
      <c r="K1980">
        <v>136</v>
      </c>
      <c r="L1980">
        <v>5924.16</v>
      </c>
      <c r="M1980">
        <v>-59.84</v>
      </c>
      <c r="N1980" s="1">
        <v>37917</v>
      </c>
      <c r="O1980" t="s">
        <v>141</v>
      </c>
      <c r="P1980">
        <v>4</v>
      </c>
      <c r="Q1980">
        <v>10</v>
      </c>
      <c r="R1980">
        <v>2003</v>
      </c>
      <c r="S1980" t="s">
        <v>83</v>
      </c>
    </row>
    <row r="1981" spans="1:19" x14ac:dyDescent="0.25">
      <c r="A1981">
        <v>10186</v>
      </c>
      <c r="B1981" t="s">
        <v>134</v>
      </c>
      <c r="C1981" t="s">
        <v>144</v>
      </c>
      <c r="D1981" t="s">
        <v>139</v>
      </c>
      <c r="E1981" t="s">
        <v>77</v>
      </c>
      <c r="F1981" t="s">
        <v>30</v>
      </c>
      <c r="G1981" t="s">
        <v>33</v>
      </c>
      <c r="H1981">
        <v>9</v>
      </c>
      <c r="I1981">
        <v>26</v>
      </c>
      <c r="J1981">
        <v>100</v>
      </c>
      <c r="K1981">
        <v>136</v>
      </c>
      <c r="L1981">
        <v>3854.24</v>
      </c>
      <c r="M1981">
        <v>318.24</v>
      </c>
      <c r="N1981" s="1">
        <v>37939</v>
      </c>
      <c r="O1981" t="s">
        <v>25</v>
      </c>
      <c r="P1981">
        <v>4</v>
      </c>
      <c r="Q1981">
        <v>11</v>
      </c>
      <c r="R1981">
        <v>2003</v>
      </c>
      <c r="S1981" t="s">
        <v>83</v>
      </c>
    </row>
    <row r="1982" spans="1:19" x14ac:dyDescent="0.25">
      <c r="A1982">
        <v>10307</v>
      </c>
      <c r="B1982" t="s">
        <v>134</v>
      </c>
      <c r="C1982" t="s">
        <v>93</v>
      </c>
      <c r="D1982" t="s">
        <v>94</v>
      </c>
      <c r="E1982" t="s">
        <v>22</v>
      </c>
      <c r="F1982" t="s">
        <v>23</v>
      </c>
      <c r="G1982" t="s">
        <v>24</v>
      </c>
      <c r="H1982">
        <v>9</v>
      </c>
      <c r="I1982">
        <v>22</v>
      </c>
      <c r="J1982">
        <v>100</v>
      </c>
      <c r="K1982">
        <v>136</v>
      </c>
      <c r="L1982">
        <v>2692.8</v>
      </c>
      <c r="M1982">
        <v>-299.2</v>
      </c>
      <c r="N1982" s="1">
        <v>38274</v>
      </c>
      <c r="O1982" t="s">
        <v>25</v>
      </c>
      <c r="P1982">
        <v>4</v>
      </c>
      <c r="Q1982">
        <v>10</v>
      </c>
      <c r="R1982">
        <v>2004</v>
      </c>
      <c r="S1982" t="s">
        <v>83</v>
      </c>
    </row>
    <row r="1983" spans="1:19" x14ac:dyDescent="0.25">
      <c r="A1983">
        <v>10400</v>
      </c>
      <c r="B1983" t="s">
        <v>134</v>
      </c>
      <c r="C1983" t="s">
        <v>162</v>
      </c>
      <c r="D1983" t="s">
        <v>163</v>
      </c>
      <c r="E1983" t="s">
        <v>22</v>
      </c>
      <c r="F1983" t="s">
        <v>23</v>
      </c>
      <c r="G1983" t="s">
        <v>70</v>
      </c>
      <c r="H1983">
        <v>9</v>
      </c>
      <c r="I1983">
        <v>64</v>
      </c>
      <c r="J1983">
        <v>100</v>
      </c>
      <c r="K1983">
        <v>136</v>
      </c>
      <c r="L1983">
        <v>9661.44</v>
      </c>
      <c r="M1983">
        <v>957.44</v>
      </c>
      <c r="N1983" s="1">
        <v>38443</v>
      </c>
      <c r="O1983" t="s">
        <v>25</v>
      </c>
      <c r="P1983">
        <v>2</v>
      </c>
      <c r="Q1983">
        <v>4</v>
      </c>
      <c r="R1983">
        <v>2005</v>
      </c>
      <c r="S1983" t="s">
        <v>83</v>
      </c>
    </row>
    <row r="1984" spans="1:19" x14ac:dyDescent="0.25">
      <c r="A1984">
        <v>10175</v>
      </c>
      <c r="B1984" t="s">
        <v>165</v>
      </c>
      <c r="C1984" t="s">
        <v>138</v>
      </c>
      <c r="D1984" t="s">
        <v>139</v>
      </c>
      <c r="E1984" t="s">
        <v>77</v>
      </c>
      <c r="F1984" t="s">
        <v>30</v>
      </c>
      <c r="G1984" t="s">
        <v>33</v>
      </c>
      <c r="H1984">
        <v>9</v>
      </c>
      <c r="I1984">
        <v>33</v>
      </c>
      <c r="J1984">
        <v>100</v>
      </c>
      <c r="K1984">
        <v>147</v>
      </c>
      <c r="L1984">
        <v>5362.83</v>
      </c>
      <c r="M1984">
        <v>511.83</v>
      </c>
      <c r="N1984" s="1">
        <v>37931</v>
      </c>
      <c r="O1984" t="s">
        <v>25</v>
      </c>
      <c r="P1984">
        <v>4</v>
      </c>
      <c r="Q1984">
        <v>11</v>
      </c>
      <c r="R1984">
        <v>2003</v>
      </c>
      <c r="S1984" t="s">
        <v>83</v>
      </c>
    </row>
    <row r="1985" spans="1:19" x14ac:dyDescent="0.25">
      <c r="A1985">
        <v>10229</v>
      </c>
      <c r="B1985" t="s">
        <v>165</v>
      </c>
      <c r="C1985" t="s">
        <v>115</v>
      </c>
      <c r="D1985" t="s">
        <v>116</v>
      </c>
      <c r="E1985" t="s">
        <v>22</v>
      </c>
      <c r="F1985" t="s">
        <v>23</v>
      </c>
      <c r="G1985" t="s">
        <v>33</v>
      </c>
      <c r="H1985">
        <v>9</v>
      </c>
      <c r="I1985">
        <v>50</v>
      </c>
      <c r="J1985">
        <v>100</v>
      </c>
      <c r="K1985">
        <v>147</v>
      </c>
      <c r="L1985">
        <v>6426.5</v>
      </c>
      <c r="M1985">
        <v>-923.5</v>
      </c>
      <c r="N1985" s="1">
        <v>38057</v>
      </c>
      <c r="O1985" t="s">
        <v>25</v>
      </c>
      <c r="P1985">
        <v>1</v>
      </c>
      <c r="Q1985">
        <v>3</v>
      </c>
      <c r="R1985">
        <v>2004</v>
      </c>
      <c r="S1985" t="s">
        <v>83</v>
      </c>
    </row>
    <row r="1986" spans="1:19" x14ac:dyDescent="0.25">
      <c r="A1986">
        <v>10281</v>
      </c>
      <c r="B1986" t="s">
        <v>165</v>
      </c>
      <c r="C1986" t="s">
        <v>65</v>
      </c>
      <c r="D1986" t="s">
        <v>66</v>
      </c>
      <c r="E1986" t="s">
        <v>22</v>
      </c>
      <c r="F1986" t="s">
        <v>23</v>
      </c>
      <c r="G1986" t="s">
        <v>70</v>
      </c>
      <c r="H1986">
        <v>9</v>
      </c>
      <c r="I1986">
        <v>44</v>
      </c>
      <c r="J1986">
        <v>100</v>
      </c>
      <c r="K1986">
        <v>147</v>
      </c>
      <c r="L1986">
        <v>7020.64</v>
      </c>
      <c r="M1986">
        <v>552.64</v>
      </c>
      <c r="N1986" s="1">
        <v>38218</v>
      </c>
      <c r="O1986" t="s">
        <v>25</v>
      </c>
      <c r="P1986">
        <v>3</v>
      </c>
      <c r="Q1986">
        <v>8</v>
      </c>
      <c r="R1986">
        <v>2004</v>
      </c>
      <c r="S1986" t="s">
        <v>83</v>
      </c>
    </row>
    <row r="1987" spans="1:19" x14ac:dyDescent="0.25">
      <c r="A1987">
        <v>10357</v>
      </c>
      <c r="B1987" t="s">
        <v>165</v>
      </c>
      <c r="C1987" t="s">
        <v>115</v>
      </c>
      <c r="D1987" t="s">
        <v>116</v>
      </c>
      <c r="E1987" t="s">
        <v>22</v>
      </c>
      <c r="F1987" t="s">
        <v>23</v>
      </c>
      <c r="G1987" t="s">
        <v>33</v>
      </c>
      <c r="H1987">
        <v>9</v>
      </c>
      <c r="I1987">
        <v>43</v>
      </c>
      <c r="J1987">
        <v>100</v>
      </c>
      <c r="K1987">
        <v>147</v>
      </c>
      <c r="L1987">
        <v>5780.92</v>
      </c>
      <c r="M1987">
        <v>-540.08000000000004</v>
      </c>
      <c r="N1987" s="1">
        <v>38331</v>
      </c>
      <c r="O1987" t="s">
        <v>25</v>
      </c>
      <c r="P1987">
        <v>4</v>
      </c>
      <c r="Q1987">
        <v>12</v>
      </c>
      <c r="R1987">
        <v>2004</v>
      </c>
      <c r="S1987" t="s">
        <v>83</v>
      </c>
    </row>
    <row r="1988" spans="1:19" x14ac:dyDescent="0.25">
      <c r="A1988">
        <v>10225</v>
      </c>
      <c r="B1988" t="s">
        <v>172</v>
      </c>
      <c r="C1988" t="s">
        <v>181</v>
      </c>
      <c r="D1988" t="s">
        <v>182</v>
      </c>
      <c r="E1988" t="s">
        <v>183</v>
      </c>
      <c r="F1988" t="s">
        <v>30</v>
      </c>
      <c r="G1988" t="s">
        <v>33</v>
      </c>
      <c r="H1988">
        <v>9</v>
      </c>
      <c r="I1988">
        <v>27</v>
      </c>
      <c r="J1988">
        <v>100</v>
      </c>
      <c r="K1988">
        <v>194</v>
      </c>
      <c r="L1988">
        <v>4517.91</v>
      </c>
      <c r="M1988">
        <v>-720.09</v>
      </c>
      <c r="N1988" s="1">
        <v>38039</v>
      </c>
      <c r="O1988" t="s">
        <v>25</v>
      </c>
      <c r="P1988">
        <v>1</v>
      </c>
      <c r="Q1988">
        <v>2</v>
      </c>
      <c r="R1988">
        <v>2004</v>
      </c>
      <c r="S1988" t="s">
        <v>83</v>
      </c>
    </row>
    <row r="1989" spans="1:19" x14ac:dyDescent="0.25">
      <c r="A1989">
        <v>10117</v>
      </c>
      <c r="B1989" t="s">
        <v>191</v>
      </c>
      <c r="C1989" t="s">
        <v>88</v>
      </c>
      <c r="D1989" t="s">
        <v>89</v>
      </c>
      <c r="E1989" t="s">
        <v>89</v>
      </c>
      <c r="F1989" t="s">
        <v>50</v>
      </c>
      <c r="G1989" t="s">
        <v>33</v>
      </c>
      <c r="H1989">
        <v>9</v>
      </c>
      <c r="I1989">
        <v>33</v>
      </c>
      <c r="J1989">
        <v>100</v>
      </c>
      <c r="K1989">
        <v>207</v>
      </c>
      <c r="L1989">
        <v>6034.38</v>
      </c>
      <c r="M1989">
        <v>-796.62</v>
      </c>
      <c r="N1989" s="1">
        <v>37727</v>
      </c>
      <c r="O1989" t="s">
        <v>25</v>
      </c>
      <c r="P1989">
        <v>2</v>
      </c>
      <c r="Q1989">
        <v>4</v>
      </c>
      <c r="R1989">
        <v>2003</v>
      </c>
      <c r="S1989" t="s">
        <v>83</v>
      </c>
    </row>
    <row r="1990" spans="1:19" x14ac:dyDescent="0.25">
      <c r="A1990">
        <v>10322</v>
      </c>
      <c r="B1990" t="s">
        <v>201</v>
      </c>
      <c r="C1990" t="s">
        <v>117</v>
      </c>
      <c r="D1990" t="s">
        <v>118</v>
      </c>
      <c r="E1990" t="s">
        <v>22</v>
      </c>
      <c r="F1990" t="s">
        <v>23</v>
      </c>
      <c r="G1990" t="s">
        <v>33</v>
      </c>
      <c r="H1990">
        <v>9</v>
      </c>
      <c r="I1990">
        <v>27</v>
      </c>
      <c r="J1990">
        <v>100</v>
      </c>
      <c r="K1990">
        <v>136</v>
      </c>
      <c r="L1990">
        <v>4784.13</v>
      </c>
      <c r="M1990">
        <v>1112.1300000000001</v>
      </c>
      <c r="N1990" s="1">
        <v>38295</v>
      </c>
      <c r="O1990" t="s">
        <v>25</v>
      </c>
      <c r="P1990">
        <v>4</v>
      </c>
      <c r="Q1990">
        <v>11</v>
      </c>
      <c r="R1990">
        <v>2004</v>
      </c>
      <c r="S1990" t="s">
        <v>202</v>
      </c>
    </row>
    <row r="1991" spans="1:19" x14ac:dyDescent="0.25">
      <c r="A1991">
        <v>10391</v>
      </c>
      <c r="B1991" t="s">
        <v>201</v>
      </c>
      <c r="C1991" t="s">
        <v>121</v>
      </c>
      <c r="D1991" t="s">
        <v>122</v>
      </c>
      <c r="E1991" t="s">
        <v>49</v>
      </c>
      <c r="F1991" t="s">
        <v>50</v>
      </c>
      <c r="G1991" t="s">
        <v>24</v>
      </c>
      <c r="H1991">
        <v>9</v>
      </c>
      <c r="I1991">
        <v>39</v>
      </c>
      <c r="J1991">
        <v>63.2</v>
      </c>
      <c r="K1991">
        <v>136</v>
      </c>
      <c r="L1991">
        <v>2464.8000000000002</v>
      </c>
      <c r="M1991">
        <v>-2839.2</v>
      </c>
      <c r="N1991" s="1">
        <v>38420</v>
      </c>
      <c r="O1991" t="s">
        <v>25</v>
      </c>
      <c r="P1991">
        <v>1</v>
      </c>
      <c r="Q1991">
        <v>3</v>
      </c>
      <c r="R1991">
        <v>2005</v>
      </c>
      <c r="S1991" t="s">
        <v>202</v>
      </c>
    </row>
    <row r="1992" spans="1:19" x14ac:dyDescent="0.25">
      <c r="A1992">
        <v>10319</v>
      </c>
      <c r="B1992" t="s">
        <v>203</v>
      </c>
      <c r="C1992" t="s">
        <v>204</v>
      </c>
      <c r="D1992" t="s">
        <v>21</v>
      </c>
      <c r="E1992" t="s">
        <v>22</v>
      </c>
      <c r="F1992" t="s">
        <v>23</v>
      </c>
      <c r="G1992" t="s">
        <v>33</v>
      </c>
      <c r="H1992">
        <v>9</v>
      </c>
      <c r="I1992">
        <v>30</v>
      </c>
      <c r="J1992">
        <v>100</v>
      </c>
      <c r="K1992">
        <v>150</v>
      </c>
      <c r="L1992">
        <v>4111.8</v>
      </c>
      <c r="M1992">
        <v>-388.2</v>
      </c>
      <c r="N1992" s="1">
        <v>38294</v>
      </c>
      <c r="O1992" t="s">
        <v>25</v>
      </c>
      <c r="P1992">
        <v>4</v>
      </c>
      <c r="Q1992">
        <v>11</v>
      </c>
      <c r="R1992">
        <v>2004</v>
      </c>
      <c r="S1992" t="s">
        <v>26</v>
      </c>
    </row>
    <row r="1993" spans="1:19" x14ac:dyDescent="0.25">
      <c r="A1993">
        <v>10293</v>
      </c>
      <c r="B1993" t="s">
        <v>205</v>
      </c>
      <c r="C1993" t="s">
        <v>108</v>
      </c>
      <c r="D1993" t="s">
        <v>109</v>
      </c>
      <c r="E1993" t="s">
        <v>110</v>
      </c>
      <c r="F1993" t="s">
        <v>30</v>
      </c>
      <c r="G1993" t="s">
        <v>33</v>
      </c>
      <c r="H1993">
        <v>9</v>
      </c>
      <c r="I1993">
        <v>24</v>
      </c>
      <c r="J1993">
        <v>100</v>
      </c>
      <c r="K1993">
        <v>151</v>
      </c>
      <c r="L1993">
        <v>4242.24</v>
      </c>
      <c r="M1993">
        <v>618.24</v>
      </c>
      <c r="N1993" s="1">
        <v>38239</v>
      </c>
      <c r="O1993" t="s">
        <v>25</v>
      </c>
      <c r="P1993">
        <v>3</v>
      </c>
      <c r="Q1993">
        <v>9</v>
      </c>
      <c r="R1993">
        <v>2004</v>
      </c>
      <c r="S1993" t="s">
        <v>83</v>
      </c>
    </row>
    <row r="1994" spans="1:19" x14ac:dyDescent="0.25">
      <c r="A1994">
        <v>10203</v>
      </c>
      <c r="B1994" t="s">
        <v>210</v>
      </c>
      <c r="C1994" t="s">
        <v>78</v>
      </c>
      <c r="D1994" t="s">
        <v>79</v>
      </c>
      <c r="E1994" t="s">
        <v>80</v>
      </c>
      <c r="F1994" t="s">
        <v>30</v>
      </c>
      <c r="G1994" t="s">
        <v>33</v>
      </c>
      <c r="H1994">
        <v>9</v>
      </c>
      <c r="I1994">
        <v>44</v>
      </c>
      <c r="J1994">
        <v>82.99</v>
      </c>
      <c r="K1994">
        <v>79</v>
      </c>
      <c r="L1994">
        <v>3651.56</v>
      </c>
      <c r="M1994">
        <v>175.56</v>
      </c>
      <c r="N1994" s="1">
        <v>37957</v>
      </c>
      <c r="O1994" t="s">
        <v>25</v>
      </c>
      <c r="P1994">
        <v>4</v>
      </c>
      <c r="Q1994">
        <v>12</v>
      </c>
      <c r="R1994">
        <v>2003</v>
      </c>
      <c r="S1994" t="s">
        <v>83</v>
      </c>
    </row>
    <row r="1995" spans="1:19" x14ac:dyDescent="0.25">
      <c r="A1995">
        <v>10104</v>
      </c>
      <c r="B1995" t="s">
        <v>211</v>
      </c>
      <c r="C1995" t="s">
        <v>78</v>
      </c>
      <c r="D1995" t="s">
        <v>79</v>
      </c>
      <c r="E1995" t="s">
        <v>80</v>
      </c>
      <c r="F1995" t="s">
        <v>30</v>
      </c>
      <c r="G1995" t="s">
        <v>33</v>
      </c>
      <c r="H1995">
        <v>9</v>
      </c>
      <c r="I1995">
        <v>41</v>
      </c>
      <c r="J1995">
        <v>100</v>
      </c>
      <c r="K1995">
        <v>118</v>
      </c>
      <c r="L1995">
        <v>4615.78</v>
      </c>
      <c r="M1995">
        <v>-222.22</v>
      </c>
      <c r="N1995" s="1">
        <v>37652</v>
      </c>
      <c r="O1995" t="s">
        <v>25</v>
      </c>
      <c r="P1995">
        <v>1</v>
      </c>
      <c r="Q1995">
        <v>1</v>
      </c>
      <c r="R1995">
        <v>2003</v>
      </c>
      <c r="S1995" t="s">
        <v>202</v>
      </c>
    </row>
    <row r="1996" spans="1:19" x14ac:dyDescent="0.25">
      <c r="A1996">
        <v>10349</v>
      </c>
      <c r="B1996" t="s">
        <v>211</v>
      </c>
      <c r="C1996" t="s">
        <v>192</v>
      </c>
      <c r="D1996" t="s">
        <v>21</v>
      </c>
      <c r="E1996" t="s">
        <v>22</v>
      </c>
      <c r="F1996" t="s">
        <v>23</v>
      </c>
      <c r="G1996" t="s">
        <v>33</v>
      </c>
      <c r="H1996">
        <v>9</v>
      </c>
      <c r="I1996">
        <v>48</v>
      </c>
      <c r="J1996">
        <v>100</v>
      </c>
      <c r="K1996">
        <v>118</v>
      </c>
      <c r="L1996">
        <v>5232.96</v>
      </c>
      <c r="M1996">
        <v>-431.04</v>
      </c>
      <c r="N1996" s="1">
        <v>38322</v>
      </c>
      <c r="O1996" t="s">
        <v>25</v>
      </c>
      <c r="P1996">
        <v>4</v>
      </c>
      <c r="Q1996">
        <v>12</v>
      </c>
      <c r="R1996">
        <v>2004</v>
      </c>
      <c r="S1996" t="s">
        <v>202</v>
      </c>
    </row>
    <row r="1997" spans="1:19" x14ac:dyDescent="0.25">
      <c r="A1997">
        <v>10358</v>
      </c>
      <c r="B1997" t="s">
        <v>211</v>
      </c>
      <c r="C1997" t="s">
        <v>78</v>
      </c>
      <c r="D1997" t="s">
        <v>79</v>
      </c>
      <c r="E1997" t="s">
        <v>80</v>
      </c>
      <c r="F1997" t="s">
        <v>30</v>
      </c>
      <c r="G1997" t="s">
        <v>24</v>
      </c>
      <c r="H1997">
        <v>9</v>
      </c>
      <c r="I1997">
        <v>42</v>
      </c>
      <c r="J1997">
        <v>64.16</v>
      </c>
      <c r="K1997">
        <v>118</v>
      </c>
      <c r="L1997">
        <v>2694.72</v>
      </c>
      <c r="M1997">
        <v>-2261.2800000000002</v>
      </c>
      <c r="N1997" s="1">
        <v>38331</v>
      </c>
      <c r="O1997" t="s">
        <v>25</v>
      </c>
      <c r="P1997">
        <v>4</v>
      </c>
      <c r="Q1997">
        <v>12</v>
      </c>
      <c r="R1997">
        <v>2004</v>
      </c>
      <c r="S1997" t="s">
        <v>202</v>
      </c>
    </row>
    <row r="1998" spans="1:19" x14ac:dyDescent="0.25">
      <c r="A1998">
        <v>10287</v>
      </c>
      <c r="B1998" t="s">
        <v>216</v>
      </c>
      <c r="C1998" t="s">
        <v>181</v>
      </c>
      <c r="D1998" t="s">
        <v>182</v>
      </c>
      <c r="E1998" t="s">
        <v>183</v>
      </c>
      <c r="F1998" t="s">
        <v>30</v>
      </c>
      <c r="G1998" t="s">
        <v>24</v>
      </c>
      <c r="H1998">
        <v>9</v>
      </c>
      <c r="I1998">
        <v>23</v>
      </c>
      <c r="J1998">
        <v>100</v>
      </c>
      <c r="K1998">
        <v>115</v>
      </c>
      <c r="L1998">
        <v>2675.13</v>
      </c>
      <c r="M1998">
        <v>30.13</v>
      </c>
      <c r="N1998" s="1">
        <v>38229</v>
      </c>
      <c r="O1998" t="s">
        <v>25</v>
      </c>
      <c r="P1998">
        <v>3</v>
      </c>
      <c r="Q1998">
        <v>8</v>
      </c>
      <c r="R1998">
        <v>2004</v>
      </c>
      <c r="S1998" t="s">
        <v>83</v>
      </c>
    </row>
    <row r="1999" spans="1:19" x14ac:dyDescent="0.25">
      <c r="A1999">
        <v>10280</v>
      </c>
      <c r="B1999" t="s">
        <v>225</v>
      </c>
      <c r="C1999" t="s">
        <v>108</v>
      </c>
      <c r="D1999" t="s">
        <v>109</v>
      </c>
      <c r="E1999" t="s">
        <v>110</v>
      </c>
      <c r="F1999" t="s">
        <v>30</v>
      </c>
      <c r="G1999" t="s">
        <v>33</v>
      </c>
      <c r="H1999">
        <v>9</v>
      </c>
      <c r="I1999">
        <v>50</v>
      </c>
      <c r="J1999">
        <v>100</v>
      </c>
      <c r="K1999">
        <v>102</v>
      </c>
      <c r="L1999">
        <v>5239.5</v>
      </c>
      <c r="M1999">
        <v>139.5</v>
      </c>
      <c r="N1999" s="1">
        <v>38216</v>
      </c>
      <c r="O1999" t="s">
        <v>25</v>
      </c>
      <c r="P1999">
        <v>3</v>
      </c>
      <c r="Q1999">
        <v>8</v>
      </c>
      <c r="R1999">
        <v>2004</v>
      </c>
      <c r="S1999" t="s">
        <v>226</v>
      </c>
    </row>
    <row r="2000" spans="1:19" x14ac:dyDescent="0.25">
      <c r="A2000">
        <v>10356</v>
      </c>
      <c r="B2000" t="s">
        <v>225</v>
      </c>
      <c r="C2000" t="s">
        <v>31</v>
      </c>
      <c r="D2000" t="s">
        <v>32</v>
      </c>
      <c r="E2000" t="s">
        <v>29</v>
      </c>
      <c r="F2000" t="s">
        <v>30</v>
      </c>
      <c r="G2000" t="s">
        <v>24</v>
      </c>
      <c r="H2000">
        <v>9</v>
      </c>
      <c r="I2000">
        <v>50</v>
      </c>
      <c r="J2000">
        <v>50.18</v>
      </c>
      <c r="K2000">
        <v>102</v>
      </c>
      <c r="L2000">
        <v>2509</v>
      </c>
      <c r="M2000">
        <v>-2591</v>
      </c>
      <c r="N2000" s="1">
        <v>38330</v>
      </c>
      <c r="O2000" t="s">
        <v>25</v>
      </c>
      <c r="P2000">
        <v>4</v>
      </c>
      <c r="Q2000">
        <v>12</v>
      </c>
      <c r="R2000">
        <v>2004</v>
      </c>
      <c r="S2000" t="s">
        <v>226</v>
      </c>
    </row>
    <row r="2001" spans="1:19" x14ac:dyDescent="0.25">
      <c r="A2001">
        <v>10215</v>
      </c>
      <c r="B2001" t="s">
        <v>231</v>
      </c>
      <c r="C2001" t="s">
        <v>100</v>
      </c>
      <c r="D2001" t="s">
        <v>101</v>
      </c>
      <c r="E2001" t="s">
        <v>22</v>
      </c>
      <c r="F2001" t="s">
        <v>23</v>
      </c>
      <c r="G2001" t="s">
        <v>24</v>
      </c>
      <c r="H2001">
        <v>9</v>
      </c>
      <c r="I2001">
        <v>33</v>
      </c>
      <c r="J2001">
        <v>43.13</v>
      </c>
      <c r="K2001">
        <v>53</v>
      </c>
      <c r="L2001">
        <v>1423.29</v>
      </c>
      <c r="M2001">
        <v>-325.70999999999998</v>
      </c>
      <c r="N2001" s="1">
        <v>38015</v>
      </c>
      <c r="O2001" t="s">
        <v>25</v>
      </c>
      <c r="P2001">
        <v>1</v>
      </c>
      <c r="Q2001">
        <v>1</v>
      </c>
      <c r="R2001">
        <v>2004</v>
      </c>
      <c r="S2001" t="s">
        <v>226</v>
      </c>
    </row>
    <row r="2002" spans="1:19" x14ac:dyDescent="0.25">
      <c r="A2002">
        <v>10312</v>
      </c>
      <c r="B2002" t="s">
        <v>231</v>
      </c>
      <c r="C2002" t="s">
        <v>115</v>
      </c>
      <c r="D2002" t="s">
        <v>116</v>
      </c>
      <c r="E2002" t="s">
        <v>22</v>
      </c>
      <c r="F2002" t="s">
        <v>23</v>
      </c>
      <c r="G2002" t="s">
        <v>24</v>
      </c>
      <c r="H2002">
        <v>9</v>
      </c>
      <c r="I2002">
        <v>25</v>
      </c>
      <c r="J2002">
        <v>44.21</v>
      </c>
      <c r="K2002">
        <v>53</v>
      </c>
      <c r="L2002">
        <v>1105.25</v>
      </c>
      <c r="M2002">
        <v>-219.75</v>
      </c>
      <c r="N2002" s="1">
        <v>38281</v>
      </c>
      <c r="O2002" t="s">
        <v>25</v>
      </c>
      <c r="P2002">
        <v>4</v>
      </c>
      <c r="Q2002">
        <v>10</v>
      </c>
      <c r="R2002">
        <v>2004</v>
      </c>
      <c r="S2002" t="s">
        <v>226</v>
      </c>
    </row>
    <row r="2003" spans="1:19" x14ac:dyDescent="0.25">
      <c r="A2003">
        <v>10381</v>
      </c>
      <c r="B2003" t="s">
        <v>231</v>
      </c>
      <c r="C2003" t="s">
        <v>36</v>
      </c>
      <c r="D2003" t="s">
        <v>37</v>
      </c>
      <c r="E2003" t="s">
        <v>22</v>
      </c>
      <c r="F2003" t="s">
        <v>23</v>
      </c>
      <c r="G2003" t="s">
        <v>24</v>
      </c>
      <c r="H2003">
        <v>9</v>
      </c>
      <c r="I2003">
        <v>25</v>
      </c>
      <c r="J2003">
        <v>52.83</v>
      </c>
      <c r="K2003">
        <v>53</v>
      </c>
      <c r="L2003">
        <v>1320.75</v>
      </c>
      <c r="M2003">
        <v>-4.25</v>
      </c>
      <c r="N2003" s="1">
        <v>38400</v>
      </c>
      <c r="O2003" t="s">
        <v>25</v>
      </c>
      <c r="P2003">
        <v>1</v>
      </c>
      <c r="Q2003">
        <v>2</v>
      </c>
      <c r="R2003">
        <v>2005</v>
      </c>
      <c r="S2003" t="s">
        <v>226</v>
      </c>
    </row>
    <row r="2004" spans="1:19" x14ac:dyDescent="0.25">
      <c r="A2004">
        <v>10148</v>
      </c>
      <c r="B2004" t="s">
        <v>232</v>
      </c>
      <c r="C2004" t="s">
        <v>121</v>
      </c>
      <c r="D2004" t="s">
        <v>122</v>
      </c>
      <c r="E2004" t="s">
        <v>49</v>
      </c>
      <c r="F2004" t="s">
        <v>50</v>
      </c>
      <c r="G2004" t="s">
        <v>33</v>
      </c>
      <c r="H2004">
        <v>9</v>
      </c>
      <c r="I2004">
        <v>47</v>
      </c>
      <c r="J2004">
        <v>100</v>
      </c>
      <c r="K2004">
        <v>124</v>
      </c>
      <c r="L2004">
        <v>5848.68</v>
      </c>
      <c r="M2004">
        <v>20.68</v>
      </c>
      <c r="N2004" s="1">
        <v>37875</v>
      </c>
      <c r="O2004" t="s">
        <v>25</v>
      </c>
      <c r="P2004">
        <v>3</v>
      </c>
      <c r="Q2004">
        <v>9</v>
      </c>
      <c r="R2004">
        <v>2003</v>
      </c>
      <c r="S2004" t="s">
        <v>83</v>
      </c>
    </row>
    <row r="2005" spans="1:19" x14ac:dyDescent="0.25">
      <c r="A2005">
        <v>10311</v>
      </c>
      <c r="B2005" t="s">
        <v>232</v>
      </c>
      <c r="C2005" t="s">
        <v>78</v>
      </c>
      <c r="D2005" t="s">
        <v>79</v>
      </c>
      <c r="E2005" t="s">
        <v>80</v>
      </c>
      <c r="F2005" t="s">
        <v>30</v>
      </c>
      <c r="G2005" t="s">
        <v>24</v>
      </c>
      <c r="H2005">
        <v>9</v>
      </c>
      <c r="I2005">
        <v>29</v>
      </c>
      <c r="J2005">
        <v>100</v>
      </c>
      <c r="K2005">
        <v>124</v>
      </c>
      <c r="L2005">
        <v>2923.2</v>
      </c>
      <c r="M2005">
        <v>-672.8</v>
      </c>
      <c r="N2005" s="1">
        <v>38276</v>
      </c>
      <c r="O2005" t="s">
        <v>25</v>
      </c>
      <c r="P2005">
        <v>4</v>
      </c>
      <c r="Q2005">
        <v>10</v>
      </c>
      <c r="R2005">
        <v>2004</v>
      </c>
      <c r="S2005" t="s">
        <v>83</v>
      </c>
    </row>
    <row r="2006" spans="1:19" x14ac:dyDescent="0.25">
      <c r="A2006">
        <v>10262</v>
      </c>
      <c r="B2006" t="s">
        <v>233</v>
      </c>
      <c r="C2006" t="s">
        <v>78</v>
      </c>
      <c r="D2006" t="s">
        <v>79</v>
      </c>
      <c r="E2006" t="s">
        <v>80</v>
      </c>
      <c r="F2006" t="s">
        <v>30</v>
      </c>
      <c r="G2006" t="s">
        <v>33</v>
      </c>
      <c r="H2006">
        <v>9</v>
      </c>
      <c r="I2006">
        <v>49</v>
      </c>
      <c r="J2006">
        <v>100</v>
      </c>
      <c r="K2006">
        <v>157</v>
      </c>
      <c r="L2006">
        <v>6567.96</v>
      </c>
      <c r="M2006">
        <v>-1125.04</v>
      </c>
      <c r="N2006" s="1">
        <v>38162</v>
      </c>
      <c r="O2006" t="s">
        <v>141</v>
      </c>
      <c r="P2006">
        <v>2</v>
      </c>
      <c r="Q2006">
        <v>6</v>
      </c>
      <c r="R2006">
        <v>2004</v>
      </c>
      <c r="S2006" t="s">
        <v>234</v>
      </c>
    </row>
    <row r="2007" spans="1:19" x14ac:dyDescent="0.25">
      <c r="A2007">
        <v>10316</v>
      </c>
      <c r="B2007" t="s">
        <v>233</v>
      </c>
      <c r="C2007" t="s">
        <v>158</v>
      </c>
      <c r="D2007" t="s">
        <v>159</v>
      </c>
      <c r="E2007" t="s">
        <v>77</v>
      </c>
      <c r="F2007" t="s">
        <v>30</v>
      </c>
      <c r="G2007" t="s">
        <v>33</v>
      </c>
      <c r="H2007">
        <v>9</v>
      </c>
      <c r="I2007">
        <v>27</v>
      </c>
      <c r="J2007">
        <v>100</v>
      </c>
      <c r="K2007">
        <v>157</v>
      </c>
      <c r="L2007">
        <v>3704.13</v>
      </c>
      <c r="M2007">
        <v>-534.87</v>
      </c>
      <c r="N2007" s="1">
        <v>38292</v>
      </c>
      <c r="O2007" t="s">
        <v>25</v>
      </c>
      <c r="P2007">
        <v>4</v>
      </c>
      <c r="Q2007">
        <v>11</v>
      </c>
      <c r="R2007">
        <v>2004</v>
      </c>
      <c r="S2007" t="s">
        <v>234</v>
      </c>
    </row>
    <row r="2008" spans="1:19" x14ac:dyDescent="0.25">
      <c r="A2008">
        <v>10162</v>
      </c>
      <c r="B2008" t="s">
        <v>240</v>
      </c>
      <c r="C2008" t="s">
        <v>36</v>
      </c>
      <c r="D2008" t="s">
        <v>37</v>
      </c>
      <c r="E2008" t="s">
        <v>22</v>
      </c>
      <c r="F2008" t="s">
        <v>23</v>
      </c>
      <c r="G2008" t="s">
        <v>33</v>
      </c>
      <c r="H2008">
        <v>9</v>
      </c>
      <c r="I2008">
        <v>29</v>
      </c>
      <c r="J2008">
        <v>100</v>
      </c>
      <c r="K2008">
        <v>170</v>
      </c>
      <c r="L2008">
        <v>5176.5</v>
      </c>
      <c r="M2008">
        <v>246.5</v>
      </c>
      <c r="N2008" s="1">
        <v>37912</v>
      </c>
      <c r="O2008" t="s">
        <v>25</v>
      </c>
      <c r="P2008">
        <v>4</v>
      </c>
      <c r="Q2008">
        <v>10</v>
      </c>
      <c r="R2008">
        <v>2003</v>
      </c>
      <c r="S2008" t="s">
        <v>226</v>
      </c>
    </row>
    <row r="2009" spans="1:19" x14ac:dyDescent="0.25">
      <c r="A2009">
        <v>10253</v>
      </c>
      <c r="B2009" t="s">
        <v>241</v>
      </c>
      <c r="C2009" t="s">
        <v>75</v>
      </c>
      <c r="D2009" t="s">
        <v>76</v>
      </c>
      <c r="E2009" t="s">
        <v>77</v>
      </c>
      <c r="F2009" t="s">
        <v>30</v>
      </c>
      <c r="G2009" t="s">
        <v>24</v>
      </c>
      <c r="H2009">
        <v>9</v>
      </c>
      <c r="I2009">
        <v>23</v>
      </c>
      <c r="J2009">
        <v>83.93</v>
      </c>
      <c r="K2009">
        <v>77</v>
      </c>
      <c r="L2009">
        <v>1930.39</v>
      </c>
      <c r="M2009">
        <v>159.38999999999999</v>
      </c>
      <c r="N2009" s="1">
        <v>38139</v>
      </c>
      <c r="O2009" t="s">
        <v>141</v>
      </c>
      <c r="P2009">
        <v>2</v>
      </c>
      <c r="Q2009">
        <v>6</v>
      </c>
      <c r="R2009">
        <v>2004</v>
      </c>
      <c r="S2009" t="s">
        <v>83</v>
      </c>
    </row>
    <row r="2010" spans="1:19" x14ac:dyDescent="0.25">
      <c r="A2010">
        <v>10329</v>
      </c>
      <c r="B2010" t="s">
        <v>241</v>
      </c>
      <c r="C2010" t="s">
        <v>20</v>
      </c>
      <c r="D2010" t="s">
        <v>21</v>
      </c>
      <c r="E2010" t="s">
        <v>22</v>
      </c>
      <c r="F2010" t="s">
        <v>23</v>
      </c>
      <c r="G2010" t="s">
        <v>24</v>
      </c>
      <c r="H2010">
        <v>9</v>
      </c>
      <c r="I2010">
        <v>29</v>
      </c>
      <c r="J2010">
        <v>100</v>
      </c>
      <c r="K2010">
        <v>77</v>
      </c>
      <c r="L2010">
        <v>2954.81</v>
      </c>
      <c r="M2010">
        <v>721.81</v>
      </c>
      <c r="N2010" s="1">
        <v>38306</v>
      </c>
      <c r="O2010" t="s">
        <v>25</v>
      </c>
      <c r="P2010">
        <v>4</v>
      </c>
      <c r="Q2010">
        <v>11</v>
      </c>
      <c r="R2010">
        <v>2004</v>
      </c>
      <c r="S2010" t="s">
        <v>83</v>
      </c>
    </row>
    <row r="2011" spans="1:19" x14ac:dyDescent="0.25">
      <c r="A2011">
        <v>10419</v>
      </c>
      <c r="B2011" t="s">
        <v>241</v>
      </c>
      <c r="C2011" t="s">
        <v>67</v>
      </c>
      <c r="D2011" t="s">
        <v>68</v>
      </c>
      <c r="E2011" t="s">
        <v>69</v>
      </c>
      <c r="F2011" t="s">
        <v>30</v>
      </c>
      <c r="G2011" t="s">
        <v>33</v>
      </c>
      <c r="H2011">
        <v>9</v>
      </c>
      <c r="I2011">
        <v>39</v>
      </c>
      <c r="J2011">
        <v>83.93</v>
      </c>
      <c r="K2011">
        <v>77</v>
      </c>
      <c r="L2011">
        <v>3273.27</v>
      </c>
      <c r="M2011">
        <v>270.27</v>
      </c>
      <c r="N2011" s="1">
        <v>38489</v>
      </c>
      <c r="O2011" t="s">
        <v>25</v>
      </c>
      <c r="P2011">
        <v>2</v>
      </c>
      <c r="Q2011">
        <v>5</v>
      </c>
      <c r="R2011">
        <v>2005</v>
      </c>
      <c r="S2011" t="s">
        <v>83</v>
      </c>
    </row>
    <row r="2012" spans="1:19" x14ac:dyDescent="0.25">
      <c r="A2012">
        <v>10212</v>
      </c>
      <c r="B2012" t="s">
        <v>242</v>
      </c>
      <c r="C2012" t="s">
        <v>78</v>
      </c>
      <c r="D2012" t="s">
        <v>79</v>
      </c>
      <c r="E2012" t="s">
        <v>80</v>
      </c>
      <c r="F2012" t="s">
        <v>30</v>
      </c>
      <c r="G2012" t="s">
        <v>33</v>
      </c>
      <c r="H2012">
        <v>9</v>
      </c>
      <c r="I2012">
        <v>41</v>
      </c>
      <c r="J2012">
        <v>100</v>
      </c>
      <c r="K2012">
        <v>142</v>
      </c>
      <c r="L2012">
        <v>4840.87</v>
      </c>
      <c r="M2012">
        <v>-981.13</v>
      </c>
      <c r="N2012" s="1">
        <v>38002</v>
      </c>
      <c r="O2012" t="s">
        <v>25</v>
      </c>
      <c r="P2012">
        <v>1</v>
      </c>
      <c r="Q2012">
        <v>1</v>
      </c>
      <c r="R2012">
        <v>2004</v>
      </c>
      <c r="S2012" t="s">
        <v>83</v>
      </c>
    </row>
    <row r="2013" spans="1:19" x14ac:dyDescent="0.25">
      <c r="A2013">
        <v>10321</v>
      </c>
      <c r="B2013" t="s">
        <v>242</v>
      </c>
      <c r="C2013" t="s">
        <v>73</v>
      </c>
      <c r="D2013" t="s">
        <v>74</v>
      </c>
      <c r="E2013" t="s">
        <v>22</v>
      </c>
      <c r="F2013" t="s">
        <v>23</v>
      </c>
      <c r="G2013" t="s">
        <v>33</v>
      </c>
      <c r="H2013">
        <v>9</v>
      </c>
      <c r="I2013">
        <v>25</v>
      </c>
      <c r="J2013">
        <v>100</v>
      </c>
      <c r="K2013">
        <v>142</v>
      </c>
      <c r="L2013">
        <v>3734</v>
      </c>
      <c r="M2013">
        <v>184</v>
      </c>
      <c r="N2013" s="1">
        <v>38295</v>
      </c>
      <c r="O2013" t="s">
        <v>25</v>
      </c>
      <c r="P2013">
        <v>4</v>
      </c>
      <c r="Q2013">
        <v>11</v>
      </c>
      <c r="R2013">
        <v>2004</v>
      </c>
      <c r="S2013" t="s">
        <v>83</v>
      </c>
    </row>
    <row r="2014" spans="1:19" x14ac:dyDescent="0.25">
      <c r="A2014">
        <v>10182</v>
      </c>
      <c r="B2014" t="s">
        <v>244</v>
      </c>
      <c r="C2014" t="s">
        <v>115</v>
      </c>
      <c r="D2014" t="s">
        <v>116</v>
      </c>
      <c r="E2014" t="s">
        <v>22</v>
      </c>
      <c r="F2014" t="s">
        <v>23</v>
      </c>
      <c r="G2014" t="s">
        <v>24</v>
      </c>
      <c r="H2014">
        <v>9</v>
      </c>
      <c r="I2014">
        <v>38</v>
      </c>
      <c r="J2014">
        <v>61.15</v>
      </c>
      <c r="K2014">
        <v>60</v>
      </c>
      <c r="L2014">
        <v>2323.6999999999998</v>
      </c>
      <c r="M2014">
        <v>43.7</v>
      </c>
      <c r="N2014" s="1">
        <v>37937</v>
      </c>
      <c r="O2014" t="s">
        <v>25</v>
      </c>
      <c r="P2014">
        <v>4</v>
      </c>
      <c r="Q2014">
        <v>11</v>
      </c>
      <c r="R2014">
        <v>2003</v>
      </c>
      <c r="S2014" t="s">
        <v>226</v>
      </c>
    </row>
    <row r="2015" spans="1:19" x14ac:dyDescent="0.25">
      <c r="A2015">
        <v>10227</v>
      </c>
      <c r="B2015" t="s">
        <v>244</v>
      </c>
      <c r="C2015" t="s">
        <v>95</v>
      </c>
      <c r="D2015" t="s">
        <v>96</v>
      </c>
      <c r="E2015" t="s">
        <v>29</v>
      </c>
      <c r="F2015" t="s">
        <v>30</v>
      </c>
      <c r="G2015" t="s">
        <v>24</v>
      </c>
      <c r="H2015">
        <v>9</v>
      </c>
      <c r="I2015">
        <v>28</v>
      </c>
      <c r="J2015">
        <v>50.85</v>
      </c>
      <c r="K2015">
        <v>60</v>
      </c>
      <c r="L2015">
        <v>1423.8</v>
      </c>
      <c r="M2015">
        <v>-256.2</v>
      </c>
      <c r="N2015" s="1">
        <v>38048</v>
      </c>
      <c r="O2015" t="s">
        <v>25</v>
      </c>
      <c r="P2015">
        <v>1</v>
      </c>
      <c r="Q2015">
        <v>3</v>
      </c>
      <c r="R2015">
        <v>2004</v>
      </c>
      <c r="S2015" t="s">
        <v>226</v>
      </c>
    </row>
    <row r="2016" spans="1:19" x14ac:dyDescent="0.25">
      <c r="A2016">
        <v>10332</v>
      </c>
      <c r="B2016" t="s">
        <v>244</v>
      </c>
      <c r="C2016" t="s">
        <v>197</v>
      </c>
      <c r="D2016" t="s">
        <v>198</v>
      </c>
      <c r="E2016" t="s">
        <v>77</v>
      </c>
      <c r="F2016" t="s">
        <v>30</v>
      </c>
      <c r="G2016" t="s">
        <v>33</v>
      </c>
      <c r="H2016">
        <v>9</v>
      </c>
      <c r="I2016">
        <v>38</v>
      </c>
      <c r="J2016">
        <v>84.25</v>
      </c>
      <c r="K2016">
        <v>60</v>
      </c>
      <c r="L2016">
        <v>3201.5</v>
      </c>
      <c r="M2016">
        <v>921.5</v>
      </c>
      <c r="N2016" s="1">
        <v>38308</v>
      </c>
      <c r="O2016" t="s">
        <v>25</v>
      </c>
      <c r="P2016">
        <v>4</v>
      </c>
      <c r="Q2016">
        <v>11</v>
      </c>
      <c r="R2016">
        <v>2004</v>
      </c>
      <c r="S2016" t="s">
        <v>226</v>
      </c>
    </row>
    <row r="2017" spans="1:19" x14ac:dyDescent="0.25">
      <c r="A2017">
        <v>10184</v>
      </c>
      <c r="B2017" t="s">
        <v>245</v>
      </c>
      <c r="C2017" t="s">
        <v>212</v>
      </c>
      <c r="D2017" t="s">
        <v>213</v>
      </c>
      <c r="E2017" t="s">
        <v>80</v>
      </c>
      <c r="F2017" t="s">
        <v>30</v>
      </c>
      <c r="G2017" t="s">
        <v>33</v>
      </c>
      <c r="H2017">
        <v>9</v>
      </c>
      <c r="I2017">
        <v>46</v>
      </c>
      <c r="J2017">
        <v>100</v>
      </c>
      <c r="K2017">
        <v>122</v>
      </c>
      <c r="L2017">
        <v>5984.14</v>
      </c>
      <c r="M2017">
        <v>372.14</v>
      </c>
      <c r="N2017" s="1">
        <v>37939</v>
      </c>
      <c r="O2017" t="s">
        <v>25</v>
      </c>
      <c r="P2017">
        <v>4</v>
      </c>
      <c r="Q2017">
        <v>11</v>
      </c>
      <c r="R2017">
        <v>2003</v>
      </c>
      <c r="S2017" t="s">
        <v>202</v>
      </c>
    </row>
    <row r="2018" spans="1:19" x14ac:dyDescent="0.25">
      <c r="A2018">
        <v>10195</v>
      </c>
      <c r="B2018" t="s">
        <v>245</v>
      </c>
      <c r="C2018" t="s">
        <v>131</v>
      </c>
      <c r="D2018" t="s">
        <v>132</v>
      </c>
      <c r="E2018" t="s">
        <v>22</v>
      </c>
      <c r="F2018" t="s">
        <v>23</v>
      </c>
      <c r="G2018" t="s">
        <v>33</v>
      </c>
      <c r="H2018">
        <v>9</v>
      </c>
      <c r="I2018">
        <v>35</v>
      </c>
      <c r="J2018">
        <v>100</v>
      </c>
      <c r="K2018">
        <v>122</v>
      </c>
      <c r="L2018">
        <v>3608.15</v>
      </c>
      <c r="M2018">
        <v>-661.85</v>
      </c>
      <c r="N2018" s="1">
        <v>37950</v>
      </c>
      <c r="O2018" t="s">
        <v>25</v>
      </c>
      <c r="P2018">
        <v>4</v>
      </c>
      <c r="Q2018">
        <v>11</v>
      </c>
      <c r="R2018">
        <v>2003</v>
      </c>
      <c r="S2018" t="s">
        <v>202</v>
      </c>
    </row>
    <row r="2019" spans="1:19" x14ac:dyDescent="0.25">
      <c r="A2019">
        <v>10151</v>
      </c>
      <c r="B2019" t="s">
        <v>247</v>
      </c>
      <c r="C2019" t="s">
        <v>160</v>
      </c>
      <c r="D2019" t="s">
        <v>161</v>
      </c>
      <c r="E2019" t="s">
        <v>62</v>
      </c>
      <c r="F2019" t="s">
        <v>30</v>
      </c>
      <c r="G2019" t="s">
        <v>24</v>
      </c>
      <c r="H2019">
        <v>9</v>
      </c>
      <c r="I2019">
        <v>39</v>
      </c>
      <c r="J2019">
        <v>69.28</v>
      </c>
      <c r="K2019">
        <v>60</v>
      </c>
      <c r="L2019">
        <v>2701.92</v>
      </c>
      <c r="M2019">
        <v>361.92</v>
      </c>
      <c r="N2019" s="1">
        <v>37885</v>
      </c>
      <c r="O2019" t="s">
        <v>25</v>
      </c>
      <c r="P2019">
        <v>3</v>
      </c>
      <c r="Q2019">
        <v>9</v>
      </c>
      <c r="R2019">
        <v>2003</v>
      </c>
      <c r="S2019" t="s">
        <v>202</v>
      </c>
    </row>
    <row r="2020" spans="1:19" x14ac:dyDescent="0.25">
      <c r="A2020">
        <v>10168</v>
      </c>
      <c r="B2020" t="s">
        <v>248</v>
      </c>
      <c r="C2020" t="s">
        <v>38</v>
      </c>
      <c r="D2020" t="s">
        <v>39</v>
      </c>
      <c r="E2020" t="s">
        <v>22</v>
      </c>
      <c r="F2020" t="s">
        <v>23</v>
      </c>
      <c r="G2020" t="s">
        <v>24</v>
      </c>
      <c r="H2020">
        <v>9</v>
      </c>
      <c r="I2020">
        <v>21</v>
      </c>
      <c r="J2020">
        <v>70.959999999999994</v>
      </c>
      <c r="K2020">
        <v>84</v>
      </c>
      <c r="L2020">
        <v>1490.16</v>
      </c>
      <c r="M2020">
        <v>-273.83999999999997</v>
      </c>
      <c r="N2020" s="1">
        <v>37922</v>
      </c>
      <c r="O2020" t="s">
        <v>25</v>
      </c>
      <c r="P2020">
        <v>4</v>
      </c>
      <c r="Q2020">
        <v>10</v>
      </c>
      <c r="R2020">
        <v>2003</v>
      </c>
      <c r="S2020" t="s">
        <v>234</v>
      </c>
    </row>
    <row r="2021" spans="1:19" x14ac:dyDescent="0.25">
      <c r="A2021">
        <v>10223</v>
      </c>
      <c r="B2021" t="s">
        <v>248</v>
      </c>
      <c r="C2021" t="s">
        <v>47</v>
      </c>
      <c r="D2021" t="s">
        <v>48</v>
      </c>
      <c r="E2021" t="s">
        <v>49</v>
      </c>
      <c r="F2021" t="s">
        <v>50</v>
      </c>
      <c r="G2021" t="s">
        <v>33</v>
      </c>
      <c r="H2021">
        <v>9</v>
      </c>
      <c r="I2021">
        <v>47</v>
      </c>
      <c r="J2021">
        <v>100</v>
      </c>
      <c r="K2021">
        <v>84</v>
      </c>
      <c r="L2021">
        <v>4724.91</v>
      </c>
      <c r="M2021">
        <v>776.91</v>
      </c>
      <c r="N2021" s="1">
        <v>38037</v>
      </c>
      <c r="O2021" t="s">
        <v>25</v>
      </c>
      <c r="P2021">
        <v>1</v>
      </c>
      <c r="Q2021">
        <v>2</v>
      </c>
      <c r="R2021">
        <v>2004</v>
      </c>
      <c r="S2021" t="s">
        <v>234</v>
      </c>
    </row>
    <row r="2022" spans="1:19" x14ac:dyDescent="0.25">
      <c r="A2022">
        <v>10275</v>
      </c>
      <c r="B2022" t="s">
        <v>248</v>
      </c>
      <c r="C2022" t="s">
        <v>56</v>
      </c>
      <c r="D2022" t="s">
        <v>57</v>
      </c>
      <c r="E2022" t="s">
        <v>29</v>
      </c>
      <c r="F2022" t="s">
        <v>30</v>
      </c>
      <c r="G2022" t="s">
        <v>33</v>
      </c>
      <c r="H2022">
        <v>9</v>
      </c>
      <c r="I2022">
        <v>35</v>
      </c>
      <c r="J2022">
        <v>90.39</v>
      </c>
      <c r="K2022">
        <v>84</v>
      </c>
      <c r="L2022">
        <v>3163.65</v>
      </c>
      <c r="M2022">
        <v>223.65</v>
      </c>
      <c r="N2022" s="1">
        <v>38191</v>
      </c>
      <c r="O2022" t="s">
        <v>25</v>
      </c>
      <c r="P2022">
        <v>3</v>
      </c>
      <c r="Q2022">
        <v>7</v>
      </c>
      <c r="R2022">
        <v>2004</v>
      </c>
      <c r="S2022" t="s">
        <v>234</v>
      </c>
    </row>
    <row r="2023" spans="1:19" x14ac:dyDescent="0.25">
      <c r="A2023">
        <v>10318</v>
      </c>
      <c r="B2023" t="s">
        <v>248</v>
      </c>
      <c r="C2023" t="s">
        <v>65</v>
      </c>
      <c r="D2023" t="s">
        <v>66</v>
      </c>
      <c r="E2023" t="s">
        <v>22</v>
      </c>
      <c r="F2023" t="s">
        <v>23</v>
      </c>
      <c r="G2023" t="s">
        <v>33</v>
      </c>
      <c r="H2023">
        <v>9</v>
      </c>
      <c r="I2023">
        <v>31</v>
      </c>
      <c r="J2023">
        <v>100</v>
      </c>
      <c r="K2023">
        <v>84</v>
      </c>
      <c r="L2023">
        <v>3116.43</v>
      </c>
      <c r="M2023">
        <v>512.42999999999995</v>
      </c>
      <c r="N2023" s="1">
        <v>38293</v>
      </c>
      <c r="O2023" t="s">
        <v>25</v>
      </c>
      <c r="P2023">
        <v>4</v>
      </c>
      <c r="Q2023">
        <v>11</v>
      </c>
      <c r="R2023">
        <v>2004</v>
      </c>
      <c r="S2023" t="s">
        <v>234</v>
      </c>
    </row>
    <row r="2024" spans="1:19" x14ac:dyDescent="0.25">
      <c r="A2024">
        <v>10161</v>
      </c>
      <c r="B2024" t="s">
        <v>251</v>
      </c>
      <c r="C2024" t="s">
        <v>199</v>
      </c>
      <c r="D2024" t="s">
        <v>200</v>
      </c>
      <c r="E2024" t="s">
        <v>137</v>
      </c>
      <c r="F2024" t="s">
        <v>30</v>
      </c>
      <c r="G2024" t="s">
        <v>33</v>
      </c>
      <c r="H2024">
        <v>9</v>
      </c>
      <c r="I2024">
        <v>23</v>
      </c>
      <c r="J2024">
        <v>100</v>
      </c>
      <c r="K2024">
        <v>132</v>
      </c>
      <c r="L2024">
        <v>3187.8</v>
      </c>
      <c r="M2024">
        <v>151.80000000000001</v>
      </c>
      <c r="N2024" s="1">
        <v>37911</v>
      </c>
      <c r="O2024" t="s">
        <v>25</v>
      </c>
      <c r="P2024">
        <v>4</v>
      </c>
      <c r="Q2024">
        <v>10</v>
      </c>
      <c r="R2024">
        <v>2003</v>
      </c>
      <c r="S2024" t="s">
        <v>83</v>
      </c>
    </row>
    <row r="2025" spans="1:19" x14ac:dyDescent="0.25">
      <c r="A2025">
        <v>10150</v>
      </c>
      <c r="B2025" t="s">
        <v>252</v>
      </c>
      <c r="C2025" t="s">
        <v>88</v>
      </c>
      <c r="D2025" t="s">
        <v>89</v>
      </c>
      <c r="E2025" t="s">
        <v>89</v>
      </c>
      <c r="F2025" t="s">
        <v>50</v>
      </c>
      <c r="G2025" t="s">
        <v>33</v>
      </c>
      <c r="H2025">
        <v>9</v>
      </c>
      <c r="I2025">
        <v>47</v>
      </c>
      <c r="J2025">
        <v>91.18</v>
      </c>
      <c r="K2025">
        <v>101</v>
      </c>
      <c r="L2025">
        <v>4285.46</v>
      </c>
      <c r="M2025">
        <v>-461.54</v>
      </c>
      <c r="N2025" s="1">
        <v>37883</v>
      </c>
      <c r="O2025" t="s">
        <v>25</v>
      </c>
      <c r="P2025">
        <v>3</v>
      </c>
      <c r="Q2025">
        <v>9</v>
      </c>
      <c r="R2025">
        <v>2003</v>
      </c>
      <c r="S2025" t="s">
        <v>226</v>
      </c>
    </row>
    <row r="2026" spans="1:19" x14ac:dyDescent="0.25">
      <c r="A2026">
        <v>10183</v>
      </c>
      <c r="B2026" t="s">
        <v>252</v>
      </c>
      <c r="C2026" t="s">
        <v>93</v>
      </c>
      <c r="D2026" t="s">
        <v>94</v>
      </c>
      <c r="E2026" t="s">
        <v>22</v>
      </c>
      <c r="F2026" t="s">
        <v>23</v>
      </c>
      <c r="G2026" t="s">
        <v>33</v>
      </c>
      <c r="H2026">
        <v>9</v>
      </c>
      <c r="I2026">
        <v>37</v>
      </c>
      <c r="J2026">
        <v>89.15</v>
      </c>
      <c r="K2026">
        <v>101</v>
      </c>
      <c r="L2026">
        <v>3298.55</v>
      </c>
      <c r="M2026">
        <v>-438.45</v>
      </c>
      <c r="N2026" s="1">
        <v>37938</v>
      </c>
      <c r="O2026" t="s">
        <v>25</v>
      </c>
      <c r="P2026">
        <v>4</v>
      </c>
      <c r="Q2026">
        <v>11</v>
      </c>
      <c r="R2026">
        <v>2003</v>
      </c>
      <c r="S2026" t="s">
        <v>226</v>
      </c>
    </row>
    <row r="2027" spans="1:19" x14ac:dyDescent="0.25">
      <c r="A2027">
        <v>10347</v>
      </c>
      <c r="B2027" t="s">
        <v>252</v>
      </c>
      <c r="C2027" t="s">
        <v>47</v>
      </c>
      <c r="D2027" t="s">
        <v>48</v>
      </c>
      <c r="E2027" t="s">
        <v>49</v>
      </c>
      <c r="F2027" t="s">
        <v>50</v>
      </c>
      <c r="G2027" t="s">
        <v>33</v>
      </c>
      <c r="H2027">
        <v>9</v>
      </c>
      <c r="I2027">
        <v>48</v>
      </c>
      <c r="J2027">
        <v>100</v>
      </c>
      <c r="K2027">
        <v>101</v>
      </c>
      <c r="L2027">
        <v>4814.3999999999996</v>
      </c>
      <c r="M2027">
        <v>-33.6</v>
      </c>
      <c r="N2027" s="1">
        <v>38320</v>
      </c>
      <c r="O2027" t="s">
        <v>25</v>
      </c>
      <c r="P2027">
        <v>4</v>
      </c>
      <c r="Q2027">
        <v>11</v>
      </c>
      <c r="R2027">
        <v>2004</v>
      </c>
      <c r="S2027" t="s">
        <v>226</v>
      </c>
    </row>
    <row r="2028" spans="1:19" x14ac:dyDescent="0.25">
      <c r="A2028">
        <v>10206</v>
      </c>
      <c r="B2028" t="s">
        <v>253</v>
      </c>
      <c r="C2028" t="s">
        <v>97</v>
      </c>
      <c r="D2028" t="s">
        <v>98</v>
      </c>
      <c r="E2028" t="s">
        <v>99</v>
      </c>
      <c r="F2028" t="s">
        <v>23</v>
      </c>
      <c r="G2028" t="s">
        <v>24</v>
      </c>
      <c r="H2028">
        <v>9</v>
      </c>
      <c r="I2028">
        <v>28</v>
      </c>
      <c r="J2028">
        <v>67.459999999999994</v>
      </c>
      <c r="K2028">
        <v>62</v>
      </c>
      <c r="L2028">
        <v>1888.88</v>
      </c>
      <c r="M2028">
        <v>152.88</v>
      </c>
      <c r="N2028" s="1">
        <v>37960</v>
      </c>
      <c r="O2028" t="s">
        <v>25</v>
      </c>
      <c r="P2028">
        <v>4</v>
      </c>
      <c r="Q2028">
        <v>12</v>
      </c>
      <c r="R2028">
        <v>2003</v>
      </c>
      <c r="S2028" t="s">
        <v>226</v>
      </c>
    </row>
    <row r="2029" spans="1:19" x14ac:dyDescent="0.25">
      <c r="A2029">
        <v>10304</v>
      </c>
      <c r="B2029" t="s">
        <v>253</v>
      </c>
      <c r="C2029" t="s">
        <v>113</v>
      </c>
      <c r="D2029" t="s">
        <v>114</v>
      </c>
      <c r="E2029" t="s">
        <v>29</v>
      </c>
      <c r="F2029" t="s">
        <v>30</v>
      </c>
      <c r="G2029" t="s">
        <v>24</v>
      </c>
      <c r="H2029">
        <v>9</v>
      </c>
      <c r="I2029">
        <v>24</v>
      </c>
      <c r="J2029">
        <v>64.959999999999994</v>
      </c>
      <c r="K2029">
        <v>62</v>
      </c>
      <c r="L2029">
        <v>1559.04</v>
      </c>
      <c r="M2029">
        <v>71.040000000000006</v>
      </c>
      <c r="N2029" s="1">
        <v>38271</v>
      </c>
      <c r="O2029" t="s">
        <v>25</v>
      </c>
      <c r="P2029">
        <v>4</v>
      </c>
      <c r="Q2029">
        <v>10</v>
      </c>
      <c r="R2029">
        <v>2004</v>
      </c>
      <c r="S2029" t="s">
        <v>226</v>
      </c>
    </row>
    <row r="2030" spans="1:19" x14ac:dyDescent="0.25">
      <c r="A2030">
        <v>10119</v>
      </c>
      <c r="B2030" t="s">
        <v>254</v>
      </c>
      <c r="C2030" t="s">
        <v>67</v>
      </c>
      <c r="D2030" t="s">
        <v>68</v>
      </c>
      <c r="E2030" t="s">
        <v>69</v>
      </c>
      <c r="F2030" t="s">
        <v>30</v>
      </c>
      <c r="G2030" t="s">
        <v>24</v>
      </c>
      <c r="H2030">
        <v>9</v>
      </c>
      <c r="I2030">
        <v>21</v>
      </c>
      <c r="J2030">
        <v>89.46</v>
      </c>
      <c r="K2030">
        <v>86</v>
      </c>
      <c r="L2030">
        <v>1878.66</v>
      </c>
      <c r="M2030">
        <v>72.66</v>
      </c>
      <c r="N2030" s="1">
        <v>37739</v>
      </c>
      <c r="O2030" t="s">
        <v>25</v>
      </c>
      <c r="P2030">
        <v>2</v>
      </c>
      <c r="Q2030">
        <v>4</v>
      </c>
      <c r="R2030">
        <v>2003</v>
      </c>
      <c r="S2030" t="s">
        <v>255</v>
      </c>
    </row>
    <row r="2031" spans="1:19" x14ac:dyDescent="0.25">
      <c r="A2031">
        <v>10177</v>
      </c>
      <c r="B2031" t="s">
        <v>258</v>
      </c>
      <c r="C2031" t="s">
        <v>196</v>
      </c>
      <c r="D2031" t="s">
        <v>79</v>
      </c>
      <c r="E2031" t="s">
        <v>80</v>
      </c>
      <c r="F2031" t="s">
        <v>30</v>
      </c>
      <c r="G2031" t="s">
        <v>33</v>
      </c>
      <c r="H2031">
        <v>9</v>
      </c>
      <c r="I2031">
        <v>23</v>
      </c>
      <c r="J2031">
        <v>100</v>
      </c>
      <c r="K2031">
        <v>136</v>
      </c>
      <c r="L2031">
        <v>3675.63</v>
      </c>
      <c r="M2031">
        <v>547.63</v>
      </c>
      <c r="N2031" s="1">
        <v>37932</v>
      </c>
      <c r="O2031" t="s">
        <v>25</v>
      </c>
      <c r="P2031">
        <v>4</v>
      </c>
      <c r="Q2031">
        <v>11</v>
      </c>
      <c r="R2031">
        <v>2003</v>
      </c>
      <c r="S2031" t="s">
        <v>226</v>
      </c>
    </row>
    <row r="2032" spans="1:19" x14ac:dyDescent="0.25">
      <c r="A2032">
        <v>10185</v>
      </c>
      <c r="B2032" t="s">
        <v>258</v>
      </c>
      <c r="C2032" t="s">
        <v>140</v>
      </c>
      <c r="D2032" t="s">
        <v>74</v>
      </c>
      <c r="E2032" t="s">
        <v>22</v>
      </c>
      <c r="F2032" t="s">
        <v>23</v>
      </c>
      <c r="G2032" t="s">
        <v>33</v>
      </c>
      <c r="H2032">
        <v>9</v>
      </c>
      <c r="I2032">
        <v>28</v>
      </c>
      <c r="J2032">
        <v>100</v>
      </c>
      <c r="K2032">
        <v>136</v>
      </c>
      <c r="L2032">
        <v>3442.04</v>
      </c>
      <c r="M2032">
        <v>-365.96</v>
      </c>
      <c r="N2032" s="1">
        <v>37939</v>
      </c>
      <c r="O2032" t="s">
        <v>25</v>
      </c>
      <c r="P2032">
        <v>4</v>
      </c>
      <c r="Q2032">
        <v>11</v>
      </c>
      <c r="R2032">
        <v>2003</v>
      </c>
      <c r="S2032" t="s">
        <v>226</v>
      </c>
    </row>
    <row r="2033" spans="1:19" x14ac:dyDescent="0.25">
      <c r="A2033">
        <v>10208</v>
      </c>
      <c r="B2033" t="s">
        <v>258</v>
      </c>
      <c r="C2033" t="s">
        <v>95</v>
      </c>
      <c r="D2033" t="s">
        <v>96</v>
      </c>
      <c r="E2033" t="s">
        <v>29</v>
      </c>
      <c r="F2033" t="s">
        <v>30</v>
      </c>
      <c r="G2033" t="s">
        <v>24</v>
      </c>
      <c r="H2033">
        <v>9</v>
      </c>
      <c r="I2033">
        <v>24</v>
      </c>
      <c r="J2033">
        <v>100</v>
      </c>
      <c r="K2033">
        <v>136</v>
      </c>
      <c r="L2033">
        <v>2622.48</v>
      </c>
      <c r="M2033">
        <v>-641.52</v>
      </c>
      <c r="N2033" s="1">
        <v>37988</v>
      </c>
      <c r="O2033" t="s">
        <v>25</v>
      </c>
      <c r="P2033">
        <v>1</v>
      </c>
      <c r="Q2033">
        <v>1</v>
      </c>
      <c r="R2033">
        <v>2004</v>
      </c>
      <c r="S2033" t="s">
        <v>226</v>
      </c>
    </row>
    <row r="2034" spans="1:19" x14ac:dyDescent="0.25">
      <c r="A2034">
        <v>10306</v>
      </c>
      <c r="B2034" t="s">
        <v>258</v>
      </c>
      <c r="C2034" t="s">
        <v>197</v>
      </c>
      <c r="D2034" t="s">
        <v>198</v>
      </c>
      <c r="E2034" t="s">
        <v>77</v>
      </c>
      <c r="F2034" t="s">
        <v>30</v>
      </c>
      <c r="G2034" t="s">
        <v>33</v>
      </c>
      <c r="H2034">
        <v>9</v>
      </c>
      <c r="I2034">
        <v>32</v>
      </c>
      <c r="J2034">
        <v>100</v>
      </c>
      <c r="K2034">
        <v>136</v>
      </c>
      <c r="L2034">
        <v>3759.04</v>
      </c>
      <c r="M2034">
        <v>-592.96</v>
      </c>
      <c r="N2034" s="1">
        <v>38274</v>
      </c>
      <c r="O2034" t="s">
        <v>25</v>
      </c>
      <c r="P2034">
        <v>4</v>
      </c>
      <c r="Q2034">
        <v>10</v>
      </c>
      <c r="R2034">
        <v>2004</v>
      </c>
      <c r="S2034" t="s">
        <v>226</v>
      </c>
    </row>
    <row r="2035" spans="1:19" x14ac:dyDescent="0.25">
      <c r="A2035">
        <v>10325</v>
      </c>
      <c r="B2035" t="s">
        <v>258</v>
      </c>
      <c r="C2035" t="s">
        <v>63</v>
      </c>
      <c r="D2035" t="s">
        <v>64</v>
      </c>
      <c r="E2035" t="s">
        <v>44</v>
      </c>
      <c r="F2035" t="s">
        <v>30</v>
      </c>
      <c r="G2035" t="s">
        <v>24</v>
      </c>
      <c r="H2035">
        <v>9</v>
      </c>
      <c r="I2035">
        <v>24</v>
      </c>
      <c r="J2035">
        <v>69.12</v>
      </c>
      <c r="K2035">
        <v>136</v>
      </c>
      <c r="L2035">
        <v>1658.88</v>
      </c>
      <c r="M2035">
        <v>-1605.12</v>
      </c>
      <c r="N2035" s="1">
        <v>38296</v>
      </c>
      <c r="O2035" t="s">
        <v>25</v>
      </c>
      <c r="P2035">
        <v>4</v>
      </c>
      <c r="Q2035">
        <v>11</v>
      </c>
      <c r="R2035">
        <v>2004</v>
      </c>
      <c r="S2035" t="s">
        <v>226</v>
      </c>
    </row>
    <row r="2036" spans="1:19" x14ac:dyDescent="0.25">
      <c r="A2036">
        <v>10383</v>
      </c>
      <c r="B2036" t="s">
        <v>258</v>
      </c>
      <c r="C2036" t="s">
        <v>78</v>
      </c>
      <c r="D2036" t="s">
        <v>79</v>
      </c>
      <c r="E2036" t="s">
        <v>80</v>
      </c>
      <c r="F2036" t="s">
        <v>30</v>
      </c>
      <c r="G2036" t="s">
        <v>24</v>
      </c>
      <c r="H2036">
        <v>9</v>
      </c>
      <c r="I2036">
        <v>24</v>
      </c>
      <c r="J2036">
        <v>61.52</v>
      </c>
      <c r="K2036">
        <v>136</v>
      </c>
      <c r="L2036">
        <v>1476.48</v>
      </c>
      <c r="M2036">
        <v>-1787.52</v>
      </c>
      <c r="N2036" s="1">
        <v>38405</v>
      </c>
      <c r="O2036" t="s">
        <v>25</v>
      </c>
      <c r="P2036">
        <v>1</v>
      </c>
      <c r="Q2036">
        <v>2</v>
      </c>
      <c r="R2036">
        <v>2005</v>
      </c>
      <c r="S2036" t="s">
        <v>226</v>
      </c>
    </row>
    <row r="2037" spans="1:19" x14ac:dyDescent="0.25">
      <c r="A2037">
        <v>10141</v>
      </c>
      <c r="B2037" t="s">
        <v>259</v>
      </c>
      <c r="C2037" t="s">
        <v>189</v>
      </c>
      <c r="D2037" t="s">
        <v>190</v>
      </c>
      <c r="E2037" t="s">
        <v>62</v>
      </c>
      <c r="F2037" t="s">
        <v>30</v>
      </c>
      <c r="G2037" t="s">
        <v>33</v>
      </c>
      <c r="H2037">
        <v>9</v>
      </c>
      <c r="I2037">
        <v>34</v>
      </c>
      <c r="J2037">
        <v>100</v>
      </c>
      <c r="K2037">
        <v>169</v>
      </c>
      <c r="L2037">
        <v>4836.5</v>
      </c>
      <c r="M2037">
        <v>-909.5</v>
      </c>
      <c r="N2037" s="1">
        <v>37834</v>
      </c>
      <c r="O2037" t="s">
        <v>25</v>
      </c>
      <c r="P2037">
        <v>3</v>
      </c>
      <c r="Q2037">
        <v>8</v>
      </c>
      <c r="R2037">
        <v>2003</v>
      </c>
      <c r="S2037" t="s">
        <v>83</v>
      </c>
    </row>
    <row r="2038" spans="1:19" x14ac:dyDescent="0.25">
      <c r="A2038">
        <v>10246</v>
      </c>
      <c r="B2038" t="s">
        <v>259</v>
      </c>
      <c r="C2038" t="s">
        <v>78</v>
      </c>
      <c r="D2038" t="s">
        <v>79</v>
      </c>
      <c r="E2038" t="s">
        <v>80</v>
      </c>
      <c r="F2038" t="s">
        <v>30</v>
      </c>
      <c r="G2038" t="s">
        <v>70</v>
      </c>
      <c r="H2038">
        <v>9</v>
      </c>
      <c r="I2038">
        <v>36</v>
      </c>
      <c r="J2038">
        <v>100</v>
      </c>
      <c r="K2038">
        <v>169</v>
      </c>
      <c r="L2038">
        <v>7132.68</v>
      </c>
      <c r="M2038">
        <v>1048.68</v>
      </c>
      <c r="N2038" s="1">
        <v>38112</v>
      </c>
      <c r="O2038" t="s">
        <v>25</v>
      </c>
      <c r="P2038">
        <v>2</v>
      </c>
      <c r="Q2038">
        <v>5</v>
      </c>
      <c r="R2038">
        <v>2004</v>
      </c>
      <c r="S2038" t="s">
        <v>83</v>
      </c>
    </row>
    <row r="2039" spans="1:19" x14ac:dyDescent="0.25">
      <c r="A2039">
        <v>10271</v>
      </c>
      <c r="B2039" t="s">
        <v>259</v>
      </c>
      <c r="C2039" t="s">
        <v>115</v>
      </c>
      <c r="D2039" t="s">
        <v>116</v>
      </c>
      <c r="E2039" t="s">
        <v>22</v>
      </c>
      <c r="F2039" t="s">
        <v>23</v>
      </c>
      <c r="G2039" t="s">
        <v>33</v>
      </c>
      <c r="H2039">
        <v>9</v>
      </c>
      <c r="I2039">
        <v>20</v>
      </c>
      <c r="J2039">
        <v>100</v>
      </c>
      <c r="K2039">
        <v>169</v>
      </c>
      <c r="L2039">
        <v>3928.6</v>
      </c>
      <c r="M2039">
        <v>548.6</v>
      </c>
      <c r="N2039" s="1">
        <v>38188</v>
      </c>
      <c r="O2039" t="s">
        <v>25</v>
      </c>
      <c r="P2039">
        <v>3</v>
      </c>
      <c r="Q2039">
        <v>7</v>
      </c>
      <c r="R2039">
        <v>2004</v>
      </c>
      <c r="S2039" t="s">
        <v>83</v>
      </c>
    </row>
    <row r="2040" spans="1:19" x14ac:dyDescent="0.25">
      <c r="A2040">
        <v>10301</v>
      </c>
      <c r="B2040" t="s">
        <v>259</v>
      </c>
      <c r="C2040" t="s">
        <v>223</v>
      </c>
      <c r="D2040" t="s">
        <v>224</v>
      </c>
      <c r="E2040" t="s">
        <v>44</v>
      </c>
      <c r="F2040" t="s">
        <v>30</v>
      </c>
      <c r="G2040" t="s">
        <v>33</v>
      </c>
      <c r="H2040">
        <v>9</v>
      </c>
      <c r="I2040">
        <v>23</v>
      </c>
      <c r="J2040">
        <v>100</v>
      </c>
      <c r="K2040">
        <v>169</v>
      </c>
      <c r="L2040">
        <v>4011.66</v>
      </c>
      <c r="M2040">
        <v>124.66</v>
      </c>
      <c r="N2040" s="1">
        <v>37899</v>
      </c>
      <c r="O2040" t="s">
        <v>25</v>
      </c>
      <c r="P2040">
        <v>4</v>
      </c>
      <c r="Q2040">
        <v>10</v>
      </c>
      <c r="R2040">
        <v>2003</v>
      </c>
      <c r="S2040" t="s">
        <v>83</v>
      </c>
    </row>
    <row r="2041" spans="1:19" x14ac:dyDescent="0.25">
      <c r="A2041">
        <v>10305</v>
      </c>
      <c r="B2041" t="s">
        <v>259</v>
      </c>
      <c r="C2041" t="s">
        <v>58</v>
      </c>
      <c r="D2041" t="s">
        <v>59</v>
      </c>
      <c r="E2041" t="s">
        <v>22</v>
      </c>
      <c r="F2041" t="s">
        <v>23</v>
      </c>
      <c r="G2041" t="s">
        <v>70</v>
      </c>
      <c r="H2041">
        <v>9</v>
      </c>
      <c r="I2041">
        <v>37</v>
      </c>
      <c r="J2041">
        <v>100</v>
      </c>
      <c r="K2041">
        <v>169</v>
      </c>
      <c r="L2041">
        <v>7455.87</v>
      </c>
      <c r="M2041">
        <v>1202.8699999999999</v>
      </c>
      <c r="N2041" s="1">
        <v>38273</v>
      </c>
      <c r="O2041" t="s">
        <v>25</v>
      </c>
      <c r="P2041">
        <v>4</v>
      </c>
      <c r="Q2041">
        <v>10</v>
      </c>
      <c r="R2041">
        <v>2004</v>
      </c>
      <c r="S2041" t="s">
        <v>83</v>
      </c>
    </row>
    <row r="2042" spans="1:19" x14ac:dyDescent="0.25">
      <c r="A2042">
        <v>10370</v>
      </c>
      <c r="B2042" t="s">
        <v>259</v>
      </c>
      <c r="C2042" t="s">
        <v>121</v>
      </c>
      <c r="D2042" t="s">
        <v>122</v>
      </c>
      <c r="E2042" t="s">
        <v>49</v>
      </c>
      <c r="F2042" t="s">
        <v>50</v>
      </c>
      <c r="G2042" t="s">
        <v>24</v>
      </c>
      <c r="H2042">
        <v>9</v>
      </c>
      <c r="I2042">
        <v>27</v>
      </c>
      <c r="J2042">
        <v>56.85</v>
      </c>
      <c r="K2042">
        <v>169</v>
      </c>
      <c r="L2042">
        <v>1534.95</v>
      </c>
      <c r="M2042">
        <v>-3028.05</v>
      </c>
      <c r="N2042" s="1">
        <v>38372</v>
      </c>
      <c r="O2042" t="s">
        <v>25</v>
      </c>
      <c r="P2042">
        <v>1</v>
      </c>
      <c r="Q2042">
        <v>1</v>
      </c>
      <c r="R2042">
        <v>2005</v>
      </c>
      <c r="S2042" t="s">
        <v>83</v>
      </c>
    </row>
    <row r="2043" spans="1:19" x14ac:dyDescent="0.25">
      <c r="A2043">
        <v>10412</v>
      </c>
      <c r="B2043" t="s">
        <v>259</v>
      </c>
      <c r="C2043" t="s">
        <v>78</v>
      </c>
      <c r="D2043" t="s">
        <v>79</v>
      </c>
      <c r="E2043" t="s">
        <v>80</v>
      </c>
      <c r="F2043" t="s">
        <v>30</v>
      </c>
      <c r="G2043" t="s">
        <v>70</v>
      </c>
      <c r="H2043">
        <v>9</v>
      </c>
      <c r="I2043">
        <v>60</v>
      </c>
      <c r="J2043">
        <v>100</v>
      </c>
      <c r="K2043">
        <v>169</v>
      </c>
      <c r="L2043">
        <v>11887.8</v>
      </c>
      <c r="M2043">
        <v>1747.8</v>
      </c>
      <c r="N2043" s="1">
        <v>38475</v>
      </c>
      <c r="O2043" t="s">
        <v>25</v>
      </c>
      <c r="P2043">
        <v>2</v>
      </c>
      <c r="Q2043">
        <v>5</v>
      </c>
      <c r="R2043">
        <v>2005</v>
      </c>
      <c r="S2043" t="s">
        <v>83</v>
      </c>
    </row>
    <row r="2044" spans="1:19" x14ac:dyDescent="0.25">
      <c r="A2044">
        <v>10153</v>
      </c>
      <c r="B2044" t="s">
        <v>260</v>
      </c>
      <c r="C2044" t="s">
        <v>78</v>
      </c>
      <c r="D2044" t="s">
        <v>79</v>
      </c>
      <c r="E2044" t="s">
        <v>80</v>
      </c>
      <c r="F2044" t="s">
        <v>30</v>
      </c>
      <c r="G2044" t="s">
        <v>24</v>
      </c>
      <c r="H2044">
        <v>9</v>
      </c>
      <c r="I2044">
        <v>29</v>
      </c>
      <c r="J2044">
        <v>88.74</v>
      </c>
      <c r="K2044">
        <v>100</v>
      </c>
      <c r="L2044">
        <v>2573.46</v>
      </c>
      <c r="M2044">
        <v>-326.54000000000002</v>
      </c>
      <c r="N2044" s="1">
        <v>37892</v>
      </c>
      <c r="O2044" t="s">
        <v>25</v>
      </c>
      <c r="P2044">
        <v>3</v>
      </c>
      <c r="Q2044">
        <v>9</v>
      </c>
      <c r="R2044">
        <v>2003</v>
      </c>
      <c r="S2044" t="s">
        <v>261</v>
      </c>
    </row>
    <row r="2045" spans="1:19" x14ac:dyDescent="0.25">
      <c r="A2045">
        <v>10108</v>
      </c>
      <c r="B2045" t="s">
        <v>262</v>
      </c>
      <c r="C2045" t="s">
        <v>173</v>
      </c>
      <c r="D2045" t="s">
        <v>174</v>
      </c>
      <c r="E2045" t="s">
        <v>175</v>
      </c>
      <c r="F2045" t="s">
        <v>50</v>
      </c>
      <c r="G2045" t="s">
        <v>24</v>
      </c>
      <c r="H2045">
        <v>9</v>
      </c>
      <c r="I2045">
        <v>26</v>
      </c>
      <c r="J2045">
        <v>68.349999999999994</v>
      </c>
      <c r="K2045">
        <v>80</v>
      </c>
      <c r="L2045">
        <v>1777.1</v>
      </c>
      <c r="M2045">
        <v>-302.89999999999998</v>
      </c>
      <c r="N2045" s="1">
        <v>37683</v>
      </c>
      <c r="O2045" t="s">
        <v>25</v>
      </c>
      <c r="P2045">
        <v>1</v>
      </c>
      <c r="Q2045">
        <v>3</v>
      </c>
      <c r="R2045">
        <v>2003</v>
      </c>
      <c r="S2045" t="s">
        <v>83</v>
      </c>
    </row>
    <row r="2046" spans="1:19" x14ac:dyDescent="0.25">
      <c r="A2046">
        <v>10390</v>
      </c>
      <c r="B2046" t="s">
        <v>262</v>
      </c>
      <c r="C2046" t="s">
        <v>115</v>
      </c>
      <c r="D2046" t="s">
        <v>116</v>
      </c>
      <c r="E2046" t="s">
        <v>22</v>
      </c>
      <c r="F2046" t="s">
        <v>23</v>
      </c>
      <c r="G2046" t="s">
        <v>33</v>
      </c>
      <c r="H2046">
        <v>9</v>
      </c>
      <c r="I2046">
        <v>40</v>
      </c>
      <c r="J2046">
        <v>100</v>
      </c>
      <c r="K2046">
        <v>80</v>
      </c>
      <c r="L2046">
        <v>5491.6</v>
      </c>
      <c r="M2046">
        <v>2291.6</v>
      </c>
      <c r="N2046" s="1">
        <v>38415</v>
      </c>
      <c r="O2046" t="s">
        <v>25</v>
      </c>
      <c r="P2046">
        <v>1</v>
      </c>
      <c r="Q2046">
        <v>3</v>
      </c>
      <c r="R2046">
        <v>2005</v>
      </c>
      <c r="S2046" t="s">
        <v>83</v>
      </c>
    </row>
    <row r="2047" spans="1:19" x14ac:dyDescent="0.25">
      <c r="A2047">
        <v>10135</v>
      </c>
      <c r="B2047" t="s">
        <v>264</v>
      </c>
      <c r="C2047" t="s">
        <v>115</v>
      </c>
      <c r="D2047" t="s">
        <v>116</v>
      </c>
      <c r="E2047" t="s">
        <v>22</v>
      </c>
      <c r="F2047" t="s">
        <v>23</v>
      </c>
      <c r="G2047" t="s">
        <v>33</v>
      </c>
      <c r="H2047">
        <v>9</v>
      </c>
      <c r="I2047">
        <v>42</v>
      </c>
      <c r="J2047">
        <v>100</v>
      </c>
      <c r="K2047">
        <v>146</v>
      </c>
      <c r="L2047">
        <v>5432.7</v>
      </c>
      <c r="M2047">
        <v>-699.3</v>
      </c>
      <c r="N2047" s="1">
        <v>37804</v>
      </c>
      <c r="O2047" t="s">
        <v>25</v>
      </c>
      <c r="P2047">
        <v>3</v>
      </c>
      <c r="Q2047">
        <v>7</v>
      </c>
      <c r="R2047">
        <v>2003</v>
      </c>
      <c r="S2047" t="s">
        <v>83</v>
      </c>
    </row>
    <row r="2048" spans="1:19" x14ac:dyDescent="0.25">
      <c r="A2048">
        <v>10147</v>
      </c>
      <c r="B2048" t="s">
        <v>264</v>
      </c>
      <c r="C2048" t="s">
        <v>119</v>
      </c>
      <c r="D2048" t="s">
        <v>120</v>
      </c>
      <c r="E2048" t="s">
        <v>22</v>
      </c>
      <c r="F2048" t="s">
        <v>23</v>
      </c>
      <c r="G2048" t="s">
        <v>33</v>
      </c>
      <c r="H2048">
        <v>9</v>
      </c>
      <c r="I2048">
        <v>37</v>
      </c>
      <c r="J2048">
        <v>100</v>
      </c>
      <c r="K2048">
        <v>146</v>
      </c>
      <c r="L2048">
        <v>4405.22</v>
      </c>
      <c r="M2048">
        <v>-996.78</v>
      </c>
      <c r="N2048" s="1">
        <v>37869</v>
      </c>
      <c r="O2048" t="s">
        <v>25</v>
      </c>
      <c r="P2048">
        <v>3</v>
      </c>
      <c r="Q2048">
        <v>9</v>
      </c>
      <c r="R2048">
        <v>2003</v>
      </c>
      <c r="S2048" t="s">
        <v>83</v>
      </c>
    </row>
    <row r="2049" spans="1:19" x14ac:dyDescent="0.25">
      <c r="A2049">
        <v>10192</v>
      </c>
      <c r="B2049" t="s">
        <v>265</v>
      </c>
      <c r="C2049" t="s">
        <v>117</v>
      </c>
      <c r="D2049" t="s">
        <v>118</v>
      </c>
      <c r="E2049" t="s">
        <v>22</v>
      </c>
      <c r="F2049" t="s">
        <v>23</v>
      </c>
      <c r="G2049" t="s">
        <v>33</v>
      </c>
      <c r="H2049">
        <v>9</v>
      </c>
      <c r="I2049">
        <v>45</v>
      </c>
      <c r="J2049">
        <v>100</v>
      </c>
      <c r="K2049">
        <v>141</v>
      </c>
      <c r="L2049">
        <v>5340.6</v>
      </c>
      <c r="M2049">
        <v>-1004.4</v>
      </c>
      <c r="N2049" s="1">
        <v>37945</v>
      </c>
      <c r="O2049" t="s">
        <v>25</v>
      </c>
      <c r="P2049">
        <v>4</v>
      </c>
      <c r="Q2049">
        <v>11</v>
      </c>
      <c r="R2049">
        <v>2003</v>
      </c>
      <c r="S2049" t="s">
        <v>83</v>
      </c>
    </row>
    <row r="2050" spans="1:19" x14ac:dyDescent="0.25">
      <c r="A2050">
        <v>10191</v>
      </c>
      <c r="B2050" t="s">
        <v>266</v>
      </c>
      <c r="C2050" t="s">
        <v>178</v>
      </c>
      <c r="D2050" t="s">
        <v>179</v>
      </c>
      <c r="E2050" t="s">
        <v>180</v>
      </c>
      <c r="F2050" t="s">
        <v>30</v>
      </c>
      <c r="G2050" t="s">
        <v>33</v>
      </c>
      <c r="H2050">
        <v>9</v>
      </c>
      <c r="I2050">
        <v>43</v>
      </c>
      <c r="J2050">
        <v>72.739999999999995</v>
      </c>
      <c r="K2050">
        <v>62</v>
      </c>
      <c r="L2050">
        <v>3127.82</v>
      </c>
      <c r="M2050">
        <v>461.82</v>
      </c>
      <c r="N2050" s="1">
        <v>37945</v>
      </c>
      <c r="O2050" t="s">
        <v>25</v>
      </c>
      <c r="P2050">
        <v>4</v>
      </c>
      <c r="Q2050">
        <v>11</v>
      </c>
      <c r="R2050">
        <v>2003</v>
      </c>
      <c r="S2050" t="s">
        <v>26</v>
      </c>
    </row>
    <row r="2051" spans="1:19" x14ac:dyDescent="0.25">
      <c r="A2051">
        <v>10276</v>
      </c>
      <c r="B2051" t="s">
        <v>266</v>
      </c>
      <c r="C2051" t="s">
        <v>186</v>
      </c>
      <c r="D2051" t="s">
        <v>120</v>
      </c>
      <c r="E2051" t="s">
        <v>22</v>
      </c>
      <c r="F2051" t="s">
        <v>23</v>
      </c>
      <c r="G2051" t="s">
        <v>24</v>
      </c>
      <c r="H2051">
        <v>9</v>
      </c>
      <c r="I2051">
        <v>33</v>
      </c>
      <c r="J2051">
        <v>50.36</v>
      </c>
      <c r="K2051">
        <v>62</v>
      </c>
      <c r="L2051">
        <v>1661.88</v>
      </c>
      <c r="M2051">
        <v>-384.12</v>
      </c>
      <c r="N2051" s="1">
        <v>38201</v>
      </c>
      <c r="O2051" t="s">
        <v>25</v>
      </c>
      <c r="P2051">
        <v>3</v>
      </c>
      <c r="Q2051">
        <v>8</v>
      </c>
      <c r="R2051">
        <v>2004</v>
      </c>
      <c r="S2051" t="s">
        <v>26</v>
      </c>
    </row>
    <row r="2052" spans="1:19" x14ac:dyDescent="0.25">
      <c r="A2052">
        <v>10378</v>
      </c>
      <c r="B2052" t="s">
        <v>266</v>
      </c>
      <c r="C2052" t="s">
        <v>78</v>
      </c>
      <c r="D2052" t="s">
        <v>79</v>
      </c>
      <c r="E2052" t="s">
        <v>80</v>
      </c>
      <c r="F2052" t="s">
        <v>30</v>
      </c>
      <c r="G2052" t="s">
        <v>33</v>
      </c>
      <c r="H2052">
        <v>9</v>
      </c>
      <c r="I2052">
        <v>28</v>
      </c>
      <c r="J2052">
        <v>100</v>
      </c>
      <c r="K2052">
        <v>62</v>
      </c>
      <c r="L2052">
        <v>4609.6400000000003</v>
      </c>
      <c r="M2052">
        <v>2873.64</v>
      </c>
      <c r="N2052" s="1">
        <v>38393</v>
      </c>
      <c r="O2052" t="s">
        <v>25</v>
      </c>
      <c r="P2052">
        <v>1</v>
      </c>
      <c r="Q2052">
        <v>2</v>
      </c>
      <c r="R2052">
        <v>2005</v>
      </c>
      <c r="S2052" t="s">
        <v>26</v>
      </c>
    </row>
    <row r="2053" spans="1:19" x14ac:dyDescent="0.25">
      <c r="A2053">
        <v>10178</v>
      </c>
      <c r="B2053" t="s">
        <v>267</v>
      </c>
      <c r="C2053" t="s">
        <v>142</v>
      </c>
      <c r="D2053" t="s">
        <v>143</v>
      </c>
      <c r="E2053" t="s">
        <v>29</v>
      </c>
      <c r="F2053" t="s">
        <v>30</v>
      </c>
      <c r="G2053" t="s">
        <v>33</v>
      </c>
      <c r="H2053">
        <v>9</v>
      </c>
      <c r="I2053">
        <v>48</v>
      </c>
      <c r="J2053">
        <v>100</v>
      </c>
      <c r="K2053">
        <v>105</v>
      </c>
      <c r="L2053">
        <v>5386.56</v>
      </c>
      <c r="M2053">
        <v>346.56</v>
      </c>
      <c r="N2053" s="1">
        <v>37933</v>
      </c>
      <c r="O2053" t="s">
        <v>25</v>
      </c>
      <c r="P2053">
        <v>4</v>
      </c>
      <c r="Q2053">
        <v>11</v>
      </c>
      <c r="R2053">
        <v>2003</v>
      </c>
      <c r="S2053" t="s">
        <v>226</v>
      </c>
    </row>
    <row r="2054" spans="1:19" x14ac:dyDescent="0.25">
      <c r="A2054">
        <v>10222</v>
      </c>
      <c r="B2054" t="s">
        <v>267</v>
      </c>
      <c r="C2054" t="s">
        <v>149</v>
      </c>
      <c r="D2054" t="s">
        <v>150</v>
      </c>
      <c r="E2054" t="s">
        <v>22</v>
      </c>
      <c r="F2054" t="s">
        <v>23</v>
      </c>
      <c r="G2054" t="s">
        <v>33</v>
      </c>
      <c r="H2054">
        <v>9</v>
      </c>
      <c r="I2054">
        <v>45</v>
      </c>
      <c r="J2054">
        <v>85.75</v>
      </c>
      <c r="K2054">
        <v>105</v>
      </c>
      <c r="L2054">
        <v>3858.75</v>
      </c>
      <c r="M2054">
        <v>-866.25</v>
      </c>
      <c r="N2054" s="1">
        <v>38036</v>
      </c>
      <c r="O2054" t="s">
        <v>25</v>
      </c>
      <c r="P2054">
        <v>1</v>
      </c>
      <c r="Q2054">
        <v>2</v>
      </c>
      <c r="R2054">
        <v>2004</v>
      </c>
      <c r="S2054" t="s">
        <v>226</v>
      </c>
    </row>
    <row r="2055" spans="1:19" x14ac:dyDescent="0.25">
      <c r="A2055">
        <v>10261</v>
      </c>
      <c r="B2055" t="s">
        <v>270</v>
      </c>
      <c r="C2055" t="s">
        <v>123</v>
      </c>
      <c r="D2055" t="s">
        <v>124</v>
      </c>
      <c r="E2055" t="s">
        <v>99</v>
      </c>
      <c r="F2055" t="s">
        <v>23</v>
      </c>
      <c r="G2055" t="s">
        <v>24</v>
      </c>
      <c r="H2055">
        <v>9</v>
      </c>
      <c r="I2055">
        <v>20</v>
      </c>
      <c r="J2055">
        <v>89.53</v>
      </c>
      <c r="K2055">
        <v>87</v>
      </c>
      <c r="L2055">
        <v>1790.6</v>
      </c>
      <c r="M2055">
        <v>50.6</v>
      </c>
      <c r="N2055" s="1">
        <v>38155</v>
      </c>
      <c r="O2055" t="s">
        <v>25</v>
      </c>
      <c r="P2055">
        <v>2</v>
      </c>
      <c r="Q2055">
        <v>6</v>
      </c>
      <c r="R2055">
        <v>2004</v>
      </c>
      <c r="S2055" t="s">
        <v>226</v>
      </c>
    </row>
    <row r="2056" spans="1:19" x14ac:dyDescent="0.25">
      <c r="A2056">
        <v>10114</v>
      </c>
      <c r="B2056" t="s">
        <v>271</v>
      </c>
      <c r="C2056" t="s">
        <v>166</v>
      </c>
      <c r="D2056" t="s">
        <v>32</v>
      </c>
      <c r="E2056" t="s">
        <v>29</v>
      </c>
      <c r="F2056" t="s">
        <v>30</v>
      </c>
      <c r="G2056" t="s">
        <v>33</v>
      </c>
      <c r="H2056">
        <v>9</v>
      </c>
      <c r="I2056">
        <v>41</v>
      </c>
      <c r="J2056">
        <v>100</v>
      </c>
      <c r="K2056">
        <v>121</v>
      </c>
      <c r="L2056">
        <v>4815.45</v>
      </c>
      <c r="M2056">
        <v>-145.55000000000001</v>
      </c>
      <c r="N2056" s="1">
        <v>37712</v>
      </c>
      <c r="O2056" t="s">
        <v>25</v>
      </c>
      <c r="P2056">
        <v>2</v>
      </c>
      <c r="Q2056">
        <v>4</v>
      </c>
      <c r="R2056">
        <v>2003</v>
      </c>
      <c r="S2056" t="s">
        <v>202</v>
      </c>
    </row>
    <row r="2057" spans="1:19" x14ac:dyDescent="0.25">
      <c r="A2057">
        <v>10103</v>
      </c>
      <c r="B2057" t="s">
        <v>272</v>
      </c>
      <c r="C2057" t="s">
        <v>63</v>
      </c>
      <c r="D2057" t="s">
        <v>64</v>
      </c>
      <c r="E2057" t="s">
        <v>44</v>
      </c>
      <c r="F2057" t="s">
        <v>30</v>
      </c>
      <c r="G2057" t="s">
        <v>24</v>
      </c>
      <c r="H2057">
        <v>9</v>
      </c>
      <c r="I2057">
        <v>41</v>
      </c>
      <c r="J2057">
        <v>47.29</v>
      </c>
      <c r="K2057">
        <v>50</v>
      </c>
      <c r="L2057">
        <v>1938.89</v>
      </c>
      <c r="M2057">
        <v>-111.11</v>
      </c>
      <c r="N2057" s="1">
        <v>37650</v>
      </c>
      <c r="O2057" t="s">
        <v>25</v>
      </c>
      <c r="P2057">
        <v>1</v>
      </c>
      <c r="Q2057">
        <v>1</v>
      </c>
      <c r="R2057">
        <v>2003</v>
      </c>
      <c r="S2057" t="s">
        <v>226</v>
      </c>
    </row>
    <row r="2058" spans="1:19" x14ac:dyDescent="0.25">
      <c r="A2058">
        <v>10126</v>
      </c>
      <c r="B2058" t="s">
        <v>272</v>
      </c>
      <c r="C2058" t="s">
        <v>87</v>
      </c>
      <c r="D2058" t="s">
        <v>79</v>
      </c>
      <c r="E2058" t="s">
        <v>80</v>
      </c>
      <c r="F2058" t="s">
        <v>30</v>
      </c>
      <c r="G2058" t="s">
        <v>24</v>
      </c>
      <c r="H2058">
        <v>9</v>
      </c>
      <c r="I2058">
        <v>43</v>
      </c>
      <c r="J2058">
        <v>53.83</v>
      </c>
      <c r="K2058">
        <v>50</v>
      </c>
      <c r="L2058">
        <v>2314.69</v>
      </c>
      <c r="M2058">
        <v>164.69</v>
      </c>
      <c r="N2058" s="1">
        <v>37769</v>
      </c>
      <c r="O2058" t="s">
        <v>25</v>
      </c>
      <c r="P2058">
        <v>2</v>
      </c>
      <c r="Q2058">
        <v>5</v>
      </c>
      <c r="R2058">
        <v>2003</v>
      </c>
      <c r="S2058" t="s">
        <v>226</v>
      </c>
    </row>
    <row r="2059" spans="1:19" x14ac:dyDescent="0.25">
      <c r="A2059">
        <v>10140</v>
      </c>
      <c r="B2059" t="s">
        <v>272</v>
      </c>
      <c r="C2059" t="s">
        <v>38</v>
      </c>
      <c r="D2059" t="s">
        <v>39</v>
      </c>
      <c r="E2059" t="s">
        <v>22</v>
      </c>
      <c r="F2059" t="s">
        <v>23</v>
      </c>
      <c r="G2059" t="s">
        <v>24</v>
      </c>
      <c r="H2059">
        <v>9</v>
      </c>
      <c r="I2059">
        <v>29</v>
      </c>
      <c r="J2059">
        <v>43.27</v>
      </c>
      <c r="K2059">
        <v>50</v>
      </c>
      <c r="L2059">
        <v>1254.83</v>
      </c>
      <c r="M2059">
        <v>-195.17</v>
      </c>
      <c r="N2059" s="1">
        <v>37826</v>
      </c>
      <c r="O2059" t="s">
        <v>25</v>
      </c>
      <c r="P2059">
        <v>3</v>
      </c>
      <c r="Q2059">
        <v>7</v>
      </c>
      <c r="R2059">
        <v>2003</v>
      </c>
      <c r="S2059" t="s">
        <v>226</v>
      </c>
    </row>
    <row r="2060" spans="1:19" x14ac:dyDescent="0.25">
      <c r="A2060">
        <v>10194</v>
      </c>
      <c r="B2060" t="s">
        <v>272</v>
      </c>
      <c r="C2060" t="s">
        <v>95</v>
      </c>
      <c r="D2060" t="s">
        <v>96</v>
      </c>
      <c r="E2060" t="s">
        <v>29</v>
      </c>
      <c r="F2060" t="s">
        <v>30</v>
      </c>
      <c r="G2060" t="s">
        <v>24</v>
      </c>
      <c r="H2060">
        <v>9</v>
      </c>
      <c r="I2060">
        <v>41</v>
      </c>
      <c r="J2060">
        <v>44.78</v>
      </c>
      <c r="K2060">
        <v>50</v>
      </c>
      <c r="L2060">
        <v>1835.98</v>
      </c>
      <c r="M2060">
        <v>-214.02</v>
      </c>
      <c r="N2060" s="1">
        <v>37950</v>
      </c>
      <c r="O2060" t="s">
        <v>25</v>
      </c>
      <c r="P2060">
        <v>4</v>
      </c>
      <c r="Q2060">
        <v>11</v>
      </c>
      <c r="R2060">
        <v>2003</v>
      </c>
      <c r="S2060" t="s">
        <v>226</v>
      </c>
    </row>
    <row r="2061" spans="1:19" x14ac:dyDescent="0.25">
      <c r="A2061">
        <v>10291</v>
      </c>
      <c r="B2061" t="s">
        <v>272</v>
      </c>
      <c r="C2061" t="s">
        <v>111</v>
      </c>
      <c r="D2061" t="s">
        <v>112</v>
      </c>
      <c r="E2061" t="s">
        <v>86</v>
      </c>
      <c r="F2061" t="s">
        <v>30</v>
      </c>
      <c r="G2061" t="s">
        <v>24</v>
      </c>
      <c r="H2061">
        <v>9</v>
      </c>
      <c r="I2061">
        <v>29</v>
      </c>
      <c r="J2061">
        <v>51.82</v>
      </c>
      <c r="K2061">
        <v>50</v>
      </c>
      <c r="L2061">
        <v>1502.78</v>
      </c>
      <c r="M2061">
        <v>52.78</v>
      </c>
      <c r="N2061" s="1">
        <v>38238</v>
      </c>
      <c r="O2061" t="s">
        <v>25</v>
      </c>
      <c r="P2061">
        <v>3</v>
      </c>
      <c r="Q2061">
        <v>9</v>
      </c>
      <c r="R2061">
        <v>2004</v>
      </c>
      <c r="S2061" t="s">
        <v>226</v>
      </c>
    </row>
    <row r="2062" spans="1:19" x14ac:dyDescent="0.25">
      <c r="A2062">
        <v>10110</v>
      </c>
      <c r="B2062" t="s">
        <v>274</v>
      </c>
      <c r="C2062" t="s">
        <v>197</v>
      </c>
      <c r="D2062" t="s">
        <v>198</v>
      </c>
      <c r="E2062" t="s">
        <v>77</v>
      </c>
      <c r="F2062" t="s">
        <v>30</v>
      </c>
      <c r="G2062" t="s">
        <v>24</v>
      </c>
      <c r="H2062">
        <v>9</v>
      </c>
      <c r="I2062">
        <v>42</v>
      </c>
      <c r="J2062">
        <v>61.29</v>
      </c>
      <c r="K2062">
        <v>71</v>
      </c>
      <c r="L2062">
        <v>2574.1799999999998</v>
      </c>
      <c r="M2062">
        <v>-407.82</v>
      </c>
      <c r="N2062" s="1">
        <v>37698</v>
      </c>
      <c r="O2062" t="s">
        <v>25</v>
      </c>
      <c r="P2062">
        <v>1</v>
      </c>
      <c r="Q2062">
        <v>3</v>
      </c>
      <c r="R2062">
        <v>2003</v>
      </c>
      <c r="S2062" t="s">
        <v>83</v>
      </c>
    </row>
    <row r="2063" spans="1:19" x14ac:dyDescent="0.25">
      <c r="A2063">
        <v>10367</v>
      </c>
      <c r="B2063" t="s">
        <v>274</v>
      </c>
      <c r="C2063" t="s">
        <v>34</v>
      </c>
      <c r="D2063" t="s">
        <v>35</v>
      </c>
      <c r="E2063" t="s">
        <v>22</v>
      </c>
      <c r="F2063" t="s">
        <v>23</v>
      </c>
      <c r="G2063" t="s">
        <v>33</v>
      </c>
      <c r="H2063">
        <v>9</v>
      </c>
      <c r="I2063">
        <v>44</v>
      </c>
      <c r="J2063">
        <v>85.25</v>
      </c>
      <c r="K2063">
        <v>71</v>
      </c>
      <c r="L2063">
        <v>3751</v>
      </c>
      <c r="M2063">
        <v>627</v>
      </c>
      <c r="N2063" s="1">
        <v>38364</v>
      </c>
      <c r="O2063" t="s">
        <v>169</v>
      </c>
      <c r="P2063">
        <v>1</v>
      </c>
      <c r="Q2063">
        <v>1</v>
      </c>
      <c r="R2063">
        <v>2005</v>
      </c>
      <c r="S2063" t="s">
        <v>83</v>
      </c>
    </row>
    <row r="2064" spans="1:19" x14ac:dyDescent="0.25">
      <c r="A2064">
        <v>10165</v>
      </c>
      <c r="B2064" t="s">
        <v>276</v>
      </c>
      <c r="C2064" t="s">
        <v>88</v>
      </c>
      <c r="D2064" t="s">
        <v>89</v>
      </c>
      <c r="E2064" t="s">
        <v>89</v>
      </c>
      <c r="F2064" t="s">
        <v>50</v>
      </c>
      <c r="G2064" t="s">
        <v>24</v>
      </c>
      <c r="H2064">
        <v>9</v>
      </c>
      <c r="I2064">
        <v>25</v>
      </c>
      <c r="J2064">
        <v>69.36</v>
      </c>
      <c r="K2064">
        <v>57</v>
      </c>
      <c r="L2064">
        <v>1734</v>
      </c>
      <c r="M2064">
        <v>309</v>
      </c>
      <c r="N2064" s="1">
        <v>37916</v>
      </c>
      <c r="O2064" t="s">
        <v>25</v>
      </c>
      <c r="P2064">
        <v>4</v>
      </c>
      <c r="Q2064">
        <v>10</v>
      </c>
      <c r="R2064">
        <v>2003</v>
      </c>
      <c r="S2064" t="s">
        <v>83</v>
      </c>
    </row>
    <row r="2065" spans="1:19" x14ac:dyDescent="0.25">
      <c r="A2065">
        <v>10210</v>
      </c>
      <c r="B2065" t="s">
        <v>279</v>
      </c>
      <c r="C2065" t="s">
        <v>127</v>
      </c>
      <c r="D2065" t="s">
        <v>128</v>
      </c>
      <c r="E2065" t="s">
        <v>107</v>
      </c>
      <c r="F2065" t="s">
        <v>50</v>
      </c>
      <c r="G2065" t="s">
        <v>24</v>
      </c>
      <c r="H2065">
        <v>9</v>
      </c>
      <c r="I2065">
        <v>27</v>
      </c>
      <c r="J2065">
        <v>98.48</v>
      </c>
      <c r="K2065">
        <v>109</v>
      </c>
      <c r="L2065">
        <v>2658.96</v>
      </c>
      <c r="M2065">
        <v>-284.04000000000002</v>
      </c>
      <c r="N2065" s="1">
        <v>37998</v>
      </c>
      <c r="O2065" t="s">
        <v>25</v>
      </c>
      <c r="P2065">
        <v>1</v>
      </c>
      <c r="Q2065">
        <v>1</v>
      </c>
      <c r="R2065">
        <v>2004</v>
      </c>
      <c r="S2065" t="s">
        <v>234</v>
      </c>
    </row>
    <row r="2066" spans="1:19" x14ac:dyDescent="0.25">
      <c r="A2066">
        <v>10308</v>
      </c>
      <c r="B2066" t="s">
        <v>279</v>
      </c>
      <c r="C2066" t="s">
        <v>131</v>
      </c>
      <c r="D2066" t="s">
        <v>132</v>
      </c>
      <c r="E2066" t="s">
        <v>22</v>
      </c>
      <c r="F2066" t="s">
        <v>23</v>
      </c>
      <c r="G2066" t="s">
        <v>33</v>
      </c>
      <c r="H2066">
        <v>9</v>
      </c>
      <c r="I2066">
        <v>31</v>
      </c>
      <c r="J2066">
        <v>100</v>
      </c>
      <c r="K2066">
        <v>109</v>
      </c>
      <c r="L2066">
        <v>3493.7</v>
      </c>
      <c r="M2066">
        <v>114.7</v>
      </c>
      <c r="N2066" s="1">
        <v>38275</v>
      </c>
      <c r="O2066" t="s">
        <v>25</v>
      </c>
      <c r="P2066">
        <v>4</v>
      </c>
      <c r="Q2066">
        <v>10</v>
      </c>
      <c r="R2066">
        <v>2004</v>
      </c>
      <c r="S2066" t="s">
        <v>234</v>
      </c>
    </row>
    <row r="2067" spans="1:19" x14ac:dyDescent="0.25">
      <c r="A2067">
        <v>10173</v>
      </c>
      <c r="B2067" t="s">
        <v>280</v>
      </c>
      <c r="C2067" t="s">
        <v>227</v>
      </c>
      <c r="D2067" t="s">
        <v>228</v>
      </c>
      <c r="E2067" t="s">
        <v>110</v>
      </c>
      <c r="F2067" t="s">
        <v>30</v>
      </c>
      <c r="G2067" t="s">
        <v>24</v>
      </c>
      <c r="H2067">
        <v>9</v>
      </c>
      <c r="I2067">
        <v>31</v>
      </c>
      <c r="J2067">
        <v>31.53</v>
      </c>
      <c r="K2067">
        <v>33</v>
      </c>
      <c r="L2067">
        <v>977.43</v>
      </c>
      <c r="M2067">
        <v>-45.57</v>
      </c>
      <c r="N2067" s="1">
        <v>37930</v>
      </c>
      <c r="O2067" t="s">
        <v>25</v>
      </c>
      <c r="P2067">
        <v>4</v>
      </c>
      <c r="Q2067">
        <v>11</v>
      </c>
      <c r="R2067">
        <v>2003</v>
      </c>
      <c r="S2067" t="s">
        <v>226</v>
      </c>
    </row>
    <row r="2068" spans="1:19" x14ac:dyDescent="0.25">
      <c r="A2068">
        <v>10375</v>
      </c>
      <c r="B2068" t="s">
        <v>281</v>
      </c>
      <c r="C2068" t="s">
        <v>56</v>
      </c>
      <c r="D2068" t="s">
        <v>57</v>
      </c>
      <c r="E2068" t="s">
        <v>29</v>
      </c>
      <c r="F2068" t="s">
        <v>30</v>
      </c>
      <c r="G2068" t="s">
        <v>24</v>
      </c>
      <c r="H2068">
        <v>9</v>
      </c>
      <c r="I2068">
        <v>23</v>
      </c>
      <c r="J2068">
        <v>100</v>
      </c>
      <c r="K2068">
        <v>76</v>
      </c>
      <c r="L2068">
        <v>2443.29</v>
      </c>
      <c r="M2068">
        <v>695.29</v>
      </c>
      <c r="N2068" s="1">
        <v>38386</v>
      </c>
      <c r="O2068" t="s">
        <v>25</v>
      </c>
      <c r="P2068">
        <v>1</v>
      </c>
      <c r="Q2068">
        <v>2</v>
      </c>
      <c r="R2068">
        <v>2005</v>
      </c>
      <c r="S2068" t="s">
        <v>26</v>
      </c>
    </row>
    <row r="2069" spans="1:19" x14ac:dyDescent="0.25">
      <c r="A2069">
        <v>10105</v>
      </c>
      <c r="B2069" t="s">
        <v>282</v>
      </c>
      <c r="C2069" t="s">
        <v>135</v>
      </c>
      <c r="D2069" t="s">
        <v>136</v>
      </c>
      <c r="E2069" t="s">
        <v>137</v>
      </c>
      <c r="F2069" t="s">
        <v>30</v>
      </c>
      <c r="G2069" t="s">
        <v>33</v>
      </c>
      <c r="H2069">
        <v>9</v>
      </c>
      <c r="I2069">
        <v>43</v>
      </c>
      <c r="J2069">
        <v>100</v>
      </c>
      <c r="K2069">
        <v>122</v>
      </c>
      <c r="L2069">
        <v>6341.21</v>
      </c>
      <c r="M2069">
        <v>1095.21</v>
      </c>
      <c r="N2069" s="1">
        <v>37663</v>
      </c>
      <c r="O2069" t="s">
        <v>25</v>
      </c>
      <c r="P2069">
        <v>1</v>
      </c>
      <c r="Q2069">
        <v>2</v>
      </c>
      <c r="R2069">
        <v>2003</v>
      </c>
      <c r="S2069" t="s">
        <v>255</v>
      </c>
    </row>
    <row r="2070" spans="1:19" x14ac:dyDescent="0.25">
      <c r="A2070">
        <v>10129</v>
      </c>
      <c r="B2070" t="s">
        <v>282</v>
      </c>
      <c r="C2070" t="s">
        <v>138</v>
      </c>
      <c r="D2070" t="s">
        <v>139</v>
      </c>
      <c r="E2070" t="s">
        <v>77</v>
      </c>
      <c r="F2070" t="s">
        <v>30</v>
      </c>
      <c r="G2070" t="s">
        <v>33</v>
      </c>
      <c r="H2070">
        <v>9</v>
      </c>
      <c r="I2070">
        <v>45</v>
      </c>
      <c r="J2070">
        <v>100</v>
      </c>
      <c r="K2070">
        <v>122</v>
      </c>
      <c r="L2070">
        <v>6027.75</v>
      </c>
      <c r="M2070">
        <v>537.75</v>
      </c>
      <c r="N2070" s="1">
        <v>37784</v>
      </c>
      <c r="O2070" t="s">
        <v>25</v>
      </c>
      <c r="P2070">
        <v>2</v>
      </c>
      <c r="Q2070">
        <v>6</v>
      </c>
      <c r="R2070">
        <v>2003</v>
      </c>
      <c r="S2070" t="s">
        <v>255</v>
      </c>
    </row>
    <row r="2071" spans="1:19" x14ac:dyDescent="0.25">
      <c r="A2071">
        <v>10193</v>
      </c>
      <c r="B2071" t="s">
        <v>283</v>
      </c>
      <c r="C2071" t="s">
        <v>229</v>
      </c>
      <c r="D2071" t="s">
        <v>230</v>
      </c>
      <c r="E2071" t="s">
        <v>49</v>
      </c>
      <c r="F2071" t="s">
        <v>50</v>
      </c>
      <c r="G2071" t="s">
        <v>24</v>
      </c>
      <c r="H2071">
        <v>9</v>
      </c>
      <c r="I2071">
        <v>20</v>
      </c>
      <c r="J2071">
        <v>50.62</v>
      </c>
      <c r="K2071">
        <v>44</v>
      </c>
      <c r="L2071">
        <v>1012.4</v>
      </c>
      <c r="M2071">
        <v>132.4</v>
      </c>
      <c r="N2071" s="1">
        <v>37946</v>
      </c>
      <c r="O2071" t="s">
        <v>25</v>
      </c>
      <c r="P2071">
        <v>4</v>
      </c>
      <c r="Q2071">
        <v>11</v>
      </c>
      <c r="R2071">
        <v>2003</v>
      </c>
      <c r="S2071" t="s">
        <v>226</v>
      </c>
    </row>
    <row r="2072" spans="1:19" x14ac:dyDescent="0.25">
      <c r="A2072">
        <v>10244</v>
      </c>
      <c r="B2072" t="s">
        <v>283</v>
      </c>
      <c r="C2072" t="s">
        <v>78</v>
      </c>
      <c r="D2072" t="s">
        <v>79</v>
      </c>
      <c r="E2072" t="s">
        <v>80</v>
      </c>
      <c r="F2072" t="s">
        <v>30</v>
      </c>
      <c r="G2072" t="s">
        <v>24</v>
      </c>
      <c r="H2072">
        <v>9</v>
      </c>
      <c r="I2072">
        <v>39</v>
      </c>
      <c r="J2072">
        <v>45.25</v>
      </c>
      <c r="K2072">
        <v>44</v>
      </c>
      <c r="L2072">
        <v>1764.75</v>
      </c>
      <c r="M2072">
        <v>48.75</v>
      </c>
      <c r="N2072" s="1">
        <v>38106</v>
      </c>
      <c r="O2072" t="s">
        <v>25</v>
      </c>
      <c r="P2072">
        <v>2</v>
      </c>
      <c r="Q2072">
        <v>4</v>
      </c>
      <c r="R2072">
        <v>2004</v>
      </c>
      <c r="S2072" t="s">
        <v>226</v>
      </c>
    </row>
    <row r="2073" spans="1:19" x14ac:dyDescent="0.25">
      <c r="A2073">
        <v>10259</v>
      </c>
      <c r="B2073" t="s">
        <v>284</v>
      </c>
      <c r="C2073" t="s">
        <v>171</v>
      </c>
      <c r="D2073" t="s">
        <v>89</v>
      </c>
      <c r="E2073" t="s">
        <v>89</v>
      </c>
      <c r="F2073" t="s">
        <v>50</v>
      </c>
      <c r="G2073" t="s">
        <v>33</v>
      </c>
      <c r="H2073">
        <v>9</v>
      </c>
      <c r="I2073">
        <v>47</v>
      </c>
      <c r="J2073">
        <v>100</v>
      </c>
      <c r="K2073">
        <v>127</v>
      </c>
      <c r="L2073">
        <v>5285.62</v>
      </c>
      <c r="M2073">
        <v>-683.38</v>
      </c>
      <c r="N2073" s="1">
        <v>38153</v>
      </c>
      <c r="O2073" t="s">
        <v>25</v>
      </c>
      <c r="P2073">
        <v>2</v>
      </c>
      <c r="Q2073">
        <v>6</v>
      </c>
      <c r="R2073">
        <v>2004</v>
      </c>
      <c r="S2073" t="s">
        <v>202</v>
      </c>
    </row>
    <row r="2074" spans="1:19" x14ac:dyDescent="0.25">
      <c r="A2074">
        <v>10425</v>
      </c>
      <c r="B2074" t="s">
        <v>284</v>
      </c>
      <c r="C2074" t="s">
        <v>56</v>
      </c>
      <c r="D2074" t="s">
        <v>57</v>
      </c>
      <c r="E2074" t="s">
        <v>29</v>
      </c>
      <c r="F2074" t="s">
        <v>30</v>
      </c>
      <c r="G2074" t="s">
        <v>33</v>
      </c>
      <c r="H2074">
        <v>9</v>
      </c>
      <c r="I2074">
        <v>49</v>
      </c>
      <c r="J2074">
        <v>100</v>
      </c>
      <c r="K2074">
        <v>127</v>
      </c>
      <c r="L2074">
        <v>5510.54</v>
      </c>
      <c r="M2074">
        <v>-712.46</v>
      </c>
      <c r="N2074" s="1">
        <v>38503</v>
      </c>
      <c r="O2074" t="s">
        <v>125</v>
      </c>
      <c r="P2074">
        <v>2</v>
      </c>
      <c r="Q2074">
        <v>5</v>
      </c>
      <c r="R2074">
        <v>2005</v>
      </c>
      <c r="S2074" t="s">
        <v>202</v>
      </c>
    </row>
    <row r="2075" spans="1:19" x14ac:dyDescent="0.25">
      <c r="A2075">
        <v>10288</v>
      </c>
      <c r="B2075" t="s">
        <v>286</v>
      </c>
      <c r="C2075" t="s">
        <v>171</v>
      </c>
      <c r="D2075" t="s">
        <v>89</v>
      </c>
      <c r="E2075" t="s">
        <v>89</v>
      </c>
      <c r="F2075" t="s">
        <v>50</v>
      </c>
      <c r="G2075" t="s">
        <v>24</v>
      </c>
      <c r="H2075">
        <v>9</v>
      </c>
      <c r="I2075">
        <v>35</v>
      </c>
      <c r="J2075">
        <v>80.87</v>
      </c>
      <c r="K2075">
        <v>90</v>
      </c>
      <c r="L2075">
        <v>2830.45</v>
      </c>
      <c r="M2075">
        <v>-319.55</v>
      </c>
      <c r="N2075" s="1">
        <v>38231</v>
      </c>
      <c r="O2075" t="s">
        <v>25</v>
      </c>
      <c r="P2075">
        <v>3</v>
      </c>
      <c r="Q2075">
        <v>9</v>
      </c>
      <c r="R2075">
        <v>2004</v>
      </c>
      <c r="S2075" t="s">
        <v>83</v>
      </c>
    </row>
    <row r="2076" spans="1:19" x14ac:dyDescent="0.25">
      <c r="A2076">
        <v>10420</v>
      </c>
      <c r="B2076" t="s">
        <v>286</v>
      </c>
      <c r="C2076" t="s">
        <v>71</v>
      </c>
      <c r="D2076" t="s">
        <v>72</v>
      </c>
      <c r="E2076" t="s">
        <v>49</v>
      </c>
      <c r="F2076" t="s">
        <v>50</v>
      </c>
      <c r="G2076" t="s">
        <v>33</v>
      </c>
      <c r="H2076">
        <v>9</v>
      </c>
      <c r="I2076">
        <v>39</v>
      </c>
      <c r="J2076">
        <v>100</v>
      </c>
      <c r="K2076">
        <v>90</v>
      </c>
      <c r="L2076">
        <v>3933.93</v>
      </c>
      <c r="M2076">
        <v>423.93</v>
      </c>
      <c r="N2076" s="1">
        <v>38501</v>
      </c>
      <c r="O2076" t="s">
        <v>125</v>
      </c>
      <c r="P2076">
        <v>2</v>
      </c>
      <c r="Q2076">
        <v>5</v>
      </c>
      <c r="R2076">
        <v>2005</v>
      </c>
      <c r="S2076" t="s">
        <v>83</v>
      </c>
    </row>
    <row r="2077" spans="1:19" x14ac:dyDescent="0.25">
      <c r="A2077">
        <v>10292</v>
      </c>
      <c r="B2077" t="s">
        <v>287</v>
      </c>
      <c r="C2077" t="s">
        <v>20</v>
      </c>
      <c r="D2077" t="s">
        <v>21</v>
      </c>
      <c r="E2077" t="s">
        <v>22</v>
      </c>
      <c r="F2077" t="s">
        <v>23</v>
      </c>
      <c r="G2077" t="s">
        <v>24</v>
      </c>
      <c r="H2077">
        <v>9</v>
      </c>
      <c r="I2077">
        <v>39</v>
      </c>
      <c r="J2077">
        <v>30.06</v>
      </c>
      <c r="K2077">
        <v>35</v>
      </c>
      <c r="L2077">
        <v>1172.3399999999999</v>
      </c>
      <c r="M2077">
        <v>-192.66</v>
      </c>
      <c r="N2077" s="1">
        <v>38238</v>
      </c>
      <c r="O2077" t="s">
        <v>25</v>
      </c>
      <c r="P2077">
        <v>3</v>
      </c>
      <c r="Q2077">
        <v>9</v>
      </c>
      <c r="R2077">
        <v>2004</v>
      </c>
      <c r="S2077" t="s">
        <v>83</v>
      </c>
    </row>
    <row r="2078" spans="1:19" x14ac:dyDescent="0.25">
      <c r="A2078">
        <v>10324</v>
      </c>
      <c r="B2078" t="s">
        <v>287</v>
      </c>
      <c r="C2078" t="s">
        <v>51</v>
      </c>
      <c r="D2078" t="s">
        <v>21</v>
      </c>
      <c r="E2078" t="s">
        <v>22</v>
      </c>
      <c r="F2078" t="s">
        <v>23</v>
      </c>
      <c r="G2078" t="s">
        <v>33</v>
      </c>
      <c r="H2078">
        <v>9</v>
      </c>
      <c r="I2078">
        <v>30</v>
      </c>
      <c r="J2078">
        <v>100</v>
      </c>
      <c r="K2078">
        <v>35</v>
      </c>
      <c r="L2078">
        <v>3338.1</v>
      </c>
      <c r="M2078">
        <v>2288.1</v>
      </c>
      <c r="N2078" s="1">
        <v>38296</v>
      </c>
      <c r="O2078" t="s">
        <v>25</v>
      </c>
      <c r="P2078">
        <v>4</v>
      </c>
      <c r="Q2078">
        <v>11</v>
      </c>
      <c r="R2078">
        <v>2004</v>
      </c>
      <c r="S2078" t="s">
        <v>83</v>
      </c>
    </row>
    <row r="2079" spans="1:19" x14ac:dyDescent="0.25">
      <c r="A2079">
        <v>10124</v>
      </c>
      <c r="B2079" t="s">
        <v>289</v>
      </c>
      <c r="C2079" t="s">
        <v>221</v>
      </c>
      <c r="D2079" t="s">
        <v>222</v>
      </c>
      <c r="E2079" t="s">
        <v>22</v>
      </c>
      <c r="F2079" t="s">
        <v>23</v>
      </c>
      <c r="G2079" t="s">
        <v>24</v>
      </c>
      <c r="H2079">
        <v>9</v>
      </c>
      <c r="I2079">
        <v>25</v>
      </c>
      <c r="J2079">
        <v>93.95</v>
      </c>
      <c r="K2079">
        <v>117</v>
      </c>
      <c r="L2079">
        <v>2348.75</v>
      </c>
      <c r="M2079">
        <v>-576.25</v>
      </c>
      <c r="N2079" s="1">
        <v>37762</v>
      </c>
      <c r="O2079" t="s">
        <v>25</v>
      </c>
      <c r="P2079">
        <v>2</v>
      </c>
      <c r="Q2079">
        <v>5</v>
      </c>
      <c r="R2079">
        <v>2003</v>
      </c>
      <c r="S2079" t="s">
        <v>83</v>
      </c>
    </row>
    <row r="2080" spans="1:19" x14ac:dyDescent="0.25">
      <c r="A2080">
        <v>10342</v>
      </c>
      <c r="B2080" t="s">
        <v>290</v>
      </c>
      <c r="C2080" t="s">
        <v>47</v>
      </c>
      <c r="D2080" t="s">
        <v>48</v>
      </c>
      <c r="E2080" t="s">
        <v>49</v>
      </c>
      <c r="F2080" t="s">
        <v>50</v>
      </c>
      <c r="G2080" t="s">
        <v>24</v>
      </c>
      <c r="H2080">
        <v>9</v>
      </c>
      <c r="I2080">
        <v>39</v>
      </c>
      <c r="J2080">
        <v>40.4</v>
      </c>
      <c r="K2080">
        <v>37</v>
      </c>
      <c r="L2080">
        <v>1575.6</v>
      </c>
      <c r="M2080">
        <v>132.6</v>
      </c>
      <c r="N2080" s="1">
        <v>38315</v>
      </c>
      <c r="O2080" t="s">
        <v>25</v>
      </c>
      <c r="P2080">
        <v>4</v>
      </c>
      <c r="Q2080">
        <v>11</v>
      </c>
      <c r="R2080">
        <v>2004</v>
      </c>
      <c r="S2080" t="s">
        <v>83</v>
      </c>
    </row>
    <row r="2081" spans="1:19" x14ac:dyDescent="0.25">
      <c r="A2081">
        <v>10350</v>
      </c>
      <c r="B2081" t="s">
        <v>291</v>
      </c>
      <c r="C2081" t="s">
        <v>78</v>
      </c>
      <c r="D2081" t="s">
        <v>79</v>
      </c>
      <c r="E2081" t="s">
        <v>80</v>
      </c>
      <c r="F2081" t="s">
        <v>30</v>
      </c>
      <c r="G2081" t="s">
        <v>33</v>
      </c>
      <c r="H2081">
        <v>9</v>
      </c>
      <c r="I2081">
        <v>30</v>
      </c>
      <c r="J2081">
        <v>100</v>
      </c>
      <c r="K2081">
        <v>88</v>
      </c>
      <c r="L2081">
        <v>3021</v>
      </c>
      <c r="M2081">
        <v>381</v>
      </c>
      <c r="N2081" s="1">
        <v>38323</v>
      </c>
      <c r="O2081" t="s">
        <v>25</v>
      </c>
      <c r="P2081">
        <v>4</v>
      </c>
      <c r="Q2081">
        <v>12</v>
      </c>
      <c r="R2081">
        <v>2004</v>
      </c>
      <c r="S2081" t="s">
        <v>226</v>
      </c>
    </row>
    <row r="2082" spans="1:19" x14ac:dyDescent="0.25">
      <c r="A2082">
        <v>10204</v>
      </c>
      <c r="B2082" t="s">
        <v>292</v>
      </c>
      <c r="C2082" t="s">
        <v>192</v>
      </c>
      <c r="D2082" t="s">
        <v>21</v>
      </c>
      <c r="E2082" t="s">
        <v>22</v>
      </c>
      <c r="F2082" t="s">
        <v>23</v>
      </c>
      <c r="G2082" t="s">
        <v>33</v>
      </c>
      <c r="H2082">
        <v>9</v>
      </c>
      <c r="I2082">
        <v>40</v>
      </c>
      <c r="J2082">
        <v>79.62</v>
      </c>
      <c r="K2082">
        <v>85</v>
      </c>
      <c r="L2082">
        <v>3184.8</v>
      </c>
      <c r="M2082">
        <v>-215.2</v>
      </c>
      <c r="N2082" s="1">
        <v>37957</v>
      </c>
      <c r="O2082" t="s">
        <v>25</v>
      </c>
      <c r="P2082">
        <v>4</v>
      </c>
      <c r="Q2082">
        <v>12</v>
      </c>
      <c r="R2082">
        <v>2003</v>
      </c>
      <c r="S2082" t="s">
        <v>83</v>
      </c>
    </row>
    <row r="2083" spans="1:19" x14ac:dyDescent="0.25">
      <c r="A2083">
        <v>10380</v>
      </c>
      <c r="B2083" t="s">
        <v>292</v>
      </c>
      <c r="C2083" t="s">
        <v>78</v>
      </c>
      <c r="D2083" t="s">
        <v>79</v>
      </c>
      <c r="E2083" t="s">
        <v>80</v>
      </c>
      <c r="F2083" t="s">
        <v>30</v>
      </c>
      <c r="G2083" t="s">
        <v>33</v>
      </c>
      <c r="H2083">
        <v>9</v>
      </c>
      <c r="I2083">
        <v>44</v>
      </c>
      <c r="J2083">
        <v>79.06</v>
      </c>
      <c r="K2083">
        <v>85</v>
      </c>
      <c r="L2083">
        <v>3478.64</v>
      </c>
      <c r="M2083">
        <v>-261.36</v>
      </c>
      <c r="N2083" s="1">
        <v>38399</v>
      </c>
      <c r="O2083" t="s">
        <v>25</v>
      </c>
      <c r="P2083">
        <v>1</v>
      </c>
      <c r="Q2083">
        <v>2</v>
      </c>
      <c r="R2083">
        <v>2005</v>
      </c>
      <c r="S2083" t="s">
        <v>83</v>
      </c>
    </row>
    <row r="2084" spans="1:19" x14ac:dyDescent="0.25">
      <c r="A2084">
        <v>10122</v>
      </c>
      <c r="B2084" t="s">
        <v>293</v>
      </c>
      <c r="C2084" t="s">
        <v>176</v>
      </c>
      <c r="D2084" t="s">
        <v>177</v>
      </c>
      <c r="E2084" t="s">
        <v>29</v>
      </c>
      <c r="F2084" t="s">
        <v>30</v>
      </c>
      <c r="G2084" t="s">
        <v>24</v>
      </c>
      <c r="H2084">
        <v>9</v>
      </c>
      <c r="I2084">
        <v>34</v>
      </c>
      <c r="J2084">
        <v>50.21</v>
      </c>
      <c r="K2084">
        <v>61</v>
      </c>
      <c r="L2084">
        <v>1707.14</v>
      </c>
      <c r="M2084">
        <v>-366.86</v>
      </c>
      <c r="N2084" s="1">
        <v>37749</v>
      </c>
      <c r="O2084" t="s">
        <v>25</v>
      </c>
      <c r="P2084">
        <v>2</v>
      </c>
      <c r="Q2084">
        <v>5</v>
      </c>
      <c r="R2084">
        <v>2003</v>
      </c>
      <c r="S2084" t="s">
        <v>83</v>
      </c>
    </row>
    <row r="2085" spans="1:19" x14ac:dyDescent="0.25">
      <c r="A2085">
        <v>10310</v>
      </c>
      <c r="B2085" t="s">
        <v>293</v>
      </c>
      <c r="C2085" t="s">
        <v>178</v>
      </c>
      <c r="D2085" t="s">
        <v>179</v>
      </c>
      <c r="E2085" t="s">
        <v>180</v>
      </c>
      <c r="F2085" t="s">
        <v>30</v>
      </c>
      <c r="G2085" t="s">
        <v>24</v>
      </c>
      <c r="H2085">
        <v>9</v>
      </c>
      <c r="I2085">
        <v>38</v>
      </c>
      <c r="J2085">
        <v>56.94</v>
      </c>
      <c r="K2085">
        <v>61</v>
      </c>
      <c r="L2085">
        <v>2163.7199999999998</v>
      </c>
      <c r="M2085">
        <v>-154.28</v>
      </c>
      <c r="N2085" s="1">
        <v>38276</v>
      </c>
      <c r="O2085" t="s">
        <v>25</v>
      </c>
      <c r="P2085">
        <v>4</v>
      </c>
      <c r="Q2085">
        <v>10</v>
      </c>
      <c r="R2085">
        <v>2004</v>
      </c>
      <c r="S2085" t="s">
        <v>83</v>
      </c>
    </row>
    <row r="2086" spans="1:19" x14ac:dyDescent="0.25">
      <c r="A2086">
        <v>10331</v>
      </c>
      <c r="B2086" t="s">
        <v>293</v>
      </c>
      <c r="C2086" t="s">
        <v>129</v>
      </c>
      <c r="D2086" t="s">
        <v>94</v>
      </c>
      <c r="E2086" t="s">
        <v>22</v>
      </c>
      <c r="F2086" t="s">
        <v>23</v>
      </c>
      <c r="G2086" t="s">
        <v>33</v>
      </c>
      <c r="H2086">
        <v>9</v>
      </c>
      <c r="I2086">
        <v>25</v>
      </c>
      <c r="J2086">
        <v>100</v>
      </c>
      <c r="K2086">
        <v>61</v>
      </c>
      <c r="L2086">
        <v>3078.5</v>
      </c>
      <c r="M2086">
        <v>1553.5</v>
      </c>
      <c r="N2086" s="1">
        <v>38308</v>
      </c>
      <c r="O2086" t="s">
        <v>25</v>
      </c>
      <c r="P2086">
        <v>4</v>
      </c>
      <c r="Q2086">
        <v>11</v>
      </c>
      <c r="R2086">
        <v>2004</v>
      </c>
      <c r="S2086" t="s">
        <v>83</v>
      </c>
    </row>
    <row r="2087" spans="1:19" x14ac:dyDescent="0.25">
      <c r="A2087">
        <v>10143</v>
      </c>
      <c r="B2087" t="s">
        <v>294</v>
      </c>
      <c r="C2087" t="s">
        <v>140</v>
      </c>
      <c r="D2087" t="s">
        <v>74</v>
      </c>
      <c r="E2087" t="s">
        <v>22</v>
      </c>
      <c r="F2087" t="s">
        <v>23</v>
      </c>
      <c r="G2087" t="s">
        <v>24</v>
      </c>
      <c r="H2087">
        <v>9</v>
      </c>
      <c r="I2087">
        <v>33</v>
      </c>
      <c r="J2087">
        <v>77.59</v>
      </c>
      <c r="K2087">
        <v>65</v>
      </c>
      <c r="L2087">
        <v>2560.4699999999998</v>
      </c>
      <c r="M2087">
        <v>415.47</v>
      </c>
      <c r="N2087" s="1">
        <v>37843</v>
      </c>
      <c r="O2087" t="s">
        <v>25</v>
      </c>
      <c r="P2087">
        <v>3</v>
      </c>
      <c r="Q2087">
        <v>8</v>
      </c>
      <c r="R2087">
        <v>2003</v>
      </c>
      <c r="S2087" t="s">
        <v>226</v>
      </c>
    </row>
    <row r="2088" spans="1:19" x14ac:dyDescent="0.25">
      <c r="A2088">
        <v>10296</v>
      </c>
      <c r="B2088" t="s">
        <v>294</v>
      </c>
      <c r="C2088" t="s">
        <v>236</v>
      </c>
      <c r="D2088" t="s">
        <v>237</v>
      </c>
      <c r="E2088" t="s">
        <v>180</v>
      </c>
      <c r="F2088" t="s">
        <v>30</v>
      </c>
      <c r="G2088" t="s">
        <v>24</v>
      </c>
      <c r="H2088">
        <v>9</v>
      </c>
      <c r="I2088">
        <v>31</v>
      </c>
      <c r="J2088">
        <v>53.92</v>
      </c>
      <c r="K2088">
        <v>65</v>
      </c>
      <c r="L2088">
        <v>1671.52</v>
      </c>
      <c r="M2088">
        <v>-343.48</v>
      </c>
      <c r="N2088" s="1">
        <v>38245</v>
      </c>
      <c r="O2088" t="s">
        <v>25</v>
      </c>
      <c r="P2088">
        <v>3</v>
      </c>
      <c r="Q2088">
        <v>9</v>
      </c>
      <c r="R2088">
        <v>2004</v>
      </c>
      <c r="S2088" t="s">
        <v>226</v>
      </c>
    </row>
    <row r="2089" spans="1:19" x14ac:dyDescent="0.25">
      <c r="A2089">
        <v>10386</v>
      </c>
      <c r="B2089" t="s">
        <v>294</v>
      </c>
      <c r="C2089" t="s">
        <v>78</v>
      </c>
      <c r="D2089" t="s">
        <v>79</v>
      </c>
      <c r="E2089" t="s">
        <v>80</v>
      </c>
      <c r="F2089" t="s">
        <v>30</v>
      </c>
      <c r="G2089" t="s">
        <v>24</v>
      </c>
      <c r="H2089">
        <v>9</v>
      </c>
      <c r="I2089">
        <v>35</v>
      </c>
      <c r="J2089">
        <v>63.76</v>
      </c>
      <c r="K2089">
        <v>65</v>
      </c>
      <c r="L2089">
        <v>2231.6</v>
      </c>
      <c r="M2089">
        <v>-43.4</v>
      </c>
      <c r="N2089" s="1">
        <v>38412</v>
      </c>
      <c r="O2089" t="s">
        <v>169</v>
      </c>
      <c r="P2089">
        <v>1</v>
      </c>
      <c r="Q2089">
        <v>3</v>
      </c>
      <c r="R2089">
        <v>2005</v>
      </c>
      <c r="S2089" t="s">
        <v>226</v>
      </c>
    </row>
    <row r="2090" spans="1:19" x14ac:dyDescent="0.25">
      <c r="A2090">
        <v>10241</v>
      </c>
      <c r="B2090" t="s">
        <v>295</v>
      </c>
      <c r="C2090" t="s">
        <v>217</v>
      </c>
      <c r="D2090" t="s">
        <v>218</v>
      </c>
      <c r="E2090" t="s">
        <v>29</v>
      </c>
      <c r="F2090" t="s">
        <v>30</v>
      </c>
      <c r="G2090" t="s">
        <v>24</v>
      </c>
      <c r="H2090">
        <v>9</v>
      </c>
      <c r="I2090">
        <v>27</v>
      </c>
      <c r="J2090">
        <v>86.73</v>
      </c>
      <c r="K2090">
        <v>107</v>
      </c>
      <c r="L2090">
        <v>2341.71</v>
      </c>
      <c r="M2090">
        <v>-547.29</v>
      </c>
      <c r="N2090" s="1">
        <v>38090</v>
      </c>
      <c r="O2090" t="s">
        <v>25</v>
      </c>
      <c r="P2090">
        <v>2</v>
      </c>
      <c r="Q2090">
        <v>4</v>
      </c>
      <c r="R2090">
        <v>2004</v>
      </c>
      <c r="S2090" t="s">
        <v>83</v>
      </c>
    </row>
    <row r="2091" spans="1:19" x14ac:dyDescent="0.25">
      <c r="A2091">
        <v>10407</v>
      </c>
      <c r="B2091" t="s">
        <v>295</v>
      </c>
      <c r="C2091" t="s">
        <v>162</v>
      </c>
      <c r="D2091" t="s">
        <v>163</v>
      </c>
      <c r="E2091" t="s">
        <v>22</v>
      </c>
      <c r="F2091" t="s">
        <v>23</v>
      </c>
      <c r="G2091" t="s">
        <v>33</v>
      </c>
      <c r="H2091">
        <v>9</v>
      </c>
      <c r="I2091">
        <v>43</v>
      </c>
      <c r="J2091">
        <v>86.73</v>
      </c>
      <c r="K2091">
        <v>107</v>
      </c>
      <c r="L2091">
        <v>3729.39</v>
      </c>
      <c r="M2091">
        <v>-871.61</v>
      </c>
      <c r="N2091" s="1">
        <v>38464</v>
      </c>
      <c r="O2091" t="s">
        <v>164</v>
      </c>
      <c r="P2091">
        <v>2</v>
      </c>
      <c r="Q2091">
        <v>4</v>
      </c>
      <c r="R2091">
        <v>2005</v>
      </c>
      <c r="S2091" t="s">
        <v>83</v>
      </c>
    </row>
    <row r="2092" spans="1:19" x14ac:dyDescent="0.25">
      <c r="A2092">
        <v>10181</v>
      </c>
      <c r="B2092" t="s">
        <v>297</v>
      </c>
      <c r="C2092" t="s">
        <v>42</v>
      </c>
      <c r="D2092" t="s">
        <v>43</v>
      </c>
      <c r="E2092" t="s">
        <v>44</v>
      </c>
      <c r="F2092" t="s">
        <v>30</v>
      </c>
      <c r="G2092" t="s">
        <v>33</v>
      </c>
      <c r="H2092">
        <v>9</v>
      </c>
      <c r="I2092">
        <v>25</v>
      </c>
      <c r="J2092">
        <v>100</v>
      </c>
      <c r="K2092">
        <v>140</v>
      </c>
      <c r="L2092">
        <v>3861.75</v>
      </c>
      <c r="M2092">
        <v>361.75</v>
      </c>
      <c r="N2092" s="1">
        <v>37937</v>
      </c>
      <c r="O2092" t="s">
        <v>25</v>
      </c>
      <c r="P2092">
        <v>4</v>
      </c>
      <c r="Q2092">
        <v>11</v>
      </c>
      <c r="R2092">
        <v>2003</v>
      </c>
      <c r="S2092" t="s">
        <v>83</v>
      </c>
    </row>
    <row r="2093" spans="1:19" x14ac:dyDescent="0.25">
      <c r="A2093">
        <v>10266</v>
      </c>
      <c r="B2093" t="s">
        <v>297</v>
      </c>
      <c r="C2093" t="s">
        <v>184</v>
      </c>
      <c r="D2093" t="s">
        <v>185</v>
      </c>
      <c r="E2093" t="s">
        <v>110</v>
      </c>
      <c r="F2093" t="s">
        <v>30</v>
      </c>
      <c r="G2093" t="s">
        <v>24</v>
      </c>
      <c r="H2093">
        <v>9</v>
      </c>
      <c r="I2093">
        <v>24</v>
      </c>
      <c r="J2093">
        <v>100</v>
      </c>
      <c r="K2093">
        <v>140</v>
      </c>
      <c r="L2093">
        <v>2932.08</v>
      </c>
      <c r="M2093">
        <v>-427.92</v>
      </c>
      <c r="N2093" s="1">
        <v>38174</v>
      </c>
      <c r="O2093" t="s">
        <v>25</v>
      </c>
      <c r="P2093">
        <v>3</v>
      </c>
      <c r="Q2093">
        <v>7</v>
      </c>
      <c r="R2093">
        <v>2004</v>
      </c>
      <c r="S2093" t="s">
        <v>83</v>
      </c>
    </row>
    <row r="2094" spans="1:19" x14ac:dyDescent="0.25">
      <c r="A2094">
        <v>10278</v>
      </c>
      <c r="B2094" t="s">
        <v>297</v>
      </c>
      <c r="C2094" t="s">
        <v>221</v>
      </c>
      <c r="D2094" t="s">
        <v>222</v>
      </c>
      <c r="E2094" t="s">
        <v>22</v>
      </c>
      <c r="F2094" t="s">
        <v>23</v>
      </c>
      <c r="G2094" t="s">
        <v>33</v>
      </c>
      <c r="H2094">
        <v>9</v>
      </c>
      <c r="I2094">
        <v>25</v>
      </c>
      <c r="J2094">
        <v>100</v>
      </c>
      <c r="K2094">
        <v>140</v>
      </c>
      <c r="L2094">
        <v>3159.75</v>
      </c>
      <c r="M2094">
        <v>-340.25</v>
      </c>
      <c r="N2094" s="1">
        <v>38205</v>
      </c>
      <c r="O2094" t="s">
        <v>25</v>
      </c>
      <c r="P2094">
        <v>3</v>
      </c>
      <c r="Q2094">
        <v>8</v>
      </c>
      <c r="R2094">
        <v>2004</v>
      </c>
      <c r="S2094" t="s">
        <v>83</v>
      </c>
    </row>
    <row r="2095" spans="1:19" x14ac:dyDescent="0.25">
      <c r="A2095">
        <v>10149</v>
      </c>
      <c r="B2095" t="s">
        <v>299</v>
      </c>
      <c r="C2095" t="s">
        <v>214</v>
      </c>
      <c r="D2095" t="s">
        <v>215</v>
      </c>
      <c r="E2095" t="s">
        <v>22</v>
      </c>
      <c r="F2095" t="s">
        <v>23</v>
      </c>
      <c r="G2095" t="s">
        <v>24</v>
      </c>
      <c r="H2095">
        <v>9</v>
      </c>
      <c r="I2095">
        <v>26</v>
      </c>
      <c r="J2095">
        <v>38.979999999999997</v>
      </c>
      <c r="K2095">
        <v>41</v>
      </c>
      <c r="L2095">
        <v>1013.48</v>
      </c>
      <c r="M2095">
        <v>-52.52</v>
      </c>
      <c r="N2095" s="1">
        <v>37876</v>
      </c>
      <c r="O2095" t="s">
        <v>25</v>
      </c>
      <c r="P2095">
        <v>3</v>
      </c>
      <c r="Q2095">
        <v>9</v>
      </c>
      <c r="R2095">
        <v>2003</v>
      </c>
      <c r="S2095" t="s">
        <v>226</v>
      </c>
    </row>
    <row r="2096" spans="1:19" x14ac:dyDescent="0.25">
      <c r="A2096">
        <v>10371</v>
      </c>
      <c r="B2096" t="s">
        <v>300</v>
      </c>
      <c r="C2096" t="s">
        <v>115</v>
      </c>
      <c r="D2096" t="s">
        <v>116</v>
      </c>
      <c r="E2096" t="s">
        <v>22</v>
      </c>
      <c r="F2096" t="s">
        <v>23</v>
      </c>
      <c r="G2096" t="s">
        <v>24</v>
      </c>
      <c r="H2096">
        <v>9</v>
      </c>
      <c r="I2096">
        <v>28</v>
      </c>
      <c r="J2096">
        <v>50.32</v>
      </c>
      <c r="K2096">
        <v>118</v>
      </c>
      <c r="L2096">
        <v>1408.96</v>
      </c>
      <c r="M2096">
        <v>-1895.04</v>
      </c>
      <c r="N2096" s="1">
        <v>38375</v>
      </c>
      <c r="O2096" t="s">
        <v>25</v>
      </c>
      <c r="P2096">
        <v>1</v>
      </c>
      <c r="Q2096">
        <v>1</v>
      </c>
      <c r="R2096">
        <v>2005</v>
      </c>
      <c r="S2096" t="s">
        <v>83</v>
      </c>
    </row>
    <row r="2097" spans="1:19" x14ac:dyDescent="0.25">
      <c r="A2097">
        <v>10120</v>
      </c>
      <c r="B2097" t="s">
        <v>302</v>
      </c>
      <c r="C2097" t="s">
        <v>47</v>
      </c>
      <c r="D2097" t="s">
        <v>48</v>
      </c>
      <c r="E2097" t="s">
        <v>49</v>
      </c>
      <c r="F2097" t="s">
        <v>50</v>
      </c>
      <c r="G2097" t="s">
        <v>24</v>
      </c>
      <c r="H2097">
        <v>9</v>
      </c>
      <c r="I2097">
        <v>29</v>
      </c>
      <c r="J2097">
        <v>85.49</v>
      </c>
      <c r="K2097">
        <v>72</v>
      </c>
      <c r="L2097">
        <v>2479.21</v>
      </c>
      <c r="M2097">
        <v>391.21</v>
      </c>
      <c r="N2097" s="1">
        <v>37740</v>
      </c>
      <c r="O2097" t="s">
        <v>25</v>
      </c>
      <c r="P2097">
        <v>2</v>
      </c>
      <c r="Q2097">
        <v>4</v>
      </c>
      <c r="R2097">
        <v>2003</v>
      </c>
      <c r="S2097" t="s">
        <v>234</v>
      </c>
    </row>
    <row r="2098" spans="1:19" x14ac:dyDescent="0.25">
      <c r="A2098">
        <v>10355</v>
      </c>
      <c r="B2098" t="s">
        <v>303</v>
      </c>
      <c r="C2098" t="s">
        <v>78</v>
      </c>
      <c r="D2098" t="s">
        <v>79</v>
      </c>
      <c r="E2098" t="s">
        <v>80</v>
      </c>
      <c r="F2098" t="s">
        <v>30</v>
      </c>
      <c r="G2098" t="s">
        <v>24</v>
      </c>
      <c r="H2098">
        <v>9</v>
      </c>
      <c r="I2098">
        <v>28</v>
      </c>
      <c r="J2098">
        <v>95.39</v>
      </c>
      <c r="K2098">
        <v>80</v>
      </c>
      <c r="L2098">
        <v>2670.92</v>
      </c>
      <c r="M2098">
        <v>430.92</v>
      </c>
      <c r="N2098" s="1">
        <v>38328</v>
      </c>
      <c r="O2098" t="s">
        <v>25</v>
      </c>
      <c r="P2098">
        <v>4</v>
      </c>
      <c r="Q2098">
        <v>12</v>
      </c>
      <c r="R2098">
        <v>2004</v>
      </c>
      <c r="S2098" t="s">
        <v>83</v>
      </c>
    </row>
    <row r="2099" spans="1:19" x14ac:dyDescent="0.25">
      <c r="A2099">
        <v>10363</v>
      </c>
      <c r="B2099" t="s">
        <v>303</v>
      </c>
      <c r="C2099" t="s">
        <v>189</v>
      </c>
      <c r="D2099" t="s">
        <v>190</v>
      </c>
      <c r="E2099" t="s">
        <v>62</v>
      </c>
      <c r="F2099" t="s">
        <v>30</v>
      </c>
      <c r="G2099" t="s">
        <v>33</v>
      </c>
      <c r="H2099">
        <v>9</v>
      </c>
      <c r="I2099">
        <v>43</v>
      </c>
      <c r="J2099">
        <v>100</v>
      </c>
      <c r="K2099">
        <v>80</v>
      </c>
      <c r="L2099">
        <v>5154.41</v>
      </c>
      <c r="M2099">
        <v>1714.41</v>
      </c>
      <c r="N2099" s="1">
        <v>38358</v>
      </c>
      <c r="O2099" t="s">
        <v>25</v>
      </c>
      <c r="P2099">
        <v>1</v>
      </c>
      <c r="Q2099">
        <v>1</v>
      </c>
      <c r="R2099">
        <v>2005</v>
      </c>
      <c r="S2099" t="s">
        <v>83</v>
      </c>
    </row>
    <row r="2100" spans="1:19" x14ac:dyDescent="0.25">
      <c r="A2100">
        <v>10159</v>
      </c>
      <c r="B2100" t="s">
        <v>306</v>
      </c>
      <c r="C2100" t="s">
        <v>36</v>
      </c>
      <c r="D2100" t="s">
        <v>37</v>
      </c>
      <c r="E2100" t="s">
        <v>22</v>
      </c>
      <c r="F2100" t="s">
        <v>23</v>
      </c>
      <c r="G2100" t="s">
        <v>24</v>
      </c>
      <c r="H2100">
        <v>9</v>
      </c>
      <c r="I2100">
        <v>35</v>
      </c>
      <c r="J2100">
        <v>35.4</v>
      </c>
      <c r="K2100">
        <v>40</v>
      </c>
      <c r="L2100">
        <v>1239</v>
      </c>
      <c r="M2100">
        <v>-161</v>
      </c>
      <c r="N2100" s="1">
        <v>37904</v>
      </c>
      <c r="O2100" t="s">
        <v>25</v>
      </c>
      <c r="P2100">
        <v>4</v>
      </c>
      <c r="Q2100">
        <v>10</v>
      </c>
      <c r="R2100">
        <v>2003</v>
      </c>
      <c r="S2100" t="s">
        <v>26</v>
      </c>
    </row>
    <row r="2101" spans="1:19" x14ac:dyDescent="0.25">
      <c r="A2101">
        <v>10169</v>
      </c>
      <c r="B2101" t="s">
        <v>306</v>
      </c>
      <c r="C2101" t="s">
        <v>121</v>
      </c>
      <c r="D2101" t="s">
        <v>122</v>
      </c>
      <c r="E2101" t="s">
        <v>49</v>
      </c>
      <c r="F2101" t="s">
        <v>50</v>
      </c>
      <c r="G2101" t="s">
        <v>24</v>
      </c>
      <c r="H2101">
        <v>9</v>
      </c>
      <c r="I2101">
        <v>26</v>
      </c>
      <c r="J2101">
        <v>39.83</v>
      </c>
      <c r="K2101">
        <v>40</v>
      </c>
      <c r="L2101">
        <v>1035.58</v>
      </c>
      <c r="M2101">
        <v>-4.42</v>
      </c>
      <c r="N2101" s="1">
        <v>37929</v>
      </c>
      <c r="O2101" t="s">
        <v>25</v>
      </c>
      <c r="P2101">
        <v>4</v>
      </c>
      <c r="Q2101">
        <v>11</v>
      </c>
      <c r="R2101">
        <v>2003</v>
      </c>
      <c r="S2101" t="s">
        <v>26</v>
      </c>
    </row>
    <row r="2102" spans="1:19" x14ac:dyDescent="0.25">
      <c r="A2102">
        <v>10211</v>
      </c>
      <c r="B2102" t="s">
        <v>306</v>
      </c>
      <c r="C2102" t="s">
        <v>46</v>
      </c>
      <c r="D2102" t="s">
        <v>32</v>
      </c>
      <c r="E2102" t="s">
        <v>29</v>
      </c>
      <c r="F2102" t="s">
        <v>30</v>
      </c>
      <c r="G2102" t="s">
        <v>24</v>
      </c>
      <c r="H2102">
        <v>9</v>
      </c>
      <c r="I2102">
        <v>41</v>
      </c>
      <c r="J2102">
        <v>42.24</v>
      </c>
      <c r="K2102">
        <v>40</v>
      </c>
      <c r="L2102">
        <v>1731.84</v>
      </c>
      <c r="M2102">
        <v>91.84</v>
      </c>
      <c r="N2102" s="1">
        <v>38001</v>
      </c>
      <c r="O2102" t="s">
        <v>25</v>
      </c>
      <c r="P2102">
        <v>1</v>
      </c>
      <c r="Q2102">
        <v>1</v>
      </c>
      <c r="R2102">
        <v>2004</v>
      </c>
      <c r="S2102" t="s">
        <v>26</v>
      </c>
    </row>
    <row r="2103" spans="1:19" x14ac:dyDescent="0.25">
      <c r="A2103">
        <v>10207</v>
      </c>
      <c r="B2103" t="s">
        <v>307</v>
      </c>
      <c r="C2103" t="s">
        <v>170</v>
      </c>
      <c r="D2103" t="s">
        <v>157</v>
      </c>
      <c r="E2103" t="s">
        <v>22</v>
      </c>
      <c r="F2103" t="s">
        <v>23</v>
      </c>
      <c r="G2103" t="s">
        <v>24</v>
      </c>
      <c r="H2103">
        <v>9</v>
      </c>
      <c r="I2103">
        <v>27</v>
      </c>
      <c r="J2103">
        <v>60.06</v>
      </c>
      <c r="K2103">
        <v>54</v>
      </c>
      <c r="L2103">
        <v>1621.62</v>
      </c>
      <c r="M2103">
        <v>163.62</v>
      </c>
      <c r="N2103" s="1">
        <v>37964</v>
      </c>
      <c r="O2103" t="s">
        <v>25</v>
      </c>
      <c r="P2103">
        <v>4</v>
      </c>
      <c r="Q2103">
        <v>12</v>
      </c>
      <c r="R2103">
        <v>2003</v>
      </c>
      <c r="S2103" t="s">
        <v>202</v>
      </c>
    </row>
    <row r="2104" spans="1:19" x14ac:dyDescent="0.25">
      <c r="A2104">
        <v>10282</v>
      </c>
      <c r="B2104" t="s">
        <v>308</v>
      </c>
      <c r="C2104" t="s">
        <v>115</v>
      </c>
      <c r="D2104" t="s">
        <v>116</v>
      </c>
      <c r="E2104" t="s">
        <v>22</v>
      </c>
      <c r="F2104" t="s">
        <v>23</v>
      </c>
      <c r="G2104" t="s">
        <v>24</v>
      </c>
      <c r="H2104">
        <v>9</v>
      </c>
      <c r="I2104">
        <v>36</v>
      </c>
      <c r="J2104">
        <v>59.65</v>
      </c>
      <c r="K2104">
        <v>62</v>
      </c>
      <c r="L2104">
        <v>2147.4</v>
      </c>
      <c r="M2104">
        <v>-84.6</v>
      </c>
      <c r="N2104" s="1">
        <v>38219</v>
      </c>
      <c r="O2104" t="s">
        <v>25</v>
      </c>
      <c r="P2104">
        <v>3</v>
      </c>
      <c r="Q2104">
        <v>8</v>
      </c>
      <c r="R2104">
        <v>2004</v>
      </c>
      <c r="S2104" t="s">
        <v>261</v>
      </c>
    </row>
    <row r="2105" spans="1:19" x14ac:dyDescent="0.25">
      <c r="A2105">
        <v>10314</v>
      </c>
      <c r="B2105" t="s">
        <v>308</v>
      </c>
      <c r="C2105" t="s">
        <v>199</v>
      </c>
      <c r="D2105" t="s">
        <v>200</v>
      </c>
      <c r="E2105" t="s">
        <v>137</v>
      </c>
      <c r="F2105" t="s">
        <v>30</v>
      </c>
      <c r="G2105" t="s">
        <v>24</v>
      </c>
      <c r="H2105">
        <v>9</v>
      </c>
      <c r="I2105">
        <v>35</v>
      </c>
      <c r="J2105">
        <v>66.489999999999995</v>
      </c>
      <c r="K2105">
        <v>62</v>
      </c>
      <c r="L2105">
        <v>2327.15</v>
      </c>
      <c r="M2105">
        <v>157.15</v>
      </c>
      <c r="N2105" s="1">
        <v>38282</v>
      </c>
      <c r="O2105" t="s">
        <v>25</v>
      </c>
      <c r="P2105">
        <v>4</v>
      </c>
      <c r="Q2105">
        <v>10</v>
      </c>
      <c r="R2105">
        <v>2004</v>
      </c>
      <c r="S2105" t="s">
        <v>261</v>
      </c>
    </row>
    <row r="2106" spans="1:19" x14ac:dyDescent="0.25">
      <c r="A2106">
        <v>10336</v>
      </c>
      <c r="B2106" t="s">
        <v>308</v>
      </c>
      <c r="C2106" t="s">
        <v>166</v>
      </c>
      <c r="D2106" t="s">
        <v>32</v>
      </c>
      <c r="E2106" t="s">
        <v>29</v>
      </c>
      <c r="F2106" t="s">
        <v>30</v>
      </c>
      <c r="G2106" t="s">
        <v>24</v>
      </c>
      <c r="H2106">
        <v>9</v>
      </c>
      <c r="I2106">
        <v>31</v>
      </c>
      <c r="J2106">
        <v>84.71</v>
      </c>
      <c r="K2106">
        <v>62</v>
      </c>
      <c r="L2106">
        <v>2626.01</v>
      </c>
      <c r="M2106">
        <v>704.01</v>
      </c>
      <c r="N2106" s="1">
        <v>38311</v>
      </c>
      <c r="O2106" t="s">
        <v>25</v>
      </c>
      <c r="P2106">
        <v>4</v>
      </c>
      <c r="Q2106">
        <v>11</v>
      </c>
      <c r="R2106">
        <v>2004</v>
      </c>
      <c r="S2106" t="s">
        <v>261</v>
      </c>
    </row>
    <row r="2107" spans="1:19" x14ac:dyDescent="0.25">
      <c r="A2107">
        <v>10252</v>
      </c>
      <c r="B2107" t="s">
        <v>311</v>
      </c>
      <c r="C2107" t="s">
        <v>46</v>
      </c>
      <c r="D2107" t="s">
        <v>32</v>
      </c>
      <c r="E2107" t="s">
        <v>29</v>
      </c>
      <c r="F2107" t="s">
        <v>30</v>
      </c>
      <c r="G2107" t="s">
        <v>24</v>
      </c>
      <c r="H2107">
        <v>9</v>
      </c>
      <c r="I2107">
        <v>25</v>
      </c>
      <c r="J2107">
        <v>100</v>
      </c>
      <c r="K2107">
        <v>102</v>
      </c>
      <c r="L2107">
        <v>2832</v>
      </c>
      <c r="M2107">
        <v>282</v>
      </c>
      <c r="N2107" s="1">
        <v>38133</v>
      </c>
      <c r="O2107" t="s">
        <v>25</v>
      </c>
      <c r="P2107">
        <v>2</v>
      </c>
      <c r="Q2107">
        <v>5</v>
      </c>
      <c r="R2107">
        <v>2004</v>
      </c>
      <c r="S2107" t="s">
        <v>26</v>
      </c>
    </row>
    <row r="2108" spans="1:19" x14ac:dyDescent="0.25">
      <c r="A2108">
        <v>10127</v>
      </c>
      <c r="B2108" t="s">
        <v>313</v>
      </c>
      <c r="C2108" t="s">
        <v>192</v>
      </c>
      <c r="D2108" t="s">
        <v>21</v>
      </c>
      <c r="E2108" t="s">
        <v>22</v>
      </c>
      <c r="F2108" t="s">
        <v>23</v>
      </c>
      <c r="G2108" t="s">
        <v>33</v>
      </c>
      <c r="H2108">
        <v>9</v>
      </c>
      <c r="I2108">
        <v>46</v>
      </c>
      <c r="J2108">
        <v>100</v>
      </c>
      <c r="K2108">
        <v>115</v>
      </c>
      <c r="L2108">
        <v>6176.42</v>
      </c>
      <c r="M2108">
        <v>886.42</v>
      </c>
      <c r="N2108" s="1">
        <v>37775</v>
      </c>
      <c r="O2108" t="s">
        <v>25</v>
      </c>
      <c r="P2108">
        <v>2</v>
      </c>
      <c r="Q2108">
        <v>6</v>
      </c>
      <c r="R2108">
        <v>2003</v>
      </c>
      <c r="S2108" t="s">
        <v>202</v>
      </c>
    </row>
    <row r="2109" spans="1:19" x14ac:dyDescent="0.25">
      <c r="A2109">
        <v>10176</v>
      </c>
      <c r="B2109" t="s">
        <v>313</v>
      </c>
      <c r="C2109" t="s">
        <v>184</v>
      </c>
      <c r="D2109" t="s">
        <v>185</v>
      </c>
      <c r="E2109" t="s">
        <v>110</v>
      </c>
      <c r="F2109" t="s">
        <v>30</v>
      </c>
      <c r="G2109" t="s">
        <v>33</v>
      </c>
      <c r="H2109">
        <v>9</v>
      </c>
      <c r="I2109">
        <v>23</v>
      </c>
      <c r="J2109">
        <v>100</v>
      </c>
      <c r="K2109">
        <v>115</v>
      </c>
      <c r="L2109">
        <v>3114.89</v>
      </c>
      <c r="M2109">
        <v>469.89</v>
      </c>
      <c r="N2109" s="1">
        <v>37931</v>
      </c>
      <c r="O2109" t="s">
        <v>25</v>
      </c>
      <c r="P2109">
        <v>4</v>
      </c>
      <c r="Q2109">
        <v>11</v>
      </c>
      <c r="R2109">
        <v>2003</v>
      </c>
      <c r="S2109" t="s">
        <v>202</v>
      </c>
    </row>
    <row r="2110" spans="1:19" x14ac:dyDescent="0.25">
      <c r="A2110">
        <v>10220</v>
      </c>
      <c r="B2110" t="s">
        <v>313</v>
      </c>
      <c r="C2110" t="s">
        <v>193</v>
      </c>
      <c r="D2110" t="s">
        <v>194</v>
      </c>
      <c r="E2110" t="s">
        <v>195</v>
      </c>
      <c r="F2110" t="s">
        <v>30</v>
      </c>
      <c r="G2110" t="s">
        <v>33</v>
      </c>
      <c r="H2110">
        <v>9</v>
      </c>
      <c r="I2110">
        <v>37</v>
      </c>
      <c r="J2110">
        <v>100</v>
      </c>
      <c r="K2110">
        <v>115</v>
      </c>
      <c r="L2110">
        <v>3983.05</v>
      </c>
      <c r="M2110">
        <v>-271.95</v>
      </c>
      <c r="N2110" s="1">
        <v>38029</v>
      </c>
      <c r="O2110" t="s">
        <v>25</v>
      </c>
      <c r="P2110">
        <v>1</v>
      </c>
      <c r="Q2110">
        <v>2</v>
      </c>
      <c r="R2110">
        <v>2004</v>
      </c>
      <c r="S2110" t="s">
        <v>202</v>
      </c>
    </row>
    <row r="2111" spans="1:19" x14ac:dyDescent="0.25">
      <c r="A2111">
        <v>10372</v>
      </c>
      <c r="B2111" t="s">
        <v>314</v>
      </c>
      <c r="C2111" t="s">
        <v>105</v>
      </c>
      <c r="D2111" t="s">
        <v>106</v>
      </c>
      <c r="E2111" t="s">
        <v>107</v>
      </c>
      <c r="F2111" t="s">
        <v>50</v>
      </c>
      <c r="G2111" t="s">
        <v>24</v>
      </c>
      <c r="H2111">
        <v>9</v>
      </c>
      <c r="I2111">
        <v>24</v>
      </c>
      <c r="J2111">
        <v>58.58</v>
      </c>
      <c r="K2111">
        <v>58</v>
      </c>
      <c r="L2111">
        <v>1405.92</v>
      </c>
      <c r="M2111">
        <v>13.92</v>
      </c>
      <c r="N2111" s="1">
        <v>38378</v>
      </c>
      <c r="O2111" t="s">
        <v>25</v>
      </c>
      <c r="P2111">
        <v>1</v>
      </c>
      <c r="Q2111">
        <v>1</v>
      </c>
      <c r="R2111">
        <v>2005</v>
      </c>
      <c r="S2111" t="s">
        <v>261</v>
      </c>
    </row>
    <row r="2112" spans="1:19" x14ac:dyDescent="0.25">
      <c r="A2112">
        <v>10197</v>
      </c>
      <c r="B2112" t="s">
        <v>316</v>
      </c>
      <c r="C2112" t="s">
        <v>145</v>
      </c>
      <c r="D2112" t="s">
        <v>146</v>
      </c>
      <c r="E2112" t="s">
        <v>80</v>
      </c>
      <c r="F2112" t="s">
        <v>30</v>
      </c>
      <c r="G2112" t="s">
        <v>24</v>
      </c>
      <c r="H2112">
        <v>9</v>
      </c>
      <c r="I2112">
        <v>23</v>
      </c>
      <c r="J2112">
        <v>64.67</v>
      </c>
      <c r="K2112">
        <v>66</v>
      </c>
      <c r="L2112">
        <v>1487.41</v>
      </c>
      <c r="M2112">
        <v>-30.59</v>
      </c>
      <c r="N2112" s="1">
        <v>37951</v>
      </c>
      <c r="O2112" t="s">
        <v>25</v>
      </c>
      <c r="P2112">
        <v>4</v>
      </c>
      <c r="Q2112">
        <v>11</v>
      </c>
      <c r="R2112">
        <v>2003</v>
      </c>
      <c r="S2112" t="s">
        <v>255</v>
      </c>
    </row>
    <row r="2113" spans="1:19" x14ac:dyDescent="0.25">
      <c r="A2113">
        <v>10283</v>
      </c>
      <c r="B2113" t="s">
        <v>316</v>
      </c>
      <c r="C2113" t="s">
        <v>154</v>
      </c>
      <c r="D2113" t="s">
        <v>155</v>
      </c>
      <c r="E2113" t="s">
        <v>99</v>
      </c>
      <c r="F2113" t="s">
        <v>23</v>
      </c>
      <c r="G2113" t="s">
        <v>33</v>
      </c>
      <c r="H2113">
        <v>9</v>
      </c>
      <c r="I2113">
        <v>45</v>
      </c>
      <c r="J2113">
        <v>78.67</v>
      </c>
      <c r="K2113">
        <v>66</v>
      </c>
      <c r="L2113">
        <v>3540.15</v>
      </c>
      <c r="M2113">
        <v>570.15</v>
      </c>
      <c r="N2113" s="1">
        <v>38219</v>
      </c>
      <c r="O2113" t="s">
        <v>25</v>
      </c>
      <c r="P2113">
        <v>3</v>
      </c>
      <c r="Q2113">
        <v>8</v>
      </c>
      <c r="R2113">
        <v>2004</v>
      </c>
      <c r="S2113" t="s">
        <v>255</v>
      </c>
    </row>
    <row r="2114" spans="1:19" x14ac:dyDescent="0.25">
      <c r="A2114">
        <v>10250</v>
      </c>
      <c r="B2114" t="s">
        <v>317</v>
      </c>
      <c r="C2114" t="s">
        <v>162</v>
      </c>
      <c r="D2114" t="s">
        <v>163</v>
      </c>
      <c r="E2114" t="s">
        <v>22</v>
      </c>
      <c r="F2114" t="s">
        <v>23</v>
      </c>
      <c r="G2114" t="s">
        <v>24</v>
      </c>
      <c r="H2114">
        <v>9</v>
      </c>
      <c r="I2114">
        <v>31</v>
      </c>
      <c r="J2114">
        <v>91.34</v>
      </c>
      <c r="K2114">
        <v>91</v>
      </c>
      <c r="L2114">
        <v>2831.54</v>
      </c>
      <c r="M2114">
        <v>10.54</v>
      </c>
      <c r="N2114" s="1">
        <v>38118</v>
      </c>
      <c r="O2114" t="s">
        <v>25</v>
      </c>
      <c r="P2114">
        <v>2</v>
      </c>
      <c r="Q2114">
        <v>5</v>
      </c>
      <c r="R2114">
        <v>2004</v>
      </c>
      <c r="S2114" t="s">
        <v>234</v>
      </c>
    </row>
    <row r="2115" spans="1:19" x14ac:dyDescent="0.25">
      <c r="A2115">
        <v>10353</v>
      </c>
      <c r="B2115" t="s">
        <v>317</v>
      </c>
      <c r="C2115" t="s">
        <v>235</v>
      </c>
      <c r="D2115" t="s">
        <v>208</v>
      </c>
      <c r="E2115" t="s">
        <v>22</v>
      </c>
      <c r="F2115" t="s">
        <v>23</v>
      </c>
      <c r="G2115" t="s">
        <v>33</v>
      </c>
      <c r="H2115">
        <v>9</v>
      </c>
      <c r="I2115">
        <v>39</v>
      </c>
      <c r="J2115">
        <v>100</v>
      </c>
      <c r="K2115">
        <v>91</v>
      </c>
      <c r="L2115">
        <v>5043.87</v>
      </c>
      <c r="M2115">
        <v>1494.87</v>
      </c>
      <c r="N2115" s="1">
        <v>38325</v>
      </c>
      <c r="O2115" t="s">
        <v>25</v>
      </c>
      <c r="P2115">
        <v>4</v>
      </c>
      <c r="Q2115">
        <v>12</v>
      </c>
      <c r="R2115">
        <v>2004</v>
      </c>
      <c r="S2115" t="s">
        <v>234</v>
      </c>
    </row>
    <row r="2116" spans="1:19" x14ac:dyDescent="0.25">
      <c r="A2116">
        <v>10416</v>
      </c>
      <c r="B2116" t="s">
        <v>317</v>
      </c>
      <c r="C2116" t="s">
        <v>184</v>
      </c>
      <c r="D2116" t="s">
        <v>185</v>
      </c>
      <c r="E2116" t="s">
        <v>110</v>
      </c>
      <c r="F2116" t="s">
        <v>30</v>
      </c>
      <c r="G2116" t="s">
        <v>24</v>
      </c>
      <c r="H2116">
        <v>9</v>
      </c>
      <c r="I2116">
        <v>23</v>
      </c>
      <c r="J2116">
        <v>91.34</v>
      </c>
      <c r="K2116">
        <v>91</v>
      </c>
      <c r="L2116">
        <v>2100.8200000000002</v>
      </c>
      <c r="M2116">
        <v>7.82</v>
      </c>
      <c r="N2116" s="1">
        <v>38482</v>
      </c>
      <c r="O2116" t="s">
        <v>25</v>
      </c>
      <c r="P2116">
        <v>2</v>
      </c>
      <c r="Q2116">
        <v>5</v>
      </c>
      <c r="R2116">
        <v>2005</v>
      </c>
      <c r="S2116" t="s">
        <v>234</v>
      </c>
    </row>
    <row r="2117" spans="1:19" x14ac:dyDescent="0.25">
      <c r="A2117">
        <v>10142</v>
      </c>
      <c r="B2117" t="s">
        <v>318</v>
      </c>
      <c r="C2117" t="s">
        <v>115</v>
      </c>
      <c r="D2117" t="s">
        <v>116</v>
      </c>
      <c r="E2117" t="s">
        <v>22</v>
      </c>
      <c r="F2117" t="s">
        <v>23</v>
      </c>
      <c r="G2117" t="s">
        <v>33</v>
      </c>
      <c r="H2117">
        <v>9</v>
      </c>
      <c r="I2117">
        <v>43</v>
      </c>
      <c r="J2117">
        <v>84.01</v>
      </c>
      <c r="K2117">
        <v>86</v>
      </c>
      <c r="L2117">
        <v>3612.43</v>
      </c>
      <c r="M2117">
        <v>-85.57</v>
      </c>
      <c r="N2117" s="1">
        <v>37841</v>
      </c>
      <c r="O2117" t="s">
        <v>25</v>
      </c>
      <c r="P2117">
        <v>3</v>
      </c>
      <c r="Q2117">
        <v>8</v>
      </c>
      <c r="R2117">
        <v>2003</v>
      </c>
      <c r="S2117" t="s">
        <v>255</v>
      </c>
    </row>
    <row r="2118" spans="1:19" x14ac:dyDescent="0.25">
      <c r="A2118">
        <v>10337</v>
      </c>
      <c r="B2118" t="s">
        <v>318</v>
      </c>
      <c r="C2118" t="s">
        <v>90</v>
      </c>
      <c r="D2118" t="s">
        <v>21</v>
      </c>
      <c r="E2118" t="s">
        <v>22</v>
      </c>
      <c r="F2118" t="s">
        <v>23</v>
      </c>
      <c r="G2118" t="s">
        <v>24</v>
      </c>
      <c r="H2118">
        <v>9</v>
      </c>
      <c r="I2118">
        <v>36</v>
      </c>
      <c r="J2118">
        <v>70.3</v>
      </c>
      <c r="K2118">
        <v>86</v>
      </c>
      <c r="L2118">
        <v>2530.8000000000002</v>
      </c>
      <c r="M2118">
        <v>-565.20000000000005</v>
      </c>
      <c r="N2118" s="1">
        <v>38312</v>
      </c>
      <c r="O2118" t="s">
        <v>25</v>
      </c>
      <c r="P2118">
        <v>4</v>
      </c>
      <c r="Q2118">
        <v>11</v>
      </c>
      <c r="R2118">
        <v>2004</v>
      </c>
      <c r="S2118" t="s">
        <v>255</v>
      </c>
    </row>
    <row r="2119" spans="1:19" x14ac:dyDescent="0.25">
      <c r="A2119">
        <v>10155</v>
      </c>
      <c r="B2119" t="s">
        <v>319</v>
      </c>
      <c r="C2119" t="s">
        <v>60</v>
      </c>
      <c r="D2119" t="s">
        <v>61</v>
      </c>
      <c r="E2119" t="s">
        <v>62</v>
      </c>
      <c r="F2119" t="s">
        <v>30</v>
      </c>
      <c r="G2119" t="s">
        <v>24</v>
      </c>
      <c r="H2119">
        <v>9</v>
      </c>
      <c r="I2119">
        <v>32</v>
      </c>
      <c r="J2119">
        <v>91.43</v>
      </c>
      <c r="K2119">
        <v>90</v>
      </c>
      <c r="L2119">
        <v>2925.76</v>
      </c>
      <c r="M2119">
        <v>45.76</v>
      </c>
      <c r="N2119" s="1">
        <v>37900</v>
      </c>
      <c r="O2119" t="s">
        <v>25</v>
      </c>
      <c r="P2119">
        <v>4</v>
      </c>
      <c r="Q2119">
        <v>10</v>
      </c>
      <c r="R2119">
        <v>2003</v>
      </c>
      <c r="S2119" t="s">
        <v>255</v>
      </c>
    </row>
    <row r="2120" spans="1:19" x14ac:dyDescent="0.25">
      <c r="A2120">
        <v>10328</v>
      </c>
      <c r="B2120" t="s">
        <v>319</v>
      </c>
      <c r="C2120" t="s">
        <v>227</v>
      </c>
      <c r="D2120" t="s">
        <v>228</v>
      </c>
      <c r="E2120" t="s">
        <v>110</v>
      </c>
      <c r="F2120" t="s">
        <v>30</v>
      </c>
      <c r="G2120" t="s">
        <v>33</v>
      </c>
      <c r="H2120">
        <v>9</v>
      </c>
      <c r="I2120">
        <v>41</v>
      </c>
      <c r="J2120">
        <v>100</v>
      </c>
      <c r="K2120">
        <v>90</v>
      </c>
      <c r="L2120">
        <v>4156.58</v>
      </c>
      <c r="M2120">
        <v>466.58</v>
      </c>
      <c r="N2120" s="1">
        <v>38303</v>
      </c>
      <c r="O2120" t="s">
        <v>25</v>
      </c>
      <c r="P2120">
        <v>4</v>
      </c>
      <c r="Q2120">
        <v>11</v>
      </c>
      <c r="R2120">
        <v>2004</v>
      </c>
      <c r="S2120" t="s">
        <v>255</v>
      </c>
    </row>
    <row r="2121" spans="1:19" x14ac:dyDescent="0.25">
      <c r="A2121">
        <v>10106</v>
      </c>
      <c r="B2121" t="s">
        <v>320</v>
      </c>
      <c r="C2121" t="s">
        <v>227</v>
      </c>
      <c r="D2121" t="s">
        <v>228</v>
      </c>
      <c r="E2121" t="s">
        <v>110</v>
      </c>
      <c r="F2121" t="s">
        <v>30</v>
      </c>
      <c r="G2121" t="s">
        <v>33</v>
      </c>
      <c r="H2121">
        <v>9</v>
      </c>
      <c r="I2121">
        <v>34</v>
      </c>
      <c r="J2121">
        <v>100</v>
      </c>
      <c r="K2121">
        <v>99</v>
      </c>
      <c r="L2121">
        <v>3763.46</v>
      </c>
      <c r="M2121">
        <v>397.46</v>
      </c>
      <c r="N2121" s="1">
        <v>37669</v>
      </c>
      <c r="O2121" t="s">
        <v>25</v>
      </c>
      <c r="P2121">
        <v>1</v>
      </c>
      <c r="Q2121">
        <v>2</v>
      </c>
      <c r="R2121">
        <v>2003</v>
      </c>
      <c r="S2121" t="s">
        <v>234</v>
      </c>
    </row>
    <row r="2122" spans="1:19" x14ac:dyDescent="0.25">
      <c r="A2122">
        <v>10361</v>
      </c>
      <c r="B2122" t="s">
        <v>320</v>
      </c>
      <c r="C2122" t="s">
        <v>71</v>
      </c>
      <c r="D2122" t="s">
        <v>72</v>
      </c>
      <c r="E2122" t="s">
        <v>49</v>
      </c>
      <c r="F2122" t="s">
        <v>50</v>
      </c>
      <c r="G2122" t="s">
        <v>24</v>
      </c>
      <c r="H2122">
        <v>9</v>
      </c>
      <c r="I2122">
        <v>26</v>
      </c>
      <c r="J2122">
        <v>100</v>
      </c>
      <c r="K2122">
        <v>99</v>
      </c>
      <c r="L2122">
        <v>2754.7</v>
      </c>
      <c r="M2122">
        <v>180.7</v>
      </c>
      <c r="N2122" s="1">
        <v>38338</v>
      </c>
      <c r="O2122" t="s">
        <v>25</v>
      </c>
      <c r="P2122">
        <v>4</v>
      </c>
      <c r="Q2122">
        <v>12</v>
      </c>
      <c r="R2122">
        <v>2004</v>
      </c>
      <c r="S2122" t="s">
        <v>234</v>
      </c>
    </row>
    <row r="2123" spans="1:19" x14ac:dyDescent="0.25">
      <c r="A2123">
        <v>10339</v>
      </c>
      <c r="B2123" t="s">
        <v>321</v>
      </c>
      <c r="C2123" t="s">
        <v>105</v>
      </c>
      <c r="D2123" t="s">
        <v>106</v>
      </c>
      <c r="E2123" t="s">
        <v>107</v>
      </c>
      <c r="F2123" t="s">
        <v>50</v>
      </c>
      <c r="G2123" t="s">
        <v>33</v>
      </c>
      <c r="H2123">
        <v>9</v>
      </c>
      <c r="I2123">
        <v>50</v>
      </c>
      <c r="J2123">
        <v>74.349999999999994</v>
      </c>
      <c r="K2123">
        <v>72</v>
      </c>
      <c r="L2123">
        <v>3717.5</v>
      </c>
      <c r="M2123">
        <v>117.5</v>
      </c>
      <c r="N2123" s="1">
        <v>38314</v>
      </c>
      <c r="O2123" t="s">
        <v>25</v>
      </c>
      <c r="P2123">
        <v>4</v>
      </c>
      <c r="Q2123">
        <v>11</v>
      </c>
      <c r="R2123">
        <v>2004</v>
      </c>
      <c r="S2123" t="s">
        <v>255</v>
      </c>
    </row>
    <row r="2124" spans="1:19" x14ac:dyDescent="0.25">
      <c r="A2124">
        <v>10313</v>
      </c>
      <c r="B2124" t="s">
        <v>322</v>
      </c>
      <c r="C2124" t="s">
        <v>97</v>
      </c>
      <c r="D2124" t="s">
        <v>98</v>
      </c>
      <c r="E2124" t="s">
        <v>99</v>
      </c>
      <c r="F2124" t="s">
        <v>23</v>
      </c>
      <c r="G2124" t="s">
        <v>24</v>
      </c>
      <c r="H2124">
        <v>9</v>
      </c>
      <c r="I2124">
        <v>30</v>
      </c>
      <c r="J2124">
        <v>99.13</v>
      </c>
      <c r="K2124">
        <v>101</v>
      </c>
      <c r="L2124">
        <v>2973.9</v>
      </c>
      <c r="M2124">
        <v>-56.1</v>
      </c>
      <c r="N2124" s="1">
        <v>38282</v>
      </c>
      <c r="O2124" t="s">
        <v>25</v>
      </c>
      <c r="P2124">
        <v>4</v>
      </c>
      <c r="Q2124">
        <v>10</v>
      </c>
      <c r="R2124">
        <v>2004</v>
      </c>
      <c r="S2124" t="s">
        <v>83</v>
      </c>
    </row>
    <row r="2125" spans="1:19" x14ac:dyDescent="0.25">
      <c r="A2125">
        <v>10382</v>
      </c>
      <c r="B2125" t="s">
        <v>322</v>
      </c>
      <c r="C2125" t="s">
        <v>115</v>
      </c>
      <c r="D2125" t="s">
        <v>116</v>
      </c>
      <c r="E2125" t="s">
        <v>22</v>
      </c>
      <c r="F2125" t="s">
        <v>23</v>
      </c>
      <c r="G2125" t="s">
        <v>24</v>
      </c>
      <c r="H2125">
        <v>9</v>
      </c>
      <c r="I2125">
        <v>34</v>
      </c>
      <c r="J2125">
        <v>54.84</v>
      </c>
      <c r="K2125">
        <v>101</v>
      </c>
      <c r="L2125">
        <v>1864.56</v>
      </c>
      <c r="M2125">
        <v>-1569.44</v>
      </c>
      <c r="N2125" s="1">
        <v>38400</v>
      </c>
      <c r="O2125" t="s">
        <v>25</v>
      </c>
      <c r="P2125">
        <v>1</v>
      </c>
      <c r="Q2125">
        <v>2</v>
      </c>
      <c r="R2125">
        <v>2005</v>
      </c>
      <c r="S2125" t="s">
        <v>83</v>
      </c>
    </row>
    <row r="2126" spans="1:19" x14ac:dyDescent="0.25">
      <c r="A2126">
        <v>10263</v>
      </c>
      <c r="B2126" t="s">
        <v>323</v>
      </c>
      <c r="C2126" t="s">
        <v>54</v>
      </c>
      <c r="D2126" t="s">
        <v>55</v>
      </c>
      <c r="E2126" t="s">
        <v>22</v>
      </c>
      <c r="F2126" t="s">
        <v>23</v>
      </c>
      <c r="G2126" t="s">
        <v>33</v>
      </c>
      <c r="H2126">
        <v>9</v>
      </c>
      <c r="I2126">
        <v>47</v>
      </c>
      <c r="J2126">
        <v>100</v>
      </c>
      <c r="K2126">
        <v>118</v>
      </c>
      <c r="L2126">
        <v>5465.16</v>
      </c>
      <c r="M2126">
        <v>-80.84</v>
      </c>
      <c r="N2126" s="1">
        <v>38166</v>
      </c>
      <c r="O2126" t="s">
        <v>25</v>
      </c>
      <c r="P2126">
        <v>2</v>
      </c>
      <c r="Q2126">
        <v>6</v>
      </c>
      <c r="R2126">
        <v>2004</v>
      </c>
      <c r="S2126" t="s">
        <v>234</v>
      </c>
    </row>
    <row r="2127" spans="1:19" x14ac:dyDescent="0.25">
      <c r="A2127">
        <v>10398</v>
      </c>
      <c r="B2127" t="s">
        <v>323</v>
      </c>
      <c r="C2127" t="s">
        <v>27</v>
      </c>
      <c r="D2127" t="s">
        <v>28</v>
      </c>
      <c r="E2127" t="s">
        <v>29</v>
      </c>
      <c r="F2127" t="s">
        <v>30</v>
      </c>
      <c r="G2127" t="s">
        <v>24</v>
      </c>
      <c r="H2127">
        <v>9</v>
      </c>
      <c r="I2127">
        <v>23</v>
      </c>
      <c r="J2127">
        <v>100</v>
      </c>
      <c r="K2127">
        <v>118</v>
      </c>
      <c r="L2127">
        <v>2810.83</v>
      </c>
      <c r="M2127">
        <v>96.83</v>
      </c>
      <c r="N2127" s="1">
        <v>38441</v>
      </c>
      <c r="O2127" t="s">
        <v>25</v>
      </c>
      <c r="P2127">
        <v>1</v>
      </c>
      <c r="Q2127">
        <v>3</v>
      </c>
      <c r="R2127">
        <v>2005</v>
      </c>
      <c r="S2127" t="s">
        <v>234</v>
      </c>
    </row>
    <row r="2128" spans="1:19" x14ac:dyDescent="0.25">
      <c r="A2128">
        <v>10235</v>
      </c>
      <c r="B2128" t="s">
        <v>324</v>
      </c>
      <c r="C2128" t="s">
        <v>154</v>
      </c>
      <c r="D2128" t="s">
        <v>155</v>
      </c>
      <c r="E2128" t="s">
        <v>99</v>
      </c>
      <c r="F2128" t="s">
        <v>23</v>
      </c>
      <c r="G2128" t="s">
        <v>24</v>
      </c>
      <c r="H2128">
        <v>9</v>
      </c>
      <c r="I2128">
        <v>32</v>
      </c>
      <c r="J2128">
        <v>92</v>
      </c>
      <c r="K2128">
        <v>80</v>
      </c>
      <c r="L2128">
        <v>2944</v>
      </c>
      <c r="M2128">
        <v>384</v>
      </c>
      <c r="N2128" s="1">
        <v>38079</v>
      </c>
      <c r="O2128" t="s">
        <v>25</v>
      </c>
      <c r="P2128">
        <v>2</v>
      </c>
      <c r="Q2128">
        <v>4</v>
      </c>
      <c r="R2128">
        <v>2004</v>
      </c>
      <c r="S2128" t="s">
        <v>234</v>
      </c>
    </row>
    <row r="2129" spans="1:19" x14ac:dyDescent="0.25">
      <c r="A2129">
        <v>10401</v>
      </c>
      <c r="B2129" t="s">
        <v>324</v>
      </c>
      <c r="C2129" t="s">
        <v>52</v>
      </c>
      <c r="D2129" t="s">
        <v>53</v>
      </c>
      <c r="E2129" t="s">
        <v>22</v>
      </c>
      <c r="F2129" t="s">
        <v>23</v>
      </c>
      <c r="G2129" t="s">
        <v>70</v>
      </c>
      <c r="H2129">
        <v>9</v>
      </c>
      <c r="I2129">
        <v>77</v>
      </c>
      <c r="J2129">
        <v>92</v>
      </c>
      <c r="K2129">
        <v>80</v>
      </c>
      <c r="L2129">
        <v>7084</v>
      </c>
      <c r="M2129">
        <v>924</v>
      </c>
      <c r="N2129" s="1">
        <v>38445</v>
      </c>
      <c r="O2129" t="s">
        <v>164</v>
      </c>
      <c r="P2129">
        <v>2</v>
      </c>
      <c r="Q2129">
        <v>4</v>
      </c>
      <c r="R2129">
        <v>2005</v>
      </c>
      <c r="S2129" t="s">
        <v>234</v>
      </c>
    </row>
    <row r="2130" spans="1:19" x14ac:dyDescent="0.25">
      <c r="A2130">
        <v>10273</v>
      </c>
      <c r="B2130" t="s">
        <v>326</v>
      </c>
      <c r="C2130" t="s">
        <v>151</v>
      </c>
      <c r="D2130" t="s">
        <v>152</v>
      </c>
      <c r="E2130" t="s">
        <v>153</v>
      </c>
      <c r="F2130" t="s">
        <v>30</v>
      </c>
      <c r="G2130" t="s">
        <v>24</v>
      </c>
      <c r="H2130">
        <v>9</v>
      </c>
      <c r="I2130">
        <v>26</v>
      </c>
      <c r="J2130">
        <v>100</v>
      </c>
      <c r="K2130">
        <v>99</v>
      </c>
      <c r="L2130">
        <v>2969.46</v>
      </c>
      <c r="M2130">
        <v>395.46</v>
      </c>
      <c r="N2130" s="1">
        <v>38189</v>
      </c>
      <c r="O2130" t="s">
        <v>25</v>
      </c>
      <c r="P2130">
        <v>3</v>
      </c>
      <c r="Q2130">
        <v>7</v>
      </c>
      <c r="R2130">
        <v>2004</v>
      </c>
      <c r="S2130" t="s">
        <v>255</v>
      </c>
    </row>
    <row r="2131" spans="1:19" x14ac:dyDescent="0.25">
      <c r="A2131">
        <v>10284</v>
      </c>
      <c r="B2131" t="s">
        <v>327</v>
      </c>
      <c r="C2131" t="s">
        <v>223</v>
      </c>
      <c r="D2131" t="s">
        <v>224</v>
      </c>
      <c r="E2131" t="s">
        <v>44</v>
      </c>
      <c r="F2131" t="s">
        <v>30</v>
      </c>
      <c r="G2131" t="s">
        <v>24</v>
      </c>
      <c r="H2131">
        <v>9</v>
      </c>
      <c r="I2131">
        <v>32</v>
      </c>
      <c r="J2131">
        <v>64.41</v>
      </c>
      <c r="K2131">
        <v>74</v>
      </c>
      <c r="L2131">
        <v>2061.12</v>
      </c>
      <c r="M2131">
        <v>-306.88</v>
      </c>
      <c r="N2131" s="1">
        <v>38220</v>
      </c>
      <c r="O2131" t="s">
        <v>25</v>
      </c>
      <c r="P2131">
        <v>3</v>
      </c>
      <c r="Q2131">
        <v>8</v>
      </c>
      <c r="R2131">
        <v>2004</v>
      </c>
      <c r="S2131" t="s">
        <v>234</v>
      </c>
    </row>
    <row r="2132" spans="1:19" x14ac:dyDescent="0.25">
      <c r="A2132">
        <v>10373</v>
      </c>
      <c r="B2132" t="s">
        <v>328</v>
      </c>
      <c r="C2132" t="s">
        <v>160</v>
      </c>
      <c r="D2132" t="s">
        <v>161</v>
      </c>
      <c r="E2132" t="s">
        <v>62</v>
      </c>
      <c r="F2132" t="s">
        <v>30</v>
      </c>
      <c r="G2132" t="s">
        <v>24</v>
      </c>
      <c r="H2132">
        <v>9</v>
      </c>
      <c r="I2132">
        <v>25</v>
      </c>
      <c r="J2132">
        <v>64.97</v>
      </c>
      <c r="K2132">
        <v>49</v>
      </c>
      <c r="L2132">
        <v>1624.25</v>
      </c>
      <c r="M2132">
        <v>399.25</v>
      </c>
      <c r="N2132" s="1">
        <v>38383</v>
      </c>
      <c r="O2132" t="s">
        <v>25</v>
      </c>
      <c r="P2132">
        <v>1</v>
      </c>
      <c r="Q2132">
        <v>1</v>
      </c>
      <c r="R2132">
        <v>2005</v>
      </c>
      <c r="S2132" t="s">
        <v>234</v>
      </c>
    </row>
    <row r="2133" spans="1:19" x14ac:dyDescent="0.25">
      <c r="A2133">
        <v>10248</v>
      </c>
      <c r="B2133" t="s">
        <v>329</v>
      </c>
      <c r="C2133" t="s">
        <v>20</v>
      </c>
      <c r="D2133" t="s">
        <v>21</v>
      </c>
      <c r="E2133" t="s">
        <v>22</v>
      </c>
      <c r="F2133" t="s">
        <v>23</v>
      </c>
      <c r="G2133" t="s">
        <v>24</v>
      </c>
      <c r="H2133">
        <v>9</v>
      </c>
      <c r="I2133">
        <v>23</v>
      </c>
      <c r="J2133">
        <v>65.52</v>
      </c>
      <c r="K2133">
        <v>54</v>
      </c>
      <c r="L2133">
        <v>1506.96</v>
      </c>
      <c r="M2133">
        <v>264.95999999999998</v>
      </c>
      <c r="N2133" s="1">
        <v>38114</v>
      </c>
      <c r="O2133" t="s">
        <v>141</v>
      </c>
      <c r="P2133">
        <v>2</v>
      </c>
      <c r="Q2133">
        <v>5</v>
      </c>
      <c r="R2133">
        <v>2004</v>
      </c>
      <c r="S2133" t="s">
        <v>255</v>
      </c>
    </row>
    <row r="2134" spans="1:19" x14ac:dyDescent="0.25">
      <c r="A2134">
        <v>10414</v>
      </c>
      <c r="B2134" t="s">
        <v>329</v>
      </c>
      <c r="C2134" t="s">
        <v>156</v>
      </c>
      <c r="D2134" t="s">
        <v>157</v>
      </c>
      <c r="E2134" t="s">
        <v>22</v>
      </c>
      <c r="F2134" t="s">
        <v>23</v>
      </c>
      <c r="G2134" t="s">
        <v>33</v>
      </c>
      <c r="H2134">
        <v>9</v>
      </c>
      <c r="I2134">
        <v>47</v>
      </c>
      <c r="J2134">
        <v>65.52</v>
      </c>
      <c r="K2134">
        <v>54</v>
      </c>
      <c r="L2134">
        <v>3079.44</v>
      </c>
      <c r="M2134">
        <v>541.44000000000005</v>
      </c>
      <c r="N2134" s="1">
        <v>38478</v>
      </c>
      <c r="O2134" t="s">
        <v>164</v>
      </c>
      <c r="P2134">
        <v>2</v>
      </c>
      <c r="Q2134">
        <v>5</v>
      </c>
      <c r="R2134">
        <v>2005</v>
      </c>
      <c r="S2134" t="s">
        <v>255</v>
      </c>
    </row>
    <row r="2135" spans="1:19" x14ac:dyDescent="0.25">
      <c r="A2135">
        <v>10357</v>
      </c>
      <c r="B2135" t="s">
        <v>82</v>
      </c>
      <c r="C2135" t="s">
        <v>115</v>
      </c>
      <c r="D2135" t="s">
        <v>116</v>
      </c>
      <c r="E2135" t="s">
        <v>22</v>
      </c>
      <c r="F2135" t="s">
        <v>23</v>
      </c>
      <c r="G2135" t="s">
        <v>33</v>
      </c>
      <c r="H2135">
        <v>10</v>
      </c>
      <c r="I2135">
        <v>32</v>
      </c>
      <c r="J2135">
        <v>100</v>
      </c>
      <c r="K2135">
        <v>214</v>
      </c>
      <c r="L2135">
        <v>5691.84</v>
      </c>
      <c r="M2135">
        <v>-1156.1600000000001</v>
      </c>
      <c r="N2135" s="1">
        <v>38331</v>
      </c>
      <c r="O2135" t="s">
        <v>25</v>
      </c>
      <c r="P2135">
        <v>4</v>
      </c>
      <c r="Q2135">
        <v>12</v>
      </c>
      <c r="R2135">
        <v>2004</v>
      </c>
      <c r="S2135" t="s">
        <v>83</v>
      </c>
    </row>
    <row r="2136" spans="1:19" x14ac:dyDescent="0.25">
      <c r="A2136">
        <v>10122</v>
      </c>
      <c r="B2136" t="s">
        <v>172</v>
      </c>
      <c r="C2136" t="s">
        <v>176</v>
      </c>
      <c r="D2136" t="s">
        <v>177</v>
      </c>
      <c r="E2136" t="s">
        <v>29</v>
      </c>
      <c r="F2136" t="s">
        <v>30</v>
      </c>
      <c r="G2136" t="s">
        <v>70</v>
      </c>
      <c r="H2136">
        <v>10</v>
      </c>
      <c r="I2136">
        <v>42</v>
      </c>
      <c r="J2136">
        <v>100</v>
      </c>
      <c r="K2136">
        <v>194</v>
      </c>
      <c r="L2136">
        <v>7599.9</v>
      </c>
      <c r="M2136">
        <v>-548.1</v>
      </c>
      <c r="N2136" s="1">
        <v>37749</v>
      </c>
      <c r="O2136" t="s">
        <v>25</v>
      </c>
      <c r="P2136">
        <v>2</v>
      </c>
      <c r="Q2136">
        <v>5</v>
      </c>
      <c r="R2136">
        <v>2003</v>
      </c>
      <c r="S2136" t="s">
        <v>83</v>
      </c>
    </row>
    <row r="2137" spans="1:19" x14ac:dyDescent="0.25">
      <c r="A2137">
        <v>10310</v>
      </c>
      <c r="B2137" t="s">
        <v>172</v>
      </c>
      <c r="C2137" t="s">
        <v>178</v>
      </c>
      <c r="D2137" t="s">
        <v>179</v>
      </c>
      <c r="E2137" t="s">
        <v>180</v>
      </c>
      <c r="F2137" t="s">
        <v>30</v>
      </c>
      <c r="G2137" t="s">
        <v>33</v>
      </c>
      <c r="H2137">
        <v>10</v>
      </c>
      <c r="I2137">
        <v>33</v>
      </c>
      <c r="J2137">
        <v>100</v>
      </c>
      <c r="K2137">
        <v>194</v>
      </c>
      <c r="L2137">
        <v>6934.62</v>
      </c>
      <c r="M2137">
        <v>532.62</v>
      </c>
      <c r="N2137" s="1">
        <v>38276</v>
      </c>
      <c r="O2137" t="s">
        <v>25</v>
      </c>
      <c r="P2137">
        <v>4</v>
      </c>
      <c r="Q2137">
        <v>10</v>
      </c>
      <c r="R2137">
        <v>2004</v>
      </c>
      <c r="S2137" t="s">
        <v>83</v>
      </c>
    </row>
    <row r="2138" spans="1:19" x14ac:dyDescent="0.25">
      <c r="A2138">
        <v>10336</v>
      </c>
      <c r="B2138" t="s">
        <v>191</v>
      </c>
      <c r="C2138" t="s">
        <v>166</v>
      </c>
      <c r="D2138" t="s">
        <v>32</v>
      </c>
      <c r="E2138" t="s">
        <v>29</v>
      </c>
      <c r="F2138" t="s">
        <v>30</v>
      </c>
      <c r="G2138" t="s">
        <v>24</v>
      </c>
      <c r="H2138">
        <v>10</v>
      </c>
      <c r="I2138">
        <v>33</v>
      </c>
      <c r="J2138">
        <v>57.22</v>
      </c>
      <c r="K2138">
        <v>207</v>
      </c>
      <c r="L2138">
        <v>1888.26</v>
      </c>
      <c r="M2138">
        <v>-4942.74</v>
      </c>
      <c r="N2138" s="1">
        <v>38311</v>
      </c>
      <c r="O2138" t="s">
        <v>25</v>
      </c>
      <c r="P2138">
        <v>4</v>
      </c>
      <c r="Q2138">
        <v>11</v>
      </c>
      <c r="R2138">
        <v>2004</v>
      </c>
      <c r="S2138" t="s">
        <v>83</v>
      </c>
    </row>
    <row r="2139" spans="1:19" x14ac:dyDescent="0.25">
      <c r="A2139">
        <v>10382</v>
      </c>
      <c r="B2139" t="s">
        <v>191</v>
      </c>
      <c r="C2139" t="s">
        <v>115</v>
      </c>
      <c r="D2139" t="s">
        <v>116</v>
      </c>
      <c r="E2139" t="s">
        <v>22</v>
      </c>
      <c r="F2139" t="s">
        <v>23</v>
      </c>
      <c r="G2139" t="s">
        <v>33</v>
      </c>
      <c r="H2139">
        <v>10</v>
      </c>
      <c r="I2139">
        <v>34</v>
      </c>
      <c r="J2139">
        <v>100</v>
      </c>
      <c r="K2139">
        <v>207</v>
      </c>
      <c r="L2139">
        <v>3823.64</v>
      </c>
      <c r="M2139">
        <v>-3214.36</v>
      </c>
      <c r="N2139" s="1">
        <v>38400</v>
      </c>
      <c r="O2139" t="s">
        <v>25</v>
      </c>
      <c r="P2139">
        <v>1</v>
      </c>
      <c r="Q2139">
        <v>2</v>
      </c>
      <c r="R2139">
        <v>2005</v>
      </c>
      <c r="S2139" t="s">
        <v>83</v>
      </c>
    </row>
    <row r="2140" spans="1:19" x14ac:dyDescent="0.25">
      <c r="A2140">
        <v>10117</v>
      </c>
      <c r="B2140" t="s">
        <v>205</v>
      </c>
      <c r="C2140" t="s">
        <v>88</v>
      </c>
      <c r="D2140" t="s">
        <v>89</v>
      </c>
      <c r="E2140" t="s">
        <v>89</v>
      </c>
      <c r="F2140" t="s">
        <v>50</v>
      </c>
      <c r="G2140" t="s">
        <v>33</v>
      </c>
      <c r="H2140">
        <v>10</v>
      </c>
      <c r="I2140">
        <v>43</v>
      </c>
      <c r="J2140">
        <v>100</v>
      </c>
      <c r="K2140">
        <v>151</v>
      </c>
      <c r="L2140">
        <v>5911.64</v>
      </c>
      <c r="M2140">
        <v>-581.36</v>
      </c>
      <c r="N2140" s="1">
        <v>37727</v>
      </c>
      <c r="O2140" t="s">
        <v>25</v>
      </c>
      <c r="P2140">
        <v>2</v>
      </c>
      <c r="Q2140">
        <v>4</v>
      </c>
      <c r="R2140">
        <v>2003</v>
      </c>
      <c r="S2140" t="s">
        <v>83</v>
      </c>
    </row>
    <row r="2141" spans="1:19" x14ac:dyDescent="0.25">
      <c r="A2141">
        <v>10287</v>
      </c>
      <c r="B2141" t="s">
        <v>206</v>
      </c>
      <c r="C2141" t="s">
        <v>181</v>
      </c>
      <c r="D2141" t="s">
        <v>182</v>
      </c>
      <c r="E2141" t="s">
        <v>183</v>
      </c>
      <c r="F2141" t="s">
        <v>30</v>
      </c>
      <c r="G2141" t="s">
        <v>33</v>
      </c>
      <c r="H2141">
        <v>10</v>
      </c>
      <c r="I2141">
        <v>45</v>
      </c>
      <c r="J2141">
        <v>100</v>
      </c>
      <c r="K2141">
        <v>117</v>
      </c>
      <c r="L2141">
        <v>4756.5</v>
      </c>
      <c r="M2141">
        <v>-508.5</v>
      </c>
      <c r="N2141" s="1">
        <v>38229</v>
      </c>
      <c r="O2141" t="s">
        <v>25</v>
      </c>
      <c r="P2141">
        <v>3</v>
      </c>
      <c r="Q2141">
        <v>8</v>
      </c>
      <c r="R2141">
        <v>2004</v>
      </c>
      <c r="S2141" t="s">
        <v>83</v>
      </c>
    </row>
    <row r="2142" spans="1:19" x14ac:dyDescent="0.25">
      <c r="A2142">
        <v>10153</v>
      </c>
      <c r="B2142" t="s">
        <v>209</v>
      </c>
      <c r="C2142" t="s">
        <v>78</v>
      </c>
      <c r="D2142" t="s">
        <v>79</v>
      </c>
      <c r="E2142" t="s">
        <v>80</v>
      </c>
      <c r="F2142" t="s">
        <v>30</v>
      </c>
      <c r="G2142" t="s">
        <v>70</v>
      </c>
      <c r="H2142">
        <v>10</v>
      </c>
      <c r="I2142">
        <v>49</v>
      </c>
      <c r="J2142">
        <v>100</v>
      </c>
      <c r="K2142">
        <v>173</v>
      </c>
      <c r="L2142">
        <v>7036.89</v>
      </c>
      <c r="M2142">
        <v>-1440.11</v>
      </c>
      <c r="N2142" s="1">
        <v>37892</v>
      </c>
      <c r="O2142" t="s">
        <v>25</v>
      </c>
      <c r="P2142">
        <v>3</v>
      </c>
      <c r="Q2142">
        <v>9</v>
      </c>
      <c r="R2142">
        <v>2003</v>
      </c>
      <c r="S2142" t="s">
        <v>83</v>
      </c>
    </row>
    <row r="2143" spans="1:19" x14ac:dyDescent="0.25">
      <c r="A2143">
        <v>10349</v>
      </c>
      <c r="B2143" t="s">
        <v>209</v>
      </c>
      <c r="C2143" t="s">
        <v>192</v>
      </c>
      <c r="D2143" t="s">
        <v>21</v>
      </c>
      <c r="E2143" t="s">
        <v>22</v>
      </c>
      <c r="F2143" t="s">
        <v>23</v>
      </c>
      <c r="G2143" t="s">
        <v>33</v>
      </c>
      <c r="H2143">
        <v>10</v>
      </c>
      <c r="I2143">
        <v>26</v>
      </c>
      <c r="J2143">
        <v>100</v>
      </c>
      <c r="K2143">
        <v>173</v>
      </c>
      <c r="L2143">
        <v>4408.5600000000004</v>
      </c>
      <c r="M2143">
        <v>-89.44</v>
      </c>
      <c r="N2143" s="1">
        <v>38322</v>
      </c>
      <c r="O2143" t="s">
        <v>25</v>
      </c>
      <c r="P2143">
        <v>4</v>
      </c>
      <c r="Q2143">
        <v>12</v>
      </c>
      <c r="R2143">
        <v>2004</v>
      </c>
      <c r="S2143" t="s">
        <v>83</v>
      </c>
    </row>
    <row r="2144" spans="1:19" x14ac:dyDescent="0.25">
      <c r="A2144">
        <v>10225</v>
      </c>
      <c r="B2144" t="s">
        <v>210</v>
      </c>
      <c r="C2144" t="s">
        <v>181</v>
      </c>
      <c r="D2144" t="s">
        <v>182</v>
      </c>
      <c r="E2144" t="s">
        <v>183</v>
      </c>
      <c r="F2144" t="s">
        <v>30</v>
      </c>
      <c r="G2144" t="s">
        <v>24</v>
      </c>
      <c r="H2144">
        <v>10</v>
      </c>
      <c r="I2144">
        <v>37</v>
      </c>
      <c r="J2144">
        <v>77.41</v>
      </c>
      <c r="K2144">
        <v>79</v>
      </c>
      <c r="L2144">
        <v>2864.17</v>
      </c>
      <c r="M2144">
        <v>-58.83</v>
      </c>
      <c r="N2144" s="1">
        <v>38039</v>
      </c>
      <c r="O2144" t="s">
        <v>25</v>
      </c>
      <c r="P2144">
        <v>1</v>
      </c>
      <c r="Q2144">
        <v>2</v>
      </c>
      <c r="R2144">
        <v>2004</v>
      </c>
      <c r="S2144" t="s">
        <v>83</v>
      </c>
    </row>
    <row r="2145" spans="1:19" x14ac:dyDescent="0.25">
      <c r="A2145">
        <v>10341</v>
      </c>
      <c r="B2145" t="s">
        <v>210</v>
      </c>
      <c r="C2145" t="s">
        <v>67</v>
      </c>
      <c r="D2145" t="s">
        <v>68</v>
      </c>
      <c r="E2145" t="s">
        <v>69</v>
      </c>
      <c r="F2145" t="s">
        <v>30</v>
      </c>
      <c r="G2145" t="s">
        <v>33</v>
      </c>
      <c r="H2145">
        <v>10</v>
      </c>
      <c r="I2145">
        <v>36</v>
      </c>
      <c r="J2145">
        <v>93.56</v>
      </c>
      <c r="K2145">
        <v>79</v>
      </c>
      <c r="L2145">
        <v>3368.16</v>
      </c>
      <c r="M2145">
        <v>524.16</v>
      </c>
      <c r="N2145" s="1">
        <v>38315</v>
      </c>
      <c r="O2145" t="s">
        <v>25</v>
      </c>
      <c r="P2145">
        <v>4</v>
      </c>
      <c r="Q2145">
        <v>11</v>
      </c>
      <c r="R2145">
        <v>2004</v>
      </c>
      <c r="S2145" t="s">
        <v>83</v>
      </c>
    </row>
    <row r="2146" spans="1:19" x14ac:dyDescent="0.25">
      <c r="A2146">
        <v>10253</v>
      </c>
      <c r="B2146" t="s">
        <v>216</v>
      </c>
      <c r="C2146" t="s">
        <v>75</v>
      </c>
      <c r="D2146" t="s">
        <v>76</v>
      </c>
      <c r="E2146" t="s">
        <v>77</v>
      </c>
      <c r="F2146" t="s">
        <v>30</v>
      </c>
      <c r="G2146" t="s">
        <v>33</v>
      </c>
      <c r="H2146">
        <v>10</v>
      </c>
      <c r="I2146">
        <v>41</v>
      </c>
      <c r="J2146">
        <v>100</v>
      </c>
      <c r="K2146">
        <v>115</v>
      </c>
      <c r="L2146">
        <v>4910.57</v>
      </c>
      <c r="M2146">
        <v>195.57</v>
      </c>
      <c r="N2146" s="1">
        <v>38139</v>
      </c>
      <c r="O2146" t="s">
        <v>141</v>
      </c>
      <c r="P2146">
        <v>2</v>
      </c>
      <c r="Q2146">
        <v>6</v>
      </c>
      <c r="R2146">
        <v>2004</v>
      </c>
      <c r="S2146" t="s">
        <v>83</v>
      </c>
    </row>
    <row r="2147" spans="1:19" x14ac:dyDescent="0.25">
      <c r="A2147">
        <v>10419</v>
      </c>
      <c r="B2147" t="s">
        <v>216</v>
      </c>
      <c r="C2147" t="s">
        <v>67</v>
      </c>
      <c r="D2147" t="s">
        <v>68</v>
      </c>
      <c r="E2147" t="s">
        <v>69</v>
      </c>
      <c r="F2147" t="s">
        <v>30</v>
      </c>
      <c r="G2147" t="s">
        <v>33</v>
      </c>
      <c r="H2147">
        <v>10</v>
      </c>
      <c r="I2147">
        <v>32</v>
      </c>
      <c r="J2147">
        <v>100</v>
      </c>
      <c r="K2147">
        <v>115</v>
      </c>
      <c r="L2147">
        <v>3832.64</v>
      </c>
      <c r="M2147">
        <v>152.63999999999999</v>
      </c>
      <c r="N2147" s="1">
        <v>38489</v>
      </c>
      <c r="O2147" t="s">
        <v>25</v>
      </c>
      <c r="P2147">
        <v>2</v>
      </c>
      <c r="Q2147">
        <v>5</v>
      </c>
      <c r="R2147">
        <v>2005</v>
      </c>
      <c r="S2147" t="s">
        <v>83</v>
      </c>
    </row>
    <row r="2148" spans="1:19" x14ac:dyDescent="0.25">
      <c r="A2148">
        <v>10103</v>
      </c>
      <c r="B2148" t="s">
        <v>219</v>
      </c>
      <c r="C2148" t="s">
        <v>63</v>
      </c>
      <c r="D2148" t="s">
        <v>64</v>
      </c>
      <c r="E2148" t="s">
        <v>44</v>
      </c>
      <c r="F2148" t="s">
        <v>30</v>
      </c>
      <c r="G2148" t="s">
        <v>33</v>
      </c>
      <c r="H2148">
        <v>10</v>
      </c>
      <c r="I2148">
        <v>35</v>
      </c>
      <c r="J2148">
        <v>100</v>
      </c>
      <c r="K2148">
        <v>116</v>
      </c>
      <c r="L2148">
        <v>3920</v>
      </c>
      <c r="M2148">
        <v>-140</v>
      </c>
      <c r="N2148" s="1">
        <v>37650</v>
      </c>
      <c r="O2148" t="s">
        <v>25</v>
      </c>
      <c r="P2148">
        <v>1</v>
      </c>
      <c r="Q2148">
        <v>1</v>
      </c>
      <c r="R2148">
        <v>2003</v>
      </c>
      <c r="S2148" t="s">
        <v>202</v>
      </c>
    </row>
    <row r="2149" spans="1:19" x14ac:dyDescent="0.25">
      <c r="A2149">
        <v>10126</v>
      </c>
      <c r="B2149" t="s">
        <v>219</v>
      </c>
      <c r="C2149" t="s">
        <v>87</v>
      </c>
      <c r="D2149" t="s">
        <v>79</v>
      </c>
      <c r="E2149" t="s">
        <v>80</v>
      </c>
      <c r="F2149" t="s">
        <v>30</v>
      </c>
      <c r="G2149" t="s">
        <v>33</v>
      </c>
      <c r="H2149">
        <v>10</v>
      </c>
      <c r="I2149">
        <v>38</v>
      </c>
      <c r="J2149">
        <v>100</v>
      </c>
      <c r="K2149">
        <v>116</v>
      </c>
      <c r="L2149">
        <v>3857</v>
      </c>
      <c r="M2149">
        <v>-551</v>
      </c>
      <c r="N2149" s="1">
        <v>37769</v>
      </c>
      <c r="O2149" t="s">
        <v>25</v>
      </c>
      <c r="P2149">
        <v>2</v>
      </c>
      <c r="Q2149">
        <v>5</v>
      </c>
      <c r="R2149">
        <v>2003</v>
      </c>
      <c r="S2149" t="s">
        <v>202</v>
      </c>
    </row>
    <row r="2150" spans="1:19" x14ac:dyDescent="0.25">
      <c r="A2150">
        <v>10140</v>
      </c>
      <c r="B2150" t="s">
        <v>219</v>
      </c>
      <c r="C2150" t="s">
        <v>38</v>
      </c>
      <c r="D2150" t="s">
        <v>39</v>
      </c>
      <c r="E2150" t="s">
        <v>22</v>
      </c>
      <c r="F2150" t="s">
        <v>23</v>
      </c>
      <c r="G2150" t="s">
        <v>33</v>
      </c>
      <c r="H2150">
        <v>10</v>
      </c>
      <c r="I2150">
        <v>32</v>
      </c>
      <c r="J2150">
        <v>100</v>
      </c>
      <c r="K2150">
        <v>116</v>
      </c>
      <c r="L2150">
        <v>4181.4399999999996</v>
      </c>
      <c r="M2150">
        <v>469.44</v>
      </c>
      <c r="N2150" s="1">
        <v>37826</v>
      </c>
      <c r="O2150" t="s">
        <v>25</v>
      </c>
      <c r="P2150">
        <v>3</v>
      </c>
      <c r="Q2150">
        <v>7</v>
      </c>
      <c r="R2150">
        <v>2003</v>
      </c>
      <c r="S2150" t="s">
        <v>202</v>
      </c>
    </row>
    <row r="2151" spans="1:19" x14ac:dyDescent="0.25">
      <c r="A2151">
        <v>10194</v>
      </c>
      <c r="B2151" t="s">
        <v>219</v>
      </c>
      <c r="C2151" t="s">
        <v>95</v>
      </c>
      <c r="D2151" t="s">
        <v>96</v>
      </c>
      <c r="E2151" t="s">
        <v>29</v>
      </c>
      <c r="F2151" t="s">
        <v>30</v>
      </c>
      <c r="G2151" t="s">
        <v>24</v>
      </c>
      <c r="H2151">
        <v>10</v>
      </c>
      <c r="I2151">
        <v>21</v>
      </c>
      <c r="J2151">
        <v>93.34</v>
      </c>
      <c r="K2151">
        <v>116</v>
      </c>
      <c r="L2151">
        <v>1960.14</v>
      </c>
      <c r="M2151">
        <v>-475.86</v>
      </c>
      <c r="N2151" s="1">
        <v>37950</v>
      </c>
      <c r="O2151" t="s">
        <v>25</v>
      </c>
      <c r="P2151">
        <v>4</v>
      </c>
      <c r="Q2151">
        <v>11</v>
      </c>
      <c r="R2151">
        <v>2003</v>
      </c>
      <c r="S2151" t="s">
        <v>202</v>
      </c>
    </row>
    <row r="2152" spans="1:19" x14ac:dyDescent="0.25">
      <c r="A2152">
        <v>10291</v>
      </c>
      <c r="B2152" t="s">
        <v>219</v>
      </c>
      <c r="C2152" t="s">
        <v>111</v>
      </c>
      <c r="D2152" t="s">
        <v>112</v>
      </c>
      <c r="E2152" t="s">
        <v>86</v>
      </c>
      <c r="F2152" t="s">
        <v>30</v>
      </c>
      <c r="G2152" t="s">
        <v>33</v>
      </c>
      <c r="H2152">
        <v>10</v>
      </c>
      <c r="I2152">
        <v>41</v>
      </c>
      <c r="J2152">
        <v>100</v>
      </c>
      <c r="K2152">
        <v>116</v>
      </c>
      <c r="L2152">
        <v>4687.9399999999996</v>
      </c>
      <c r="M2152">
        <v>-68.06</v>
      </c>
      <c r="N2152" s="1">
        <v>38238</v>
      </c>
      <c r="O2152" t="s">
        <v>25</v>
      </c>
      <c r="P2152">
        <v>3</v>
      </c>
      <c r="Q2152">
        <v>9</v>
      </c>
      <c r="R2152">
        <v>2004</v>
      </c>
      <c r="S2152" t="s">
        <v>202</v>
      </c>
    </row>
    <row r="2153" spans="1:19" x14ac:dyDescent="0.25">
      <c r="A2153">
        <v>10322</v>
      </c>
      <c r="B2153" t="s">
        <v>219</v>
      </c>
      <c r="C2153" t="s">
        <v>117</v>
      </c>
      <c r="D2153" t="s">
        <v>118</v>
      </c>
      <c r="E2153" t="s">
        <v>22</v>
      </c>
      <c r="F2153" t="s">
        <v>23</v>
      </c>
      <c r="G2153" t="s">
        <v>24</v>
      </c>
      <c r="H2153">
        <v>10</v>
      </c>
      <c r="I2153">
        <v>22</v>
      </c>
      <c r="J2153">
        <v>100</v>
      </c>
      <c r="K2153">
        <v>116</v>
      </c>
      <c r="L2153">
        <v>2251.04</v>
      </c>
      <c r="M2153">
        <v>-300.95999999999998</v>
      </c>
      <c r="N2153" s="1">
        <v>38295</v>
      </c>
      <c r="O2153" t="s">
        <v>25</v>
      </c>
      <c r="P2153">
        <v>4</v>
      </c>
      <c r="Q2153">
        <v>11</v>
      </c>
      <c r="R2153">
        <v>2004</v>
      </c>
      <c r="S2153" t="s">
        <v>202</v>
      </c>
    </row>
    <row r="2154" spans="1:19" x14ac:dyDescent="0.25">
      <c r="A2154">
        <v>10391</v>
      </c>
      <c r="B2154" t="s">
        <v>219</v>
      </c>
      <c r="C2154" t="s">
        <v>121</v>
      </c>
      <c r="D2154" t="s">
        <v>122</v>
      </c>
      <c r="E2154" t="s">
        <v>49</v>
      </c>
      <c r="F2154" t="s">
        <v>50</v>
      </c>
      <c r="G2154" t="s">
        <v>24</v>
      </c>
      <c r="H2154">
        <v>10</v>
      </c>
      <c r="I2154">
        <v>29</v>
      </c>
      <c r="J2154">
        <v>85.1</v>
      </c>
      <c r="K2154">
        <v>116</v>
      </c>
      <c r="L2154">
        <v>2467.9</v>
      </c>
      <c r="M2154">
        <v>-896.1</v>
      </c>
      <c r="N2154" s="1">
        <v>38420</v>
      </c>
      <c r="O2154" t="s">
        <v>25</v>
      </c>
      <c r="P2154">
        <v>1</v>
      </c>
      <c r="Q2154">
        <v>3</v>
      </c>
      <c r="R2154">
        <v>2005</v>
      </c>
      <c r="S2154" t="s">
        <v>202</v>
      </c>
    </row>
    <row r="2155" spans="1:19" x14ac:dyDescent="0.25">
      <c r="A2155">
        <v>10212</v>
      </c>
      <c r="B2155" t="s">
        <v>220</v>
      </c>
      <c r="C2155" t="s">
        <v>78</v>
      </c>
      <c r="D2155" t="s">
        <v>79</v>
      </c>
      <c r="E2155" t="s">
        <v>80</v>
      </c>
      <c r="F2155" t="s">
        <v>30</v>
      </c>
      <c r="G2155" t="s">
        <v>33</v>
      </c>
      <c r="H2155">
        <v>10</v>
      </c>
      <c r="I2155">
        <v>29</v>
      </c>
      <c r="J2155">
        <v>100</v>
      </c>
      <c r="K2155">
        <v>141</v>
      </c>
      <c r="L2155">
        <v>4186.7299999999996</v>
      </c>
      <c r="M2155">
        <v>97.73</v>
      </c>
      <c r="N2155" s="1">
        <v>38002</v>
      </c>
      <c r="O2155" t="s">
        <v>25</v>
      </c>
      <c r="P2155">
        <v>1</v>
      </c>
      <c r="Q2155">
        <v>1</v>
      </c>
      <c r="R2155">
        <v>2004</v>
      </c>
      <c r="S2155" t="s">
        <v>83</v>
      </c>
    </row>
    <row r="2156" spans="1:19" x14ac:dyDescent="0.25">
      <c r="A2156">
        <v>10321</v>
      </c>
      <c r="B2156" t="s">
        <v>220</v>
      </c>
      <c r="C2156" t="s">
        <v>73</v>
      </c>
      <c r="D2156" t="s">
        <v>74</v>
      </c>
      <c r="E2156" t="s">
        <v>22</v>
      </c>
      <c r="F2156" t="s">
        <v>23</v>
      </c>
      <c r="G2156" t="s">
        <v>33</v>
      </c>
      <c r="H2156">
        <v>10</v>
      </c>
      <c r="I2156">
        <v>41</v>
      </c>
      <c r="J2156">
        <v>100</v>
      </c>
      <c r="K2156">
        <v>141</v>
      </c>
      <c r="L2156">
        <v>5803.14</v>
      </c>
      <c r="M2156">
        <v>22.14</v>
      </c>
      <c r="N2156" s="1">
        <v>38295</v>
      </c>
      <c r="O2156" t="s">
        <v>25</v>
      </c>
      <c r="P2156">
        <v>4</v>
      </c>
      <c r="Q2156">
        <v>11</v>
      </c>
      <c r="R2156">
        <v>2004</v>
      </c>
      <c r="S2156" t="s">
        <v>83</v>
      </c>
    </row>
    <row r="2157" spans="1:19" x14ac:dyDescent="0.25">
      <c r="A2157">
        <v>10215</v>
      </c>
      <c r="B2157" t="s">
        <v>225</v>
      </c>
      <c r="C2157" t="s">
        <v>100</v>
      </c>
      <c r="D2157" t="s">
        <v>101</v>
      </c>
      <c r="E2157" t="s">
        <v>22</v>
      </c>
      <c r="F2157" t="s">
        <v>23</v>
      </c>
      <c r="G2157" t="s">
        <v>24</v>
      </c>
      <c r="H2157">
        <v>10</v>
      </c>
      <c r="I2157">
        <v>27</v>
      </c>
      <c r="J2157">
        <v>89.38</v>
      </c>
      <c r="K2157">
        <v>102</v>
      </c>
      <c r="L2157">
        <v>2413.2600000000002</v>
      </c>
      <c r="M2157">
        <v>-340.74</v>
      </c>
      <c r="N2157" s="1">
        <v>38015</v>
      </c>
      <c r="O2157" t="s">
        <v>25</v>
      </c>
      <c r="P2157">
        <v>1</v>
      </c>
      <c r="Q2157">
        <v>1</v>
      </c>
      <c r="R2157">
        <v>2004</v>
      </c>
      <c r="S2157" t="s">
        <v>226</v>
      </c>
    </row>
    <row r="2158" spans="1:19" x14ac:dyDescent="0.25">
      <c r="A2158">
        <v>10312</v>
      </c>
      <c r="B2158" t="s">
        <v>225</v>
      </c>
      <c r="C2158" t="s">
        <v>115</v>
      </c>
      <c r="D2158" t="s">
        <v>116</v>
      </c>
      <c r="E2158" t="s">
        <v>22</v>
      </c>
      <c r="F2158" t="s">
        <v>23</v>
      </c>
      <c r="G2158" t="s">
        <v>33</v>
      </c>
      <c r="H2158">
        <v>10</v>
      </c>
      <c r="I2158">
        <v>43</v>
      </c>
      <c r="J2158">
        <v>89.38</v>
      </c>
      <c r="K2158">
        <v>102</v>
      </c>
      <c r="L2158">
        <v>3843.34</v>
      </c>
      <c r="M2158">
        <v>-542.66</v>
      </c>
      <c r="N2158" s="1">
        <v>38281</v>
      </c>
      <c r="O2158" t="s">
        <v>25</v>
      </c>
      <c r="P2158">
        <v>4</v>
      </c>
      <c r="Q2158">
        <v>10</v>
      </c>
      <c r="R2158">
        <v>2004</v>
      </c>
      <c r="S2158" t="s">
        <v>226</v>
      </c>
    </row>
    <row r="2159" spans="1:19" x14ac:dyDescent="0.25">
      <c r="A2159">
        <v>10182</v>
      </c>
      <c r="B2159" t="s">
        <v>240</v>
      </c>
      <c r="C2159" t="s">
        <v>115</v>
      </c>
      <c r="D2159" t="s">
        <v>116</v>
      </c>
      <c r="E2159" t="s">
        <v>22</v>
      </c>
      <c r="F2159" t="s">
        <v>23</v>
      </c>
      <c r="G2159" t="s">
        <v>70</v>
      </c>
      <c r="H2159">
        <v>10</v>
      </c>
      <c r="I2159">
        <v>44</v>
      </c>
      <c r="J2159">
        <v>100</v>
      </c>
      <c r="K2159">
        <v>170</v>
      </c>
      <c r="L2159">
        <v>7554.8</v>
      </c>
      <c r="M2159">
        <v>74.8</v>
      </c>
      <c r="N2159" s="1">
        <v>37937</v>
      </c>
      <c r="O2159" t="s">
        <v>25</v>
      </c>
      <c r="P2159">
        <v>4</v>
      </c>
      <c r="Q2159">
        <v>11</v>
      </c>
      <c r="R2159">
        <v>2003</v>
      </c>
      <c r="S2159" t="s">
        <v>226</v>
      </c>
    </row>
    <row r="2160" spans="1:19" x14ac:dyDescent="0.25">
      <c r="A2160">
        <v>10227</v>
      </c>
      <c r="B2160" t="s">
        <v>240</v>
      </c>
      <c r="C2160" t="s">
        <v>95</v>
      </c>
      <c r="D2160" t="s">
        <v>96</v>
      </c>
      <c r="E2160" t="s">
        <v>29</v>
      </c>
      <c r="F2160" t="s">
        <v>30</v>
      </c>
      <c r="G2160" t="s">
        <v>33</v>
      </c>
      <c r="H2160">
        <v>10</v>
      </c>
      <c r="I2160">
        <v>26</v>
      </c>
      <c r="J2160">
        <v>100</v>
      </c>
      <c r="K2160">
        <v>170</v>
      </c>
      <c r="L2160">
        <v>3712.8</v>
      </c>
      <c r="M2160">
        <v>-707.2</v>
      </c>
      <c r="N2160" s="1">
        <v>38048</v>
      </c>
      <c r="O2160" t="s">
        <v>25</v>
      </c>
      <c r="P2160">
        <v>1</v>
      </c>
      <c r="Q2160">
        <v>3</v>
      </c>
      <c r="R2160">
        <v>2004</v>
      </c>
      <c r="S2160" t="s">
        <v>226</v>
      </c>
    </row>
    <row r="2161" spans="1:19" x14ac:dyDescent="0.25">
      <c r="A2161">
        <v>10181</v>
      </c>
      <c r="B2161" t="s">
        <v>241</v>
      </c>
      <c r="C2161" t="s">
        <v>42</v>
      </c>
      <c r="D2161" t="s">
        <v>43</v>
      </c>
      <c r="E2161" t="s">
        <v>44</v>
      </c>
      <c r="F2161" t="s">
        <v>30</v>
      </c>
      <c r="G2161" t="s">
        <v>24</v>
      </c>
      <c r="H2161">
        <v>10</v>
      </c>
      <c r="I2161">
        <v>22</v>
      </c>
      <c r="J2161">
        <v>73.92</v>
      </c>
      <c r="K2161">
        <v>77</v>
      </c>
      <c r="L2161">
        <v>1626.24</v>
      </c>
      <c r="M2161">
        <v>-67.760000000000005</v>
      </c>
      <c r="N2161" s="1">
        <v>37937</v>
      </c>
      <c r="O2161" t="s">
        <v>25</v>
      </c>
      <c r="P2161">
        <v>4</v>
      </c>
      <c r="Q2161">
        <v>11</v>
      </c>
      <c r="R2161">
        <v>2003</v>
      </c>
      <c r="S2161" t="s">
        <v>83</v>
      </c>
    </row>
    <row r="2162" spans="1:19" x14ac:dyDescent="0.25">
      <c r="A2162">
        <v>10266</v>
      </c>
      <c r="B2162" t="s">
        <v>241</v>
      </c>
      <c r="C2162" t="s">
        <v>184</v>
      </c>
      <c r="D2162" t="s">
        <v>185</v>
      </c>
      <c r="E2162" t="s">
        <v>110</v>
      </c>
      <c r="F2162" t="s">
        <v>30</v>
      </c>
      <c r="G2162" t="s">
        <v>24</v>
      </c>
      <c r="H2162">
        <v>10</v>
      </c>
      <c r="I2162">
        <v>33</v>
      </c>
      <c r="J2162">
        <v>74.69</v>
      </c>
      <c r="K2162">
        <v>77</v>
      </c>
      <c r="L2162">
        <v>2464.77</v>
      </c>
      <c r="M2162">
        <v>-76.23</v>
      </c>
      <c r="N2162" s="1">
        <v>38174</v>
      </c>
      <c r="O2162" t="s">
        <v>25</v>
      </c>
      <c r="P2162">
        <v>3</v>
      </c>
      <c r="Q2162">
        <v>7</v>
      </c>
      <c r="R2162">
        <v>2004</v>
      </c>
      <c r="S2162" t="s">
        <v>83</v>
      </c>
    </row>
    <row r="2163" spans="1:19" x14ac:dyDescent="0.25">
      <c r="A2163">
        <v>10278</v>
      </c>
      <c r="B2163" t="s">
        <v>241</v>
      </c>
      <c r="C2163" t="s">
        <v>221</v>
      </c>
      <c r="D2163" t="s">
        <v>222</v>
      </c>
      <c r="E2163" t="s">
        <v>22</v>
      </c>
      <c r="F2163" t="s">
        <v>23</v>
      </c>
      <c r="G2163" t="s">
        <v>24</v>
      </c>
      <c r="H2163">
        <v>10</v>
      </c>
      <c r="I2163">
        <v>29</v>
      </c>
      <c r="J2163">
        <v>90.86</v>
      </c>
      <c r="K2163">
        <v>77</v>
      </c>
      <c r="L2163">
        <v>2634.94</v>
      </c>
      <c r="M2163">
        <v>401.94</v>
      </c>
      <c r="N2163" s="1">
        <v>38205</v>
      </c>
      <c r="O2163" t="s">
        <v>25</v>
      </c>
      <c r="P2163">
        <v>3</v>
      </c>
      <c r="Q2163">
        <v>8</v>
      </c>
      <c r="R2163">
        <v>2004</v>
      </c>
      <c r="S2163" t="s">
        <v>83</v>
      </c>
    </row>
    <row r="2164" spans="1:19" x14ac:dyDescent="0.25">
      <c r="A2164">
        <v>10192</v>
      </c>
      <c r="B2164" t="s">
        <v>242</v>
      </c>
      <c r="C2164" t="s">
        <v>117</v>
      </c>
      <c r="D2164" t="s">
        <v>118</v>
      </c>
      <c r="E2164" t="s">
        <v>22</v>
      </c>
      <c r="F2164" t="s">
        <v>23</v>
      </c>
      <c r="G2164" t="s">
        <v>70</v>
      </c>
      <c r="H2164">
        <v>10</v>
      </c>
      <c r="I2164">
        <v>47</v>
      </c>
      <c r="J2164">
        <v>100</v>
      </c>
      <c r="K2164">
        <v>142</v>
      </c>
      <c r="L2164">
        <v>7421.3</v>
      </c>
      <c r="M2164">
        <v>747.3</v>
      </c>
      <c r="N2164" s="1">
        <v>37945</v>
      </c>
      <c r="O2164" t="s">
        <v>25</v>
      </c>
      <c r="P2164">
        <v>4</v>
      </c>
      <c r="Q2164">
        <v>11</v>
      </c>
      <c r="R2164">
        <v>2003</v>
      </c>
      <c r="S2164" t="s">
        <v>83</v>
      </c>
    </row>
    <row r="2165" spans="1:19" x14ac:dyDescent="0.25">
      <c r="A2165">
        <v>10127</v>
      </c>
      <c r="B2165" t="s">
        <v>243</v>
      </c>
      <c r="C2165" t="s">
        <v>192</v>
      </c>
      <c r="D2165" t="s">
        <v>21</v>
      </c>
      <c r="E2165" t="s">
        <v>22</v>
      </c>
      <c r="F2165" t="s">
        <v>23</v>
      </c>
      <c r="G2165" t="s">
        <v>70</v>
      </c>
      <c r="H2165">
        <v>10</v>
      </c>
      <c r="I2165">
        <v>45</v>
      </c>
      <c r="J2165">
        <v>100</v>
      </c>
      <c r="K2165">
        <v>163</v>
      </c>
      <c r="L2165">
        <v>7146.9</v>
      </c>
      <c r="M2165">
        <v>-188.1</v>
      </c>
      <c r="N2165" s="1">
        <v>37775</v>
      </c>
      <c r="O2165" t="s">
        <v>25</v>
      </c>
      <c r="P2165">
        <v>2</v>
      </c>
      <c r="Q2165">
        <v>6</v>
      </c>
      <c r="R2165">
        <v>2003</v>
      </c>
      <c r="S2165" t="s">
        <v>83</v>
      </c>
    </row>
    <row r="2166" spans="1:19" x14ac:dyDescent="0.25">
      <c r="A2166">
        <v>10176</v>
      </c>
      <c r="B2166" t="s">
        <v>243</v>
      </c>
      <c r="C2166" t="s">
        <v>184</v>
      </c>
      <c r="D2166" t="s">
        <v>185</v>
      </c>
      <c r="E2166" t="s">
        <v>110</v>
      </c>
      <c r="F2166" t="s">
        <v>30</v>
      </c>
      <c r="G2166" t="s">
        <v>33</v>
      </c>
      <c r="H2166">
        <v>10</v>
      </c>
      <c r="I2166">
        <v>20</v>
      </c>
      <c r="J2166">
        <v>100</v>
      </c>
      <c r="K2166">
        <v>163</v>
      </c>
      <c r="L2166">
        <v>3667.6</v>
      </c>
      <c r="M2166">
        <v>407.6</v>
      </c>
      <c r="N2166" s="1">
        <v>37931</v>
      </c>
      <c r="O2166" t="s">
        <v>25</v>
      </c>
      <c r="P2166">
        <v>4</v>
      </c>
      <c r="Q2166">
        <v>11</v>
      </c>
      <c r="R2166">
        <v>2003</v>
      </c>
      <c r="S2166" t="s">
        <v>83</v>
      </c>
    </row>
    <row r="2167" spans="1:19" x14ac:dyDescent="0.25">
      <c r="A2167">
        <v>10358</v>
      </c>
      <c r="B2167" t="s">
        <v>243</v>
      </c>
      <c r="C2167" t="s">
        <v>78</v>
      </c>
      <c r="D2167" t="s">
        <v>79</v>
      </c>
      <c r="E2167" t="s">
        <v>80</v>
      </c>
      <c r="F2167" t="s">
        <v>30</v>
      </c>
      <c r="G2167" t="s">
        <v>24</v>
      </c>
      <c r="H2167">
        <v>10</v>
      </c>
      <c r="I2167">
        <v>20</v>
      </c>
      <c r="J2167">
        <v>100</v>
      </c>
      <c r="K2167">
        <v>163</v>
      </c>
      <c r="L2167">
        <v>2428</v>
      </c>
      <c r="M2167">
        <v>-832</v>
      </c>
      <c r="N2167" s="1">
        <v>38331</v>
      </c>
      <c r="O2167" t="s">
        <v>25</v>
      </c>
      <c r="P2167">
        <v>4</v>
      </c>
      <c r="Q2167">
        <v>12</v>
      </c>
      <c r="R2167">
        <v>2004</v>
      </c>
      <c r="S2167" t="s">
        <v>83</v>
      </c>
    </row>
    <row r="2168" spans="1:19" x14ac:dyDescent="0.25">
      <c r="A2168">
        <v>10149</v>
      </c>
      <c r="B2168" t="s">
        <v>244</v>
      </c>
      <c r="C2168" t="s">
        <v>214</v>
      </c>
      <c r="D2168" t="s">
        <v>215</v>
      </c>
      <c r="E2168" t="s">
        <v>22</v>
      </c>
      <c r="F2168" t="s">
        <v>23</v>
      </c>
      <c r="G2168" t="s">
        <v>24</v>
      </c>
      <c r="H2168">
        <v>10</v>
      </c>
      <c r="I2168">
        <v>24</v>
      </c>
      <c r="J2168">
        <v>62.36</v>
      </c>
      <c r="K2168">
        <v>60</v>
      </c>
      <c r="L2168">
        <v>1496.64</v>
      </c>
      <c r="M2168">
        <v>56.64</v>
      </c>
      <c r="N2168" s="1">
        <v>37876</v>
      </c>
      <c r="O2168" t="s">
        <v>25</v>
      </c>
      <c r="P2168">
        <v>3</v>
      </c>
      <c r="Q2168">
        <v>9</v>
      </c>
      <c r="R2168">
        <v>2003</v>
      </c>
      <c r="S2168" t="s">
        <v>226</v>
      </c>
    </row>
    <row r="2169" spans="1:19" x14ac:dyDescent="0.25">
      <c r="A2169">
        <v>10207</v>
      </c>
      <c r="B2169" t="s">
        <v>245</v>
      </c>
      <c r="C2169" t="s">
        <v>170</v>
      </c>
      <c r="D2169" t="s">
        <v>157</v>
      </c>
      <c r="E2169" t="s">
        <v>22</v>
      </c>
      <c r="F2169" t="s">
        <v>23</v>
      </c>
      <c r="G2169" t="s">
        <v>33</v>
      </c>
      <c r="H2169">
        <v>10</v>
      </c>
      <c r="I2169">
        <v>43</v>
      </c>
      <c r="J2169">
        <v>100</v>
      </c>
      <c r="K2169">
        <v>122</v>
      </c>
      <c r="L2169">
        <v>5752.54</v>
      </c>
      <c r="M2169">
        <v>506.54</v>
      </c>
      <c r="N2169" s="1">
        <v>37964</v>
      </c>
      <c r="O2169" t="s">
        <v>25</v>
      </c>
      <c r="P2169">
        <v>4</v>
      </c>
      <c r="Q2169">
        <v>12</v>
      </c>
      <c r="R2169">
        <v>2003</v>
      </c>
      <c r="S2169" t="s">
        <v>202</v>
      </c>
    </row>
    <row r="2170" spans="1:19" x14ac:dyDescent="0.25">
      <c r="A2170">
        <v>10324</v>
      </c>
      <c r="B2170" t="s">
        <v>245</v>
      </c>
      <c r="C2170" t="s">
        <v>51</v>
      </c>
      <c r="D2170" t="s">
        <v>21</v>
      </c>
      <c r="E2170" t="s">
        <v>22</v>
      </c>
      <c r="F2170" t="s">
        <v>23</v>
      </c>
      <c r="G2170" t="s">
        <v>24</v>
      </c>
      <c r="H2170">
        <v>10</v>
      </c>
      <c r="I2170">
        <v>33</v>
      </c>
      <c r="J2170">
        <v>37.479999999999997</v>
      </c>
      <c r="K2170">
        <v>122</v>
      </c>
      <c r="L2170">
        <v>1236.8399999999999</v>
      </c>
      <c r="M2170">
        <v>-2789.16</v>
      </c>
      <c r="N2170" s="1">
        <v>38296</v>
      </c>
      <c r="O2170" t="s">
        <v>25</v>
      </c>
      <c r="P2170">
        <v>4</v>
      </c>
      <c r="Q2170">
        <v>11</v>
      </c>
      <c r="R2170">
        <v>2004</v>
      </c>
      <c r="S2170" t="s">
        <v>202</v>
      </c>
    </row>
    <row r="2171" spans="1:19" x14ac:dyDescent="0.25">
      <c r="A2171">
        <v>10173</v>
      </c>
      <c r="B2171" t="s">
        <v>246</v>
      </c>
      <c r="C2171" t="s">
        <v>227</v>
      </c>
      <c r="D2171" t="s">
        <v>228</v>
      </c>
      <c r="E2171" t="s">
        <v>110</v>
      </c>
      <c r="F2171" t="s">
        <v>30</v>
      </c>
      <c r="G2171" t="s">
        <v>33</v>
      </c>
      <c r="H2171">
        <v>10</v>
      </c>
      <c r="I2171">
        <v>31</v>
      </c>
      <c r="J2171">
        <v>100</v>
      </c>
      <c r="K2171">
        <v>127</v>
      </c>
      <c r="L2171">
        <v>4492.83</v>
      </c>
      <c r="M2171">
        <v>555.83000000000004</v>
      </c>
      <c r="N2171" s="1">
        <v>37930</v>
      </c>
      <c r="O2171" t="s">
        <v>25</v>
      </c>
      <c r="P2171">
        <v>4</v>
      </c>
      <c r="Q2171">
        <v>11</v>
      </c>
      <c r="R2171">
        <v>2003</v>
      </c>
      <c r="S2171" t="s">
        <v>226</v>
      </c>
    </row>
    <row r="2172" spans="1:19" x14ac:dyDescent="0.25">
      <c r="A2172">
        <v>10380</v>
      </c>
      <c r="B2172" t="s">
        <v>246</v>
      </c>
      <c r="C2172" t="s">
        <v>78</v>
      </c>
      <c r="D2172" t="s">
        <v>79</v>
      </c>
      <c r="E2172" t="s">
        <v>80</v>
      </c>
      <c r="F2172" t="s">
        <v>30</v>
      </c>
      <c r="G2172" t="s">
        <v>33</v>
      </c>
      <c r="H2172">
        <v>10</v>
      </c>
      <c r="I2172">
        <v>40</v>
      </c>
      <c r="J2172">
        <v>100</v>
      </c>
      <c r="K2172">
        <v>127</v>
      </c>
      <c r="L2172">
        <v>4931.6000000000004</v>
      </c>
      <c r="M2172">
        <v>-148.4</v>
      </c>
      <c r="N2172" s="1">
        <v>38399</v>
      </c>
      <c r="O2172" t="s">
        <v>25</v>
      </c>
      <c r="P2172">
        <v>1</v>
      </c>
      <c r="Q2172">
        <v>2</v>
      </c>
      <c r="R2172">
        <v>2005</v>
      </c>
      <c r="S2172" t="s">
        <v>226</v>
      </c>
    </row>
    <row r="2173" spans="1:19" x14ac:dyDescent="0.25">
      <c r="A2173">
        <v>10259</v>
      </c>
      <c r="B2173" t="s">
        <v>247</v>
      </c>
      <c r="C2173" t="s">
        <v>171</v>
      </c>
      <c r="D2173" t="s">
        <v>89</v>
      </c>
      <c r="E2173" t="s">
        <v>89</v>
      </c>
      <c r="F2173" t="s">
        <v>50</v>
      </c>
      <c r="G2173" t="s">
        <v>24</v>
      </c>
      <c r="H2173">
        <v>10</v>
      </c>
      <c r="I2173">
        <v>30</v>
      </c>
      <c r="J2173">
        <v>49.22</v>
      </c>
      <c r="K2173">
        <v>60</v>
      </c>
      <c r="L2173">
        <v>1476.6</v>
      </c>
      <c r="M2173">
        <v>-323.39999999999998</v>
      </c>
      <c r="N2173" s="1">
        <v>38153</v>
      </c>
      <c r="O2173" t="s">
        <v>25</v>
      </c>
      <c r="P2173">
        <v>2</v>
      </c>
      <c r="Q2173">
        <v>6</v>
      </c>
      <c r="R2173">
        <v>2004</v>
      </c>
      <c r="S2173" t="s">
        <v>202</v>
      </c>
    </row>
    <row r="2174" spans="1:19" x14ac:dyDescent="0.25">
      <c r="A2174">
        <v>10425</v>
      </c>
      <c r="B2174" t="s">
        <v>247</v>
      </c>
      <c r="C2174" t="s">
        <v>56</v>
      </c>
      <c r="D2174" t="s">
        <v>57</v>
      </c>
      <c r="E2174" t="s">
        <v>29</v>
      </c>
      <c r="F2174" t="s">
        <v>30</v>
      </c>
      <c r="G2174" t="s">
        <v>24</v>
      </c>
      <c r="H2174">
        <v>10</v>
      </c>
      <c r="I2174">
        <v>19</v>
      </c>
      <c r="J2174">
        <v>49.22</v>
      </c>
      <c r="K2174">
        <v>60</v>
      </c>
      <c r="L2174">
        <v>935.18</v>
      </c>
      <c r="M2174">
        <v>-204.82</v>
      </c>
      <c r="N2174" s="1">
        <v>38503</v>
      </c>
      <c r="O2174" t="s">
        <v>125</v>
      </c>
      <c r="P2174">
        <v>2</v>
      </c>
      <c r="Q2174">
        <v>5</v>
      </c>
      <c r="R2174">
        <v>2005</v>
      </c>
      <c r="S2174" t="s">
        <v>202</v>
      </c>
    </row>
    <row r="2175" spans="1:19" x14ac:dyDescent="0.25">
      <c r="A2175">
        <v>10263</v>
      </c>
      <c r="B2175" t="s">
        <v>248</v>
      </c>
      <c r="C2175" t="s">
        <v>54</v>
      </c>
      <c r="D2175" t="s">
        <v>55</v>
      </c>
      <c r="E2175" t="s">
        <v>22</v>
      </c>
      <c r="F2175" t="s">
        <v>23</v>
      </c>
      <c r="G2175" t="s">
        <v>24</v>
      </c>
      <c r="H2175">
        <v>10</v>
      </c>
      <c r="I2175">
        <v>33</v>
      </c>
      <c r="J2175">
        <v>86.17</v>
      </c>
      <c r="K2175">
        <v>84</v>
      </c>
      <c r="L2175">
        <v>2843.61</v>
      </c>
      <c r="M2175">
        <v>71.61</v>
      </c>
      <c r="N2175" s="1">
        <v>38166</v>
      </c>
      <c r="O2175" t="s">
        <v>25</v>
      </c>
      <c r="P2175">
        <v>2</v>
      </c>
      <c r="Q2175">
        <v>6</v>
      </c>
      <c r="R2175">
        <v>2004</v>
      </c>
      <c r="S2175" t="s">
        <v>234</v>
      </c>
    </row>
    <row r="2176" spans="1:19" x14ac:dyDescent="0.25">
      <c r="A2176">
        <v>10145</v>
      </c>
      <c r="B2176" t="s">
        <v>249</v>
      </c>
      <c r="C2176" t="s">
        <v>34</v>
      </c>
      <c r="D2176" t="s">
        <v>35</v>
      </c>
      <c r="E2176" t="s">
        <v>22</v>
      </c>
      <c r="F2176" t="s">
        <v>23</v>
      </c>
      <c r="G2176" t="s">
        <v>24</v>
      </c>
      <c r="H2176">
        <v>10</v>
      </c>
      <c r="I2176">
        <v>30</v>
      </c>
      <c r="J2176">
        <v>49.67</v>
      </c>
      <c r="K2176">
        <v>60</v>
      </c>
      <c r="L2176">
        <v>1490.1</v>
      </c>
      <c r="M2176">
        <v>-309.89999999999998</v>
      </c>
      <c r="N2176" s="1">
        <v>37858</v>
      </c>
      <c r="O2176" t="s">
        <v>25</v>
      </c>
      <c r="P2176">
        <v>3</v>
      </c>
      <c r="Q2176">
        <v>8</v>
      </c>
      <c r="R2176">
        <v>2003</v>
      </c>
      <c r="S2176" t="s">
        <v>26</v>
      </c>
    </row>
    <row r="2177" spans="1:19" x14ac:dyDescent="0.25">
      <c r="A2177">
        <v>10285</v>
      </c>
      <c r="B2177" t="s">
        <v>249</v>
      </c>
      <c r="C2177" t="s">
        <v>58</v>
      </c>
      <c r="D2177" t="s">
        <v>59</v>
      </c>
      <c r="E2177" t="s">
        <v>22</v>
      </c>
      <c r="F2177" t="s">
        <v>23</v>
      </c>
      <c r="G2177" t="s">
        <v>24</v>
      </c>
      <c r="H2177">
        <v>10</v>
      </c>
      <c r="I2177">
        <v>20</v>
      </c>
      <c r="J2177">
        <v>49.06</v>
      </c>
      <c r="K2177">
        <v>60</v>
      </c>
      <c r="L2177">
        <v>981.2</v>
      </c>
      <c r="M2177">
        <v>-218.8</v>
      </c>
      <c r="N2177" s="1">
        <v>38226</v>
      </c>
      <c r="O2177" t="s">
        <v>25</v>
      </c>
      <c r="P2177">
        <v>3</v>
      </c>
      <c r="Q2177">
        <v>8</v>
      </c>
      <c r="R2177">
        <v>2004</v>
      </c>
      <c r="S2177" t="s">
        <v>26</v>
      </c>
    </row>
    <row r="2178" spans="1:19" x14ac:dyDescent="0.25">
      <c r="A2178">
        <v>10280</v>
      </c>
      <c r="B2178" t="s">
        <v>250</v>
      </c>
      <c r="C2178" t="s">
        <v>108</v>
      </c>
      <c r="D2178" t="s">
        <v>109</v>
      </c>
      <c r="E2178" t="s">
        <v>110</v>
      </c>
      <c r="F2178" t="s">
        <v>30</v>
      </c>
      <c r="G2178" t="s">
        <v>33</v>
      </c>
      <c r="H2178">
        <v>10</v>
      </c>
      <c r="I2178">
        <v>22</v>
      </c>
      <c r="J2178">
        <v>100</v>
      </c>
      <c r="K2178">
        <v>168</v>
      </c>
      <c r="L2178">
        <v>4455</v>
      </c>
      <c r="M2178">
        <v>759</v>
      </c>
      <c r="N2178" s="1">
        <v>38216</v>
      </c>
      <c r="O2178" t="s">
        <v>25</v>
      </c>
      <c r="P2178">
        <v>3</v>
      </c>
      <c r="Q2178">
        <v>8</v>
      </c>
      <c r="R2178">
        <v>2004</v>
      </c>
      <c r="S2178" t="s">
        <v>226</v>
      </c>
    </row>
    <row r="2179" spans="1:19" x14ac:dyDescent="0.25">
      <c r="A2179">
        <v>10148</v>
      </c>
      <c r="B2179" t="s">
        <v>251</v>
      </c>
      <c r="C2179" t="s">
        <v>121</v>
      </c>
      <c r="D2179" t="s">
        <v>122</v>
      </c>
      <c r="E2179" t="s">
        <v>49</v>
      </c>
      <c r="F2179" t="s">
        <v>50</v>
      </c>
      <c r="G2179" t="s">
        <v>33</v>
      </c>
      <c r="H2179">
        <v>10</v>
      </c>
      <c r="I2179">
        <v>27</v>
      </c>
      <c r="J2179">
        <v>100</v>
      </c>
      <c r="K2179">
        <v>132</v>
      </c>
      <c r="L2179">
        <v>3528.36</v>
      </c>
      <c r="M2179">
        <v>-35.64</v>
      </c>
      <c r="N2179" s="1">
        <v>37875</v>
      </c>
      <c r="O2179" t="s">
        <v>25</v>
      </c>
      <c r="P2179">
        <v>3</v>
      </c>
      <c r="Q2179">
        <v>9</v>
      </c>
      <c r="R2179">
        <v>2003</v>
      </c>
      <c r="S2179" t="s">
        <v>83</v>
      </c>
    </row>
    <row r="2180" spans="1:19" x14ac:dyDescent="0.25">
      <c r="A2180">
        <v>10311</v>
      </c>
      <c r="B2180" t="s">
        <v>251</v>
      </c>
      <c r="C2180" t="s">
        <v>78</v>
      </c>
      <c r="D2180" t="s">
        <v>79</v>
      </c>
      <c r="E2180" t="s">
        <v>80</v>
      </c>
      <c r="F2180" t="s">
        <v>30</v>
      </c>
      <c r="G2180" t="s">
        <v>33</v>
      </c>
      <c r="H2180">
        <v>10</v>
      </c>
      <c r="I2180">
        <v>43</v>
      </c>
      <c r="J2180">
        <v>100</v>
      </c>
      <c r="K2180">
        <v>132</v>
      </c>
      <c r="L2180">
        <v>5278.68</v>
      </c>
      <c r="M2180">
        <v>-397.32</v>
      </c>
      <c r="N2180" s="1">
        <v>38276</v>
      </c>
      <c r="O2180" t="s">
        <v>25</v>
      </c>
      <c r="P2180">
        <v>4</v>
      </c>
      <c r="Q2180">
        <v>10</v>
      </c>
      <c r="R2180">
        <v>2004</v>
      </c>
      <c r="S2180" t="s">
        <v>83</v>
      </c>
    </row>
    <row r="2181" spans="1:19" x14ac:dyDescent="0.25">
      <c r="A2181">
        <v>10331</v>
      </c>
      <c r="B2181" t="s">
        <v>251</v>
      </c>
      <c r="C2181" t="s">
        <v>129</v>
      </c>
      <c r="D2181" t="s">
        <v>94</v>
      </c>
      <c r="E2181" t="s">
        <v>22</v>
      </c>
      <c r="F2181" t="s">
        <v>23</v>
      </c>
      <c r="G2181" t="s">
        <v>24</v>
      </c>
      <c r="H2181">
        <v>10</v>
      </c>
      <c r="I2181">
        <v>26</v>
      </c>
      <c r="J2181">
        <v>64.900000000000006</v>
      </c>
      <c r="K2181">
        <v>132</v>
      </c>
      <c r="L2181">
        <v>1687.4</v>
      </c>
      <c r="M2181">
        <v>-1744.6</v>
      </c>
      <c r="N2181" s="1">
        <v>38308</v>
      </c>
      <c r="O2181" t="s">
        <v>25</v>
      </c>
      <c r="P2181">
        <v>4</v>
      </c>
      <c r="Q2181">
        <v>11</v>
      </c>
      <c r="R2181">
        <v>2004</v>
      </c>
      <c r="S2181" t="s">
        <v>83</v>
      </c>
    </row>
    <row r="2182" spans="1:19" x14ac:dyDescent="0.25">
      <c r="A2182">
        <v>10270</v>
      </c>
      <c r="B2182" t="s">
        <v>252</v>
      </c>
      <c r="C2182" t="s">
        <v>71</v>
      </c>
      <c r="D2182" t="s">
        <v>72</v>
      </c>
      <c r="E2182" t="s">
        <v>49</v>
      </c>
      <c r="F2182" t="s">
        <v>50</v>
      </c>
      <c r="G2182" t="s">
        <v>24</v>
      </c>
      <c r="H2182">
        <v>10</v>
      </c>
      <c r="I2182">
        <v>31</v>
      </c>
      <c r="J2182">
        <v>96.24</v>
      </c>
      <c r="K2182">
        <v>101</v>
      </c>
      <c r="L2182">
        <v>2983.44</v>
      </c>
      <c r="M2182">
        <v>-147.56</v>
      </c>
      <c r="N2182" s="1">
        <v>38187</v>
      </c>
      <c r="O2182" t="s">
        <v>25</v>
      </c>
      <c r="P2182">
        <v>3</v>
      </c>
      <c r="Q2182">
        <v>7</v>
      </c>
      <c r="R2182">
        <v>2004</v>
      </c>
      <c r="S2182" t="s">
        <v>226</v>
      </c>
    </row>
    <row r="2183" spans="1:19" x14ac:dyDescent="0.25">
      <c r="A2183">
        <v>10347</v>
      </c>
      <c r="B2183" t="s">
        <v>253</v>
      </c>
      <c r="C2183" t="s">
        <v>47</v>
      </c>
      <c r="D2183" t="s">
        <v>48</v>
      </c>
      <c r="E2183" t="s">
        <v>49</v>
      </c>
      <c r="F2183" t="s">
        <v>50</v>
      </c>
      <c r="G2183" t="s">
        <v>24</v>
      </c>
      <c r="H2183">
        <v>10</v>
      </c>
      <c r="I2183">
        <v>34</v>
      </c>
      <c r="J2183">
        <v>64.959999999999994</v>
      </c>
      <c r="K2183">
        <v>62</v>
      </c>
      <c r="L2183">
        <v>2208.64</v>
      </c>
      <c r="M2183">
        <v>100.64</v>
      </c>
      <c r="N2183" s="1">
        <v>38320</v>
      </c>
      <c r="O2183" t="s">
        <v>25</v>
      </c>
      <c r="P2183">
        <v>4</v>
      </c>
      <c r="Q2183">
        <v>11</v>
      </c>
      <c r="R2183">
        <v>2004</v>
      </c>
      <c r="S2183" t="s">
        <v>226</v>
      </c>
    </row>
    <row r="2184" spans="1:19" x14ac:dyDescent="0.25">
      <c r="A2184">
        <v>10178</v>
      </c>
      <c r="B2184" t="s">
        <v>254</v>
      </c>
      <c r="C2184" t="s">
        <v>142</v>
      </c>
      <c r="D2184" t="s">
        <v>143</v>
      </c>
      <c r="E2184" t="s">
        <v>29</v>
      </c>
      <c r="F2184" t="s">
        <v>30</v>
      </c>
      <c r="G2184" t="s">
        <v>33</v>
      </c>
      <c r="H2184">
        <v>10</v>
      </c>
      <c r="I2184">
        <v>41</v>
      </c>
      <c r="J2184">
        <v>81.72</v>
      </c>
      <c r="K2184">
        <v>86</v>
      </c>
      <c r="L2184">
        <v>3350.52</v>
      </c>
      <c r="M2184">
        <v>-175.48</v>
      </c>
      <c r="N2184" s="1">
        <v>37933</v>
      </c>
      <c r="O2184" t="s">
        <v>25</v>
      </c>
      <c r="P2184">
        <v>4</v>
      </c>
      <c r="Q2184">
        <v>11</v>
      </c>
      <c r="R2184">
        <v>2003</v>
      </c>
      <c r="S2184" t="s">
        <v>255</v>
      </c>
    </row>
    <row r="2185" spans="1:19" x14ac:dyDescent="0.25">
      <c r="A2185">
        <v>10222</v>
      </c>
      <c r="B2185" t="s">
        <v>254</v>
      </c>
      <c r="C2185" t="s">
        <v>149</v>
      </c>
      <c r="D2185" t="s">
        <v>150</v>
      </c>
      <c r="E2185" t="s">
        <v>22</v>
      </c>
      <c r="F2185" t="s">
        <v>23</v>
      </c>
      <c r="G2185" t="s">
        <v>33</v>
      </c>
      <c r="H2185">
        <v>10</v>
      </c>
      <c r="I2185">
        <v>49</v>
      </c>
      <c r="J2185">
        <v>94.62</v>
      </c>
      <c r="K2185">
        <v>86</v>
      </c>
      <c r="L2185">
        <v>4636.38</v>
      </c>
      <c r="M2185">
        <v>422.38</v>
      </c>
      <c r="N2185" s="1">
        <v>38036</v>
      </c>
      <c r="O2185" t="s">
        <v>25</v>
      </c>
      <c r="P2185">
        <v>1</v>
      </c>
      <c r="Q2185">
        <v>2</v>
      </c>
      <c r="R2185">
        <v>2004</v>
      </c>
      <c r="S2185" t="s">
        <v>255</v>
      </c>
    </row>
    <row r="2186" spans="1:19" x14ac:dyDescent="0.25">
      <c r="A2186">
        <v>10150</v>
      </c>
      <c r="B2186" t="s">
        <v>257</v>
      </c>
      <c r="C2186" t="s">
        <v>88</v>
      </c>
      <c r="D2186" t="s">
        <v>89</v>
      </c>
      <c r="E2186" t="s">
        <v>89</v>
      </c>
      <c r="F2186" t="s">
        <v>50</v>
      </c>
      <c r="G2186" t="s">
        <v>24</v>
      </c>
      <c r="H2186">
        <v>10</v>
      </c>
      <c r="I2186">
        <v>26</v>
      </c>
      <c r="J2186">
        <v>100</v>
      </c>
      <c r="K2186">
        <v>104</v>
      </c>
      <c r="L2186">
        <v>2804.36</v>
      </c>
      <c r="M2186">
        <v>100.36</v>
      </c>
      <c r="N2186" s="1">
        <v>37883</v>
      </c>
      <c r="O2186" t="s">
        <v>25</v>
      </c>
      <c r="P2186">
        <v>3</v>
      </c>
      <c r="Q2186">
        <v>9</v>
      </c>
      <c r="R2186">
        <v>2003</v>
      </c>
      <c r="S2186" t="s">
        <v>226</v>
      </c>
    </row>
    <row r="2187" spans="1:19" x14ac:dyDescent="0.25">
      <c r="A2187">
        <v>10183</v>
      </c>
      <c r="B2187" t="s">
        <v>257</v>
      </c>
      <c r="C2187" t="s">
        <v>93</v>
      </c>
      <c r="D2187" t="s">
        <v>94</v>
      </c>
      <c r="E2187" t="s">
        <v>22</v>
      </c>
      <c r="F2187" t="s">
        <v>23</v>
      </c>
      <c r="G2187" t="s">
        <v>24</v>
      </c>
      <c r="H2187">
        <v>10</v>
      </c>
      <c r="I2187">
        <v>22</v>
      </c>
      <c r="J2187">
        <v>100</v>
      </c>
      <c r="K2187">
        <v>104</v>
      </c>
      <c r="L2187">
        <v>2488.1999999999998</v>
      </c>
      <c r="M2187">
        <v>200.2</v>
      </c>
      <c r="N2187" s="1">
        <v>37938</v>
      </c>
      <c r="O2187" t="s">
        <v>25</v>
      </c>
      <c r="P2187">
        <v>4</v>
      </c>
      <c r="Q2187">
        <v>11</v>
      </c>
      <c r="R2187">
        <v>2003</v>
      </c>
      <c r="S2187" t="s">
        <v>226</v>
      </c>
    </row>
    <row r="2188" spans="1:19" x14ac:dyDescent="0.25">
      <c r="A2188">
        <v>10184</v>
      </c>
      <c r="B2188" t="s">
        <v>259</v>
      </c>
      <c r="C2188" t="s">
        <v>212</v>
      </c>
      <c r="D2188" t="s">
        <v>213</v>
      </c>
      <c r="E2188" t="s">
        <v>80</v>
      </c>
      <c r="F2188" t="s">
        <v>30</v>
      </c>
      <c r="G2188" t="s">
        <v>33</v>
      </c>
      <c r="H2188">
        <v>10</v>
      </c>
      <c r="I2188">
        <v>28</v>
      </c>
      <c r="J2188">
        <v>100</v>
      </c>
      <c r="K2188">
        <v>169</v>
      </c>
      <c r="L2188">
        <v>4409.72</v>
      </c>
      <c r="M2188">
        <v>-322.27999999999997</v>
      </c>
      <c r="N2188" s="1">
        <v>37939</v>
      </c>
      <c r="O2188" t="s">
        <v>25</v>
      </c>
      <c r="P2188">
        <v>4</v>
      </c>
      <c r="Q2188">
        <v>11</v>
      </c>
      <c r="R2188">
        <v>2003</v>
      </c>
      <c r="S2188" t="s">
        <v>83</v>
      </c>
    </row>
    <row r="2189" spans="1:19" x14ac:dyDescent="0.25">
      <c r="A2189">
        <v>10195</v>
      </c>
      <c r="B2189" t="s">
        <v>259</v>
      </c>
      <c r="C2189" t="s">
        <v>131</v>
      </c>
      <c r="D2189" t="s">
        <v>132</v>
      </c>
      <c r="E2189" t="s">
        <v>22</v>
      </c>
      <c r="F2189" t="s">
        <v>23</v>
      </c>
      <c r="G2189" t="s">
        <v>70</v>
      </c>
      <c r="H2189">
        <v>10</v>
      </c>
      <c r="I2189">
        <v>50</v>
      </c>
      <c r="J2189">
        <v>100</v>
      </c>
      <c r="K2189">
        <v>169</v>
      </c>
      <c r="L2189">
        <v>7620.5</v>
      </c>
      <c r="M2189">
        <v>-829.5</v>
      </c>
      <c r="N2189" s="1">
        <v>37950</v>
      </c>
      <c r="O2189" t="s">
        <v>25</v>
      </c>
      <c r="P2189">
        <v>4</v>
      </c>
      <c r="Q2189">
        <v>11</v>
      </c>
      <c r="R2189">
        <v>2003</v>
      </c>
      <c r="S2189" t="s">
        <v>83</v>
      </c>
    </row>
    <row r="2190" spans="1:19" x14ac:dyDescent="0.25">
      <c r="A2190">
        <v>10142</v>
      </c>
      <c r="B2190" t="s">
        <v>260</v>
      </c>
      <c r="C2190" t="s">
        <v>115</v>
      </c>
      <c r="D2190" t="s">
        <v>116</v>
      </c>
      <c r="E2190" t="s">
        <v>22</v>
      </c>
      <c r="F2190" t="s">
        <v>23</v>
      </c>
      <c r="G2190" t="s">
        <v>24</v>
      </c>
      <c r="H2190">
        <v>10</v>
      </c>
      <c r="I2190">
        <v>22</v>
      </c>
      <c r="J2190">
        <v>97.81</v>
      </c>
      <c r="K2190">
        <v>100</v>
      </c>
      <c r="L2190">
        <v>2151.8200000000002</v>
      </c>
      <c r="M2190">
        <v>-48.18</v>
      </c>
      <c r="N2190" s="1">
        <v>37841</v>
      </c>
      <c r="O2190" t="s">
        <v>25</v>
      </c>
      <c r="P2190">
        <v>3</v>
      </c>
      <c r="Q2190">
        <v>8</v>
      </c>
      <c r="R2190">
        <v>2003</v>
      </c>
      <c r="S2190" t="s">
        <v>261</v>
      </c>
    </row>
    <row r="2191" spans="1:19" x14ac:dyDescent="0.25">
      <c r="A2191">
        <v>10135</v>
      </c>
      <c r="B2191" t="s">
        <v>262</v>
      </c>
      <c r="C2191" t="s">
        <v>115</v>
      </c>
      <c r="D2191" t="s">
        <v>116</v>
      </c>
      <c r="E2191" t="s">
        <v>22</v>
      </c>
      <c r="F2191" t="s">
        <v>23</v>
      </c>
      <c r="G2191" t="s">
        <v>33</v>
      </c>
      <c r="H2191">
        <v>10</v>
      </c>
      <c r="I2191">
        <v>45</v>
      </c>
      <c r="J2191">
        <v>78</v>
      </c>
      <c r="K2191">
        <v>80</v>
      </c>
      <c r="L2191">
        <v>3510</v>
      </c>
      <c r="M2191">
        <v>-90</v>
      </c>
      <c r="N2191" s="1">
        <v>37804</v>
      </c>
      <c r="O2191" t="s">
        <v>25</v>
      </c>
      <c r="P2191">
        <v>3</v>
      </c>
      <c r="Q2191">
        <v>7</v>
      </c>
      <c r="R2191">
        <v>2003</v>
      </c>
      <c r="S2191" t="s">
        <v>83</v>
      </c>
    </row>
    <row r="2192" spans="1:19" x14ac:dyDescent="0.25">
      <c r="A2192">
        <v>10147</v>
      </c>
      <c r="B2192" t="s">
        <v>262</v>
      </c>
      <c r="C2192" t="s">
        <v>119</v>
      </c>
      <c r="D2192" t="s">
        <v>120</v>
      </c>
      <c r="E2192" t="s">
        <v>22</v>
      </c>
      <c r="F2192" t="s">
        <v>23</v>
      </c>
      <c r="G2192" t="s">
        <v>33</v>
      </c>
      <c r="H2192">
        <v>10</v>
      </c>
      <c r="I2192">
        <v>36</v>
      </c>
      <c r="J2192">
        <v>86.04</v>
      </c>
      <c r="K2192">
        <v>80</v>
      </c>
      <c r="L2192">
        <v>3097.44</v>
      </c>
      <c r="M2192">
        <v>217.44</v>
      </c>
      <c r="N2192" s="1">
        <v>37869</v>
      </c>
      <c r="O2192" t="s">
        <v>25</v>
      </c>
      <c r="P2192">
        <v>3</v>
      </c>
      <c r="Q2192">
        <v>9</v>
      </c>
      <c r="R2192">
        <v>2003</v>
      </c>
      <c r="S2192" t="s">
        <v>83</v>
      </c>
    </row>
    <row r="2193" spans="1:19" x14ac:dyDescent="0.25">
      <c r="A2193">
        <v>10329</v>
      </c>
      <c r="B2193" t="s">
        <v>262</v>
      </c>
      <c r="C2193" t="s">
        <v>20</v>
      </c>
      <c r="D2193" t="s">
        <v>21</v>
      </c>
      <c r="E2193" t="s">
        <v>22</v>
      </c>
      <c r="F2193" t="s">
        <v>23</v>
      </c>
      <c r="G2193" t="s">
        <v>24</v>
      </c>
      <c r="H2193">
        <v>10</v>
      </c>
      <c r="I2193">
        <v>38</v>
      </c>
      <c r="J2193">
        <v>59.1</v>
      </c>
      <c r="K2193">
        <v>80</v>
      </c>
      <c r="L2193">
        <v>2245.8000000000002</v>
      </c>
      <c r="M2193">
        <v>-794.2</v>
      </c>
      <c r="N2193" s="1">
        <v>38306</v>
      </c>
      <c r="O2193" t="s">
        <v>25</v>
      </c>
      <c r="P2193">
        <v>4</v>
      </c>
      <c r="Q2193">
        <v>11</v>
      </c>
      <c r="R2193">
        <v>2004</v>
      </c>
      <c r="S2193" t="s">
        <v>83</v>
      </c>
    </row>
    <row r="2194" spans="1:19" x14ac:dyDescent="0.25">
      <c r="A2194">
        <v>10363</v>
      </c>
      <c r="B2194" t="s">
        <v>262</v>
      </c>
      <c r="C2194" t="s">
        <v>189</v>
      </c>
      <c r="D2194" t="s">
        <v>190</v>
      </c>
      <c r="E2194" t="s">
        <v>62</v>
      </c>
      <c r="F2194" t="s">
        <v>30</v>
      </c>
      <c r="G2194" t="s">
        <v>24</v>
      </c>
      <c r="H2194">
        <v>10</v>
      </c>
      <c r="I2194">
        <v>46</v>
      </c>
      <c r="J2194">
        <v>60.3</v>
      </c>
      <c r="K2194">
        <v>80</v>
      </c>
      <c r="L2194">
        <v>2773.8</v>
      </c>
      <c r="M2194">
        <v>-906.2</v>
      </c>
      <c r="N2194" s="1">
        <v>38358</v>
      </c>
      <c r="O2194" t="s">
        <v>25</v>
      </c>
      <c r="P2194">
        <v>1</v>
      </c>
      <c r="Q2194">
        <v>1</v>
      </c>
      <c r="R2194">
        <v>2005</v>
      </c>
      <c r="S2194" t="s">
        <v>83</v>
      </c>
    </row>
    <row r="2195" spans="1:19" x14ac:dyDescent="0.25">
      <c r="A2195">
        <v>10203</v>
      </c>
      <c r="B2195" t="s">
        <v>264</v>
      </c>
      <c r="C2195" t="s">
        <v>78</v>
      </c>
      <c r="D2195" t="s">
        <v>79</v>
      </c>
      <c r="E2195" t="s">
        <v>80</v>
      </c>
      <c r="F2195" t="s">
        <v>30</v>
      </c>
      <c r="G2195" t="s">
        <v>33</v>
      </c>
      <c r="H2195">
        <v>10</v>
      </c>
      <c r="I2195">
        <v>32</v>
      </c>
      <c r="J2195">
        <v>100</v>
      </c>
      <c r="K2195">
        <v>146</v>
      </c>
      <c r="L2195">
        <v>5127.04</v>
      </c>
      <c r="M2195">
        <v>455.04</v>
      </c>
      <c r="N2195" s="1">
        <v>37957</v>
      </c>
      <c r="O2195" t="s">
        <v>25</v>
      </c>
      <c r="P2195">
        <v>4</v>
      </c>
      <c r="Q2195">
        <v>12</v>
      </c>
      <c r="R2195">
        <v>2003</v>
      </c>
      <c r="S2195" t="s">
        <v>83</v>
      </c>
    </row>
    <row r="2196" spans="1:19" x14ac:dyDescent="0.25">
      <c r="A2196">
        <v>10378</v>
      </c>
      <c r="B2196" t="s">
        <v>264</v>
      </c>
      <c r="C2196" t="s">
        <v>78</v>
      </c>
      <c r="D2196" t="s">
        <v>79</v>
      </c>
      <c r="E2196" t="s">
        <v>80</v>
      </c>
      <c r="F2196" t="s">
        <v>30</v>
      </c>
      <c r="G2196" t="s">
        <v>33</v>
      </c>
      <c r="H2196">
        <v>10</v>
      </c>
      <c r="I2196">
        <v>43</v>
      </c>
      <c r="J2196">
        <v>96.49</v>
      </c>
      <c r="K2196">
        <v>146</v>
      </c>
      <c r="L2196">
        <v>4149.07</v>
      </c>
      <c r="M2196">
        <v>-2128.9299999999998</v>
      </c>
      <c r="N2196" s="1">
        <v>38393</v>
      </c>
      <c r="O2196" t="s">
        <v>25</v>
      </c>
      <c r="P2196">
        <v>1</v>
      </c>
      <c r="Q2196">
        <v>2</v>
      </c>
      <c r="R2196">
        <v>2005</v>
      </c>
      <c r="S2196" t="s">
        <v>83</v>
      </c>
    </row>
    <row r="2197" spans="1:19" x14ac:dyDescent="0.25">
      <c r="A2197">
        <v>10161</v>
      </c>
      <c r="B2197" t="s">
        <v>265</v>
      </c>
      <c r="C2197" t="s">
        <v>199</v>
      </c>
      <c r="D2197" t="s">
        <v>200</v>
      </c>
      <c r="E2197" t="s">
        <v>137</v>
      </c>
      <c r="F2197" t="s">
        <v>30</v>
      </c>
      <c r="G2197" t="s">
        <v>33</v>
      </c>
      <c r="H2197">
        <v>10</v>
      </c>
      <c r="I2197">
        <v>36</v>
      </c>
      <c r="J2197">
        <v>100</v>
      </c>
      <c r="K2197">
        <v>141</v>
      </c>
      <c r="L2197">
        <v>5544</v>
      </c>
      <c r="M2197">
        <v>468</v>
      </c>
      <c r="N2197" s="1">
        <v>37911</v>
      </c>
      <c r="O2197" t="s">
        <v>25</v>
      </c>
      <c r="P2197">
        <v>4</v>
      </c>
      <c r="Q2197">
        <v>10</v>
      </c>
      <c r="R2197">
        <v>2003</v>
      </c>
      <c r="S2197" t="s">
        <v>83</v>
      </c>
    </row>
    <row r="2198" spans="1:19" x14ac:dyDescent="0.25">
      <c r="A2198">
        <v>10155</v>
      </c>
      <c r="B2198" t="s">
        <v>267</v>
      </c>
      <c r="C2198" t="s">
        <v>60</v>
      </c>
      <c r="D2198" t="s">
        <v>61</v>
      </c>
      <c r="E2198" t="s">
        <v>62</v>
      </c>
      <c r="F2198" t="s">
        <v>30</v>
      </c>
      <c r="G2198" t="s">
        <v>33</v>
      </c>
      <c r="H2198">
        <v>10</v>
      </c>
      <c r="I2198">
        <v>29</v>
      </c>
      <c r="J2198">
        <v>100</v>
      </c>
      <c r="K2198">
        <v>105</v>
      </c>
      <c r="L2198">
        <v>3622.97</v>
      </c>
      <c r="M2198">
        <v>577.97</v>
      </c>
      <c r="N2198" s="1">
        <v>37900</v>
      </c>
      <c r="O2198" t="s">
        <v>25</v>
      </c>
      <c r="P2198">
        <v>4</v>
      </c>
      <c r="Q2198">
        <v>10</v>
      </c>
      <c r="R2198">
        <v>2003</v>
      </c>
      <c r="S2198" t="s">
        <v>226</v>
      </c>
    </row>
    <row r="2199" spans="1:19" x14ac:dyDescent="0.25">
      <c r="A2199">
        <v>10162</v>
      </c>
      <c r="B2199" t="s">
        <v>269</v>
      </c>
      <c r="C2199" t="s">
        <v>36</v>
      </c>
      <c r="D2199" t="s">
        <v>37</v>
      </c>
      <c r="E2199" t="s">
        <v>22</v>
      </c>
      <c r="F2199" t="s">
        <v>23</v>
      </c>
      <c r="G2199" t="s">
        <v>33</v>
      </c>
      <c r="H2199">
        <v>10</v>
      </c>
      <c r="I2199">
        <v>39</v>
      </c>
      <c r="J2199">
        <v>100</v>
      </c>
      <c r="K2199">
        <v>92</v>
      </c>
      <c r="L2199">
        <v>3912.09</v>
      </c>
      <c r="M2199">
        <v>324.08999999999997</v>
      </c>
      <c r="N2199" s="1">
        <v>37912</v>
      </c>
      <c r="O2199" t="s">
        <v>25</v>
      </c>
      <c r="P2199">
        <v>4</v>
      </c>
      <c r="Q2199">
        <v>10</v>
      </c>
      <c r="R2199">
        <v>2003</v>
      </c>
      <c r="S2199" t="s">
        <v>226</v>
      </c>
    </row>
    <row r="2200" spans="1:19" x14ac:dyDescent="0.25">
      <c r="A2200">
        <v>10105</v>
      </c>
      <c r="B2200" t="s">
        <v>270</v>
      </c>
      <c r="C2200" t="s">
        <v>135</v>
      </c>
      <c r="D2200" t="s">
        <v>136</v>
      </c>
      <c r="E2200" t="s">
        <v>137</v>
      </c>
      <c r="F2200" t="s">
        <v>30</v>
      </c>
      <c r="G2200" t="s">
        <v>33</v>
      </c>
      <c r="H2200">
        <v>10</v>
      </c>
      <c r="I2200">
        <v>41</v>
      </c>
      <c r="J2200">
        <v>82.5</v>
      </c>
      <c r="K2200">
        <v>87</v>
      </c>
      <c r="L2200">
        <v>3382.5</v>
      </c>
      <c r="M2200">
        <v>-184.5</v>
      </c>
      <c r="N2200" s="1">
        <v>37663</v>
      </c>
      <c r="O2200" t="s">
        <v>25</v>
      </c>
      <c r="P2200">
        <v>1</v>
      </c>
      <c r="Q2200">
        <v>2</v>
      </c>
      <c r="R2200">
        <v>2003</v>
      </c>
      <c r="S2200" t="s">
        <v>226</v>
      </c>
    </row>
    <row r="2201" spans="1:19" x14ac:dyDescent="0.25">
      <c r="A2201">
        <v>10175</v>
      </c>
      <c r="B2201" t="s">
        <v>271</v>
      </c>
      <c r="C2201" t="s">
        <v>138</v>
      </c>
      <c r="D2201" t="s">
        <v>139</v>
      </c>
      <c r="E2201" t="s">
        <v>77</v>
      </c>
      <c r="F2201" t="s">
        <v>30</v>
      </c>
      <c r="G2201" t="s">
        <v>33</v>
      </c>
      <c r="H2201">
        <v>10</v>
      </c>
      <c r="I2201">
        <v>47</v>
      </c>
      <c r="J2201">
        <v>100</v>
      </c>
      <c r="K2201">
        <v>121</v>
      </c>
      <c r="L2201">
        <v>5121.59</v>
      </c>
      <c r="M2201">
        <v>-565.41</v>
      </c>
      <c r="N2201" s="1">
        <v>37931</v>
      </c>
      <c r="O2201" t="s">
        <v>25</v>
      </c>
      <c r="P2201">
        <v>4</v>
      </c>
      <c r="Q2201">
        <v>11</v>
      </c>
      <c r="R2201">
        <v>2003</v>
      </c>
      <c r="S2201" t="s">
        <v>202</v>
      </c>
    </row>
    <row r="2202" spans="1:19" x14ac:dyDescent="0.25">
      <c r="A2202">
        <v>10229</v>
      </c>
      <c r="B2202" t="s">
        <v>271</v>
      </c>
      <c r="C2202" t="s">
        <v>115</v>
      </c>
      <c r="D2202" t="s">
        <v>116</v>
      </c>
      <c r="E2202" t="s">
        <v>22</v>
      </c>
      <c r="F2202" t="s">
        <v>23</v>
      </c>
      <c r="G2202" t="s">
        <v>33</v>
      </c>
      <c r="H2202">
        <v>10</v>
      </c>
      <c r="I2202">
        <v>41</v>
      </c>
      <c r="J2202">
        <v>100</v>
      </c>
      <c r="K2202">
        <v>121</v>
      </c>
      <c r="L2202">
        <v>4716.2299999999996</v>
      </c>
      <c r="M2202">
        <v>-244.77</v>
      </c>
      <c r="N2202" s="1">
        <v>38057</v>
      </c>
      <c r="O2202" t="s">
        <v>25</v>
      </c>
      <c r="P2202">
        <v>1</v>
      </c>
      <c r="Q2202">
        <v>3</v>
      </c>
      <c r="R2202">
        <v>2004</v>
      </c>
      <c r="S2202" t="s">
        <v>202</v>
      </c>
    </row>
    <row r="2203" spans="1:19" x14ac:dyDescent="0.25">
      <c r="A2203">
        <v>10281</v>
      </c>
      <c r="B2203" t="s">
        <v>271</v>
      </c>
      <c r="C2203" t="s">
        <v>65</v>
      </c>
      <c r="D2203" t="s">
        <v>66</v>
      </c>
      <c r="E2203" t="s">
        <v>22</v>
      </c>
      <c r="F2203" t="s">
        <v>23</v>
      </c>
      <c r="G2203" t="s">
        <v>24</v>
      </c>
      <c r="H2203">
        <v>10</v>
      </c>
      <c r="I2203">
        <v>25</v>
      </c>
      <c r="J2203">
        <v>99.29</v>
      </c>
      <c r="K2203">
        <v>121</v>
      </c>
      <c r="L2203">
        <v>2482.25</v>
      </c>
      <c r="M2203">
        <v>-542.75</v>
      </c>
      <c r="N2203" s="1">
        <v>38218</v>
      </c>
      <c r="O2203" t="s">
        <v>25</v>
      </c>
      <c r="P2203">
        <v>3</v>
      </c>
      <c r="Q2203">
        <v>8</v>
      </c>
      <c r="R2203">
        <v>2004</v>
      </c>
      <c r="S2203" t="s">
        <v>202</v>
      </c>
    </row>
    <row r="2204" spans="1:19" x14ac:dyDescent="0.25">
      <c r="A2204">
        <v>10204</v>
      </c>
      <c r="B2204" t="s">
        <v>275</v>
      </c>
      <c r="C2204" t="s">
        <v>192</v>
      </c>
      <c r="D2204" t="s">
        <v>21</v>
      </c>
      <c r="E2204" t="s">
        <v>22</v>
      </c>
      <c r="F2204" t="s">
        <v>23</v>
      </c>
      <c r="G2204" t="s">
        <v>24</v>
      </c>
      <c r="H2204">
        <v>10</v>
      </c>
      <c r="I2204">
        <v>20</v>
      </c>
      <c r="J2204">
        <v>62.47</v>
      </c>
      <c r="K2204">
        <v>73</v>
      </c>
      <c r="L2204">
        <v>1249.4000000000001</v>
      </c>
      <c r="M2204">
        <v>-210.6</v>
      </c>
      <c r="N2204" s="1">
        <v>37957</v>
      </c>
      <c r="O2204" t="s">
        <v>25</v>
      </c>
      <c r="P2204">
        <v>4</v>
      </c>
      <c r="Q2204">
        <v>12</v>
      </c>
      <c r="R2204">
        <v>2003</v>
      </c>
      <c r="S2204" t="s">
        <v>83</v>
      </c>
    </row>
    <row r="2205" spans="1:19" x14ac:dyDescent="0.25">
      <c r="A2205">
        <v>10367</v>
      </c>
      <c r="B2205" t="s">
        <v>275</v>
      </c>
      <c r="C2205" t="s">
        <v>34</v>
      </c>
      <c r="D2205" t="s">
        <v>35</v>
      </c>
      <c r="E2205" t="s">
        <v>22</v>
      </c>
      <c r="F2205" t="s">
        <v>23</v>
      </c>
      <c r="G2205" t="s">
        <v>24</v>
      </c>
      <c r="H2205">
        <v>10</v>
      </c>
      <c r="I2205">
        <v>21</v>
      </c>
      <c r="J2205">
        <v>60.37</v>
      </c>
      <c r="K2205">
        <v>73</v>
      </c>
      <c r="L2205">
        <v>1267.77</v>
      </c>
      <c r="M2205">
        <v>-265.23</v>
      </c>
      <c r="N2205" s="1">
        <v>38364</v>
      </c>
      <c r="O2205" t="s">
        <v>169</v>
      </c>
      <c r="P2205">
        <v>1</v>
      </c>
      <c r="Q2205">
        <v>1</v>
      </c>
      <c r="R2205">
        <v>2005</v>
      </c>
      <c r="S2205" t="s">
        <v>83</v>
      </c>
    </row>
    <row r="2206" spans="1:19" x14ac:dyDescent="0.25">
      <c r="A2206">
        <v>10180</v>
      </c>
      <c r="B2206" t="s">
        <v>277</v>
      </c>
      <c r="C2206" t="s">
        <v>40</v>
      </c>
      <c r="D2206" t="s">
        <v>41</v>
      </c>
      <c r="E2206" t="s">
        <v>29</v>
      </c>
      <c r="F2206" t="s">
        <v>30</v>
      </c>
      <c r="G2206" t="s">
        <v>33</v>
      </c>
      <c r="H2206">
        <v>10</v>
      </c>
      <c r="I2206">
        <v>48</v>
      </c>
      <c r="J2206">
        <v>100</v>
      </c>
      <c r="K2206">
        <v>112</v>
      </c>
      <c r="L2206">
        <v>5355.36</v>
      </c>
      <c r="M2206">
        <v>-20.64</v>
      </c>
      <c r="N2206" s="1">
        <v>37936</v>
      </c>
      <c r="O2206" t="s">
        <v>25</v>
      </c>
      <c r="P2206">
        <v>4</v>
      </c>
      <c r="Q2206">
        <v>11</v>
      </c>
      <c r="R2206">
        <v>2003</v>
      </c>
      <c r="S2206" t="s">
        <v>26</v>
      </c>
    </row>
    <row r="2207" spans="1:19" x14ac:dyDescent="0.25">
      <c r="A2207">
        <v>10299</v>
      </c>
      <c r="B2207" t="s">
        <v>277</v>
      </c>
      <c r="C2207" t="s">
        <v>60</v>
      </c>
      <c r="D2207" t="s">
        <v>61</v>
      </c>
      <c r="E2207" t="s">
        <v>62</v>
      </c>
      <c r="F2207" t="s">
        <v>30</v>
      </c>
      <c r="G2207" t="s">
        <v>33</v>
      </c>
      <c r="H2207">
        <v>10</v>
      </c>
      <c r="I2207">
        <v>47</v>
      </c>
      <c r="J2207">
        <v>100</v>
      </c>
      <c r="K2207">
        <v>112</v>
      </c>
      <c r="L2207">
        <v>5455.76</v>
      </c>
      <c r="M2207">
        <v>191.76</v>
      </c>
      <c r="N2207" s="1">
        <v>38260</v>
      </c>
      <c r="O2207" t="s">
        <v>25</v>
      </c>
      <c r="P2207">
        <v>3</v>
      </c>
      <c r="Q2207">
        <v>9</v>
      </c>
      <c r="R2207">
        <v>2004</v>
      </c>
      <c r="S2207" t="s">
        <v>26</v>
      </c>
    </row>
    <row r="2208" spans="1:19" x14ac:dyDescent="0.25">
      <c r="A2208">
        <v>10339</v>
      </c>
      <c r="B2208" t="s">
        <v>277</v>
      </c>
      <c r="C2208" t="s">
        <v>105</v>
      </c>
      <c r="D2208" t="s">
        <v>106</v>
      </c>
      <c r="E2208" t="s">
        <v>107</v>
      </c>
      <c r="F2208" t="s">
        <v>50</v>
      </c>
      <c r="G2208" t="s">
        <v>24</v>
      </c>
      <c r="H2208">
        <v>10</v>
      </c>
      <c r="I2208">
        <v>27</v>
      </c>
      <c r="J2208">
        <v>84.39</v>
      </c>
      <c r="K2208">
        <v>112</v>
      </c>
      <c r="L2208">
        <v>2278.5300000000002</v>
      </c>
      <c r="M2208">
        <v>-745.47</v>
      </c>
      <c r="N2208" s="1">
        <v>38314</v>
      </c>
      <c r="O2208" t="s">
        <v>25</v>
      </c>
      <c r="P2208">
        <v>4</v>
      </c>
      <c r="Q2208">
        <v>11</v>
      </c>
      <c r="R2208">
        <v>2004</v>
      </c>
      <c r="S2208" t="s">
        <v>26</v>
      </c>
    </row>
    <row r="2209" spans="1:19" x14ac:dyDescent="0.25">
      <c r="A2209">
        <v>10241</v>
      </c>
      <c r="B2209" t="s">
        <v>278</v>
      </c>
      <c r="C2209" t="s">
        <v>217</v>
      </c>
      <c r="D2209" t="s">
        <v>218</v>
      </c>
      <c r="E2209" t="s">
        <v>29</v>
      </c>
      <c r="F2209" t="s">
        <v>30</v>
      </c>
      <c r="G2209" t="s">
        <v>24</v>
      </c>
      <c r="H2209">
        <v>10</v>
      </c>
      <c r="I2209">
        <v>21</v>
      </c>
      <c r="J2209">
        <v>40.25</v>
      </c>
      <c r="K2209">
        <v>50</v>
      </c>
      <c r="L2209">
        <v>845.25</v>
      </c>
      <c r="M2209">
        <v>-204.75</v>
      </c>
      <c r="N2209" s="1">
        <v>38090</v>
      </c>
      <c r="O2209" t="s">
        <v>25</v>
      </c>
      <c r="P2209">
        <v>2</v>
      </c>
      <c r="Q2209">
        <v>4</v>
      </c>
      <c r="R2209">
        <v>2004</v>
      </c>
      <c r="S2209" t="s">
        <v>83</v>
      </c>
    </row>
    <row r="2210" spans="1:19" x14ac:dyDescent="0.25">
      <c r="A2210">
        <v>10407</v>
      </c>
      <c r="B2210" t="s">
        <v>278</v>
      </c>
      <c r="C2210" t="s">
        <v>162</v>
      </c>
      <c r="D2210" t="s">
        <v>163</v>
      </c>
      <c r="E2210" t="s">
        <v>22</v>
      </c>
      <c r="F2210" t="s">
        <v>23</v>
      </c>
      <c r="G2210" t="s">
        <v>24</v>
      </c>
      <c r="H2210">
        <v>10</v>
      </c>
      <c r="I2210">
        <v>64</v>
      </c>
      <c r="J2210">
        <v>40.25</v>
      </c>
      <c r="K2210">
        <v>50</v>
      </c>
      <c r="L2210">
        <v>2576</v>
      </c>
      <c r="M2210">
        <v>-624</v>
      </c>
      <c r="N2210" s="1">
        <v>38464</v>
      </c>
      <c r="O2210" t="s">
        <v>164</v>
      </c>
      <c r="P2210">
        <v>2</v>
      </c>
      <c r="Q2210">
        <v>4</v>
      </c>
      <c r="R2210">
        <v>2005</v>
      </c>
      <c r="S2210" t="s">
        <v>83</v>
      </c>
    </row>
    <row r="2211" spans="1:19" x14ac:dyDescent="0.25">
      <c r="A2211">
        <v>10120</v>
      </c>
      <c r="B2211" t="s">
        <v>279</v>
      </c>
      <c r="C2211" t="s">
        <v>47</v>
      </c>
      <c r="D2211" t="s">
        <v>48</v>
      </c>
      <c r="E2211" t="s">
        <v>49</v>
      </c>
      <c r="F2211" t="s">
        <v>50</v>
      </c>
      <c r="G2211" t="s">
        <v>33</v>
      </c>
      <c r="H2211">
        <v>10</v>
      </c>
      <c r="I2211">
        <v>39</v>
      </c>
      <c r="J2211">
        <v>100</v>
      </c>
      <c r="K2211">
        <v>109</v>
      </c>
      <c r="L2211">
        <v>4651.53</v>
      </c>
      <c r="M2211">
        <v>400.53</v>
      </c>
      <c r="N2211" s="1">
        <v>37740</v>
      </c>
      <c r="O2211" t="s">
        <v>25</v>
      </c>
      <c r="P2211">
        <v>2</v>
      </c>
      <c r="Q2211">
        <v>4</v>
      </c>
      <c r="R2211">
        <v>2003</v>
      </c>
      <c r="S2211" t="s">
        <v>234</v>
      </c>
    </row>
    <row r="2212" spans="1:19" x14ac:dyDescent="0.25">
      <c r="A2212">
        <v>10193</v>
      </c>
      <c r="B2212" t="s">
        <v>280</v>
      </c>
      <c r="C2212" t="s">
        <v>229</v>
      </c>
      <c r="D2212" t="s">
        <v>230</v>
      </c>
      <c r="E2212" t="s">
        <v>49</v>
      </c>
      <c r="F2212" t="s">
        <v>50</v>
      </c>
      <c r="G2212" t="s">
        <v>24</v>
      </c>
      <c r="H2212">
        <v>10</v>
      </c>
      <c r="I2212">
        <v>26</v>
      </c>
      <c r="J2212">
        <v>29.21</v>
      </c>
      <c r="K2212">
        <v>33</v>
      </c>
      <c r="L2212">
        <v>759.46</v>
      </c>
      <c r="M2212">
        <v>-98.54</v>
      </c>
      <c r="N2212" s="1">
        <v>37946</v>
      </c>
      <c r="O2212" t="s">
        <v>25</v>
      </c>
      <c r="P2212">
        <v>4</v>
      </c>
      <c r="Q2212">
        <v>11</v>
      </c>
      <c r="R2212">
        <v>2003</v>
      </c>
      <c r="S2212" t="s">
        <v>226</v>
      </c>
    </row>
    <row r="2213" spans="1:19" x14ac:dyDescent="0.25">
      <c r="A2213">
        <v>10248</v>
      </c>
      <c r="B2213" t="s">
        <v>282</v>
      </c>
      <c r="C2213" t="s">
        <v>20</v>
      </c>
      <c r="D2213" t="s">
        <v>21</v>
      </c>
      <c r="E2213" t="s">
        <v>22</v>
      </c>
      <c r="F2213" t="s">
        <v>23</v>
      </c>
      <c r="G2213" t="s">
        <v>33</v>
      </c>
      <c r="H2213">
        <v>10</v>
      </c>
      <c r="I2213">
        <v>48</v>
      </c>
      <c r="J2213">
        <v>100</v>
      </c>
      <c r="K2213">
        <v>122</v>
      </c>
      <c r="L2213">
        <v>6960.48</v>
      </c>
      <c r="M2213">
        <v>1104.48</v>
      </c>
      <c r="N2213" s="1">
        <v>38114</v>
      </c>
      <c r="O2213" t="s">
        <v>141</v>
      </c>
      <c r="P2213">
        <v>2</v>
      </c>
      <c r="Q2213">
        <v>5</v>
      </c>
      <c r="R2213">
        <v>2004</v>
      </c>
      <c r="S2213" t="s">
        <v>255</v>
      </c>
    </row>
    <row r="2214" spans="1:19" x14ac:dyDescent="0.25">
      <c r="A2214">
        <v>10414</v>
      </c>
      <c r="B2214" t="s">
        <v>282</v>
      </c>
      <c r="C2214" t="s">
        <v>156</v>
      </c>
      <c r="D2214" t="s">
        <v>157</v>
      </c>
      <c r="E2214" t="s">
        <v>22</v>
      </c>
      <c r="F2214" t="s">
        <v>23</v>
      </c>
      <c r="G2214" t="s">
        <v>33</v>
      </c>
      <c r="H2214">
        <v>10</v>
      </c>
      <c r="I2214">
        <v>23</v>
      </c>
      <c r="J2214">
        <v>100</v>
      </c>
      <c r="K2214">
        <v>122</v>
      </c>
      <c r="L2214">
        <v>3335.23</v>
      </c>
      <c r="M2214">
        <v>529.23</v>
      </c>
      <c r="N2214" s="1">
        <v>38478</v>
      </c>
      <c r="O2214" t="s">
        <v>164</v>
      </c>
      <c r="P2214">
        <v>2</v>
      </c>
      <c r="Q2214">
        <v>5</v>
      </c>
      <c r="R2214">
        <v>2005</v>
      </c>
      <c r="S2214" t="s">
        <v>255</v>
      </c>
    </row>
    <row r="2215" spans="1:19" x14ac:dyDescent="0.25">
      <c r="A2215">
        <v>10332</v>
      </c>
      <c r="B2215" t="s">
        <v>283</v>
      </c>
      <c r="C2215" t="s">
        <v>197</v>
      </c>
      <c r="D2215" t="s">
        <v>198</v>
      </c>
      <c r="E2215" t="s">
        <v>77</v>
      </c>
      <c r="F2215" t="s">
        <v>30</v>
      </c>
      <c r="G2215" t="s">
        <v>24</v>
      </c>
      <c r="H2215">
        <v>10</v>
      </c>
      <c r="I2215">
        <v>26</v>
      </c>
      <c r="J2215">
        <v>85.52</v>
      </c>
      <c r="K2215">
        <v>44</v>
      </c>
      <c r="L2215">
        <v>2223.52</v>
      </c>
      <c r="M2215">
        <v>1079.52</v>
      </c>
      <c r="N2215" s="1">
        <v>38308</v>
      </c>
      <c r="O2215" t="s">
        <v>25</v>
      </c>
      <c r="P2215">
        <v>4</v>
      </c>
      <c r="Q2215">
        <v>11</v>
      </c>
      <c r="R2215">
        <v>2004</v>
      </c>
      <c r="S2215" t="s">
        <v>226</v>
      </c>
    </row>
    <row r="2216" spans="1:19" x14ac:dyDescent="0.25">
      <c r="A2216">
        <v>10246</v>
      </c>
      <c r="B2216" t="s">
        <v>284</v>
      </c>
      <c r="C2216" t="s">
        <v>78</v>
      </c>
      <c r="D2216" t="s">
        <v>79</v>
      </c>
      <c r="E2216" t="s">
        <v>80</v>
      </c>
      <c r="F2216" t="s">
        <v>30</v>
      </c>
      <c r="G2216" t="s">
        <v>33</v>
      </c>
      <c r="H2216">
        <v>10</v>
      </c>
      <c r="I2216">
        <v>29</v>
      </c>
      <c r="J2216">
        <v>100</v>
      </c>
      <c r="K2216">
        <v>127</v>
      </c>
      <c r="L2216">
        <v>3520.6</v>
      </c>
      <c r="M2216">
        <v>-162.4</v>
      </c>
      <c r="N2216" s="1">
        <v>38112</v>
      </c>
      <c r="O2216" t="s">
        <v>25</v>
      </c>
      <c r="P2216">
        <v>2</v>
      </c>
      <c r="Q2216">
        <v>5</v>
      </c>
      <c r="R2216">
        <v>2004</v>
      </c>
      <c r="S2216" t="s">
        <v>202</v>
      </c>
    </row>
    <row r="2217" spans="1:19" x14ac:dyDescent="0.25">
      <c r="A2217">
        <v>10271</v>
      </c>
      <c r="B2217" t="s">
        <v>284</v>
      </c>
      <c r="C2217" t="s">
        <v>115</v>
      </c>
      <c r="D2217" t="s">
        <v>116</v>
      </c>
      <c r="E2217" t="s">
        <v>22</v>
      </c>
      <c r="F2217" t="s">
        <v>23</v>
      </c>
      <c r="G2217" t="s">
        <v>33</v>
      </c>
      <c r="H2217">
        <v>10</v>
      </c>
      <c r="I2217">
        <v>43</v>
      </c>
      <c r="J2217">
        <v>100</v>
      </c>
      <c r="K2217">
        <v>127</v>
      </c>
      <c r="L2217">
        <v>5605.05</v>
      </c>
      <c r="M2217">
        <v>144.05000000000001</v>
      </c>
      <c r="N2217" s="1">
        <v>38188</v>
      </c>
      <c r="O2217" t="s">
        <v>25</v>
      </c>
      <c r="P2217">
        <v>3</v>
      </c>
      <c r="Q2217">
        <v>7</v>
      </c>
      <c r="R2217">
        <v>2004</v>
      </c>
      <c r="S2217" t="s">
        <v>202</v>
      </c>
    </row>
    <row r="2218" spans="1:19" x14ac:dyDescent="0.25">
      <c r="A2218">
        <v>10305</v>
      </c>
      <c r="B2218" t="s">
        <v>284</v>
      </c>
      <c r="C2218" t="s">
        <v>58</v>
      </c>
      <c r="D2218" t="s">
        <v>59</v>
      </c>
      <c r="E2218" t="s">
        <v>22</v>
      </c>
      <c r="F2218" t="s">
        <v>23</v>
      </c>
      <c r="G2218" t="s">
        <v>33</v>
      </c>
      <c r="H2218">
        <v>10</v>
      </c>
      <c r="I2218">
        <v>24</v>
      </c>
      <c r="J2218">
        <v>100</v>
      </c>
      <c r="K2218">
        <v>127</v>
      </c>
      <c r="L2218">
        <v>3189.6</v>
      </c>
      <c r="M2218">
        <v>141.6</v>
      </c>
      <c r="N2218" s="1">
        <v>38273</v>
      </c>
      <c r="O2218" t="s">
        <v>25</v>
      </c>
      <c r="P2218">
        <v>4</v>
      </c>
      <c r="Q2218">
        <v>10</v>
      </c>
      <c r="R2218">
        <v>2004</v>
      </c>
      <c r="S2218" t="s">
        <v>202</v>
      </c>
    </row>
    <row r="2219" spans="1:19" x14ac:dyDescent="0.25">
      <c r="A2219">
        <v>10412</v>
      </c>
      <c r="B2219" t="s">
        <v>284</v>
      </c>
      <c r="C2219" t="s">
        <v>78</v>
      </c>
      <c r="D2219" t="s">
        <v>79</v>
      </c>
      <c r="E2219" t="s">
        <v>80</v>
      </c>
      <c r="F2219" t="s">
        <v>30</v>
      </c>
      <c r="G2219" t="s">
        <v>70</v>
      </c>
      <c r="H2219">
        <v>10</v>
      </c>
      <c r="I2219">
        <v>70</v>
      </c>
      <c r="J2219">
        <v>100</v>
      </c>
      <c r="K2219">
        <v>127</v>
      </c>
      <c r="L2219">
        <v>8498</v>
      </c>
      <c r="M2219">
        <v>-392</v>
      </c>
      <c r="N2219" s="1">
        <v>38475</v>
      </c>
      <c r="O2219" t="s">
        <v>25</v>
      </c>
      <c r="P2219">
        <v>2</v>
      </c>
      <c r="Q2219">
        <v>5</v>
      </c>
      <c r="R2219">
        <v>2005</v>
      </c>
      <c r="S2219" t="s">
        <v>202</v>
      </c>
    </row>
    <row r="2220" spans="1:19" x14ac:dyDescent="0.25">
      <c r="A2220">
        <v>10124</v>
      </c>
      <c r="B2220" t="s">
        <v>286</v>
      </c>
      <c r="C2220" t="s">
        <v>221</v>
      </c>
      <c r="D2220" t="s">
        <v>222</v>
      </c>
      <c r="E2220" t="s">
        <v>22</v>
      </c>
      <c r="F2220" t="s">
        <v>23</v>
      </c>
      <c r="G2220" t="s">
        <v>24</v>
      </c>
      <c r="H2220">
        <v>10</v>
      </c>
      <c r="I2220">
        <v>32</v>
      </c>
      <c r="J2220">
        <v>72.7</v>
      </c>
      <c r="K2220">
        <v>90</v>
      </c>
      <c r="L2220">
        <v>2326.4</v>
      </c>
      <c r="M2220">
        <v>-553.6</v>
      </c>
      <c r="N2220" s="1">
        <v>37762</v>
      </c>
      <c r="O2220" t="s">
        <v>25</v>
      </c>
      <c r="P2220">
        <v>2</v>
      </c>
      <c r="Q2220">
        <v>5</v>
      </c>
      <c r="R2220">
        <v>2003</v>
      </c>
      <c r="S2220" t="s">
        <v>83</v>
      </c>
    </row>
    <row r="2221" spans="1:19" x14ac:dyDescent="0.25">
      <c r="A2221">
        <v>10104</v>
      </c>
      <c r="B2221" t="s">
        <v>287</v>
      </c>
      <c r="C2221" t="s">
        <v>78</v>
      </c>
      <c r="D2221" t="s">
        <v>79</v>
      </c>
      <c r="E2221" t="s">
        <v>80</v>
      </c>
      <c r="F2221" t="s">
        <v>30</v>
      </c>
      <c r="G2221" t="s">
        <v>24</v>
      </c>
      <c r="H2221">
        <v>10</v>
      </c>
      <c r="I2221">
        <v>44</v>
      </c>
      <c r="J2221">
        <v>39.6</v>
      </c>
      <c r="K2221">
        <v>35</v>
      </c>
      <c r="L2221">
        <v>1742.4</v>
      </c>
      <c r="M2221">
        <v>202.4</v>
      </c>
      <c r="N2221" s="1">
        <v>37652</v>
      </c>
      <c r="O2221" t="s">
        <v>25</v>
      </c>
      <c r="P2221">
        <v>1</v>
      </c>
      <c r="Q2221">
        <v>1</v>
      </c>
      <c r="R2221">
        <v>2003</v>
      </c>
      <c r="S2221" t="s">
        <v>83</v>
      </c>
    </row>
    <row r="2222" spans="1:19" x14ac:dyDescent="0.25">
      <c r="A2222">
        <v>10262</v>
      </c>
      <c r="B2222" t="s">
        <v>288</v>
      </c>
      <c r="C2222" t="s">
        <v>78</v>
      </c>
      <c r="D2222" t="s">
        <v>79</v>
      </c>
      <c r="E2222" t="s">
        <v>80</v>
      </c>
      <c r="F2222" t="s">
        <v>30</v>
      </c>
      <c r="G2222" t="s">
        <v>24</v>
      </c>
      <c r="H2222">
        <v>10</v>
      </c>
      <c r="I2222">
        <v>24</v>
      </c>
      <c r="J2222">
        <v>67.14</v>
      </c>
      <c r="K2222">
        <v>68</v>
      </c>
      <c r="L2222">
        <v>1611.36</v>
      </c>
      <c r="M2222">
        <v>-20.64</v>
      </c>
      <c r="N2222" s="1">
        <v>38162</v>
      </c>
      <c r="O2222" t="s">
        <v>141</v>
      </c>
      <c r="P2222">
        <v>2</v>
      </c>
      <c r="Q2222">
        <v>6</v>
      </c>
      <c r="R2222">
        <v>2004</v>
      </c>
      <c r="S2222" t="s">
        <v>234</v>
      </c>
    </row>
    <row r="2223" spans="1:19" x14ac:dyDescent="0.25">
      <c r="A2223">
        <v>10316</v>
      </c>
      <c r="B2223" t="s">
        <v>288</v>
      </c>
      <c r="C2223" t="s">
        <v>158</v>
      </c>
      <c r="D2223" t="s">
        <v>159</v>
      </c>
      <c r="E2223" t="s">
        <v>77</v>
      </c>
      <c r="F2223" t="s">
        <v>30</v>
      </c>
      <c r="G2223" t="s">
        <v>24</v>
      </c>
      <c r="H2223">
        <v>10</v>
      </c>
      <c r="I2223">
        <v>34</v>
      </c>
      <c r="J2223">
        <v>63.71</v>
      </c>
      <c r="K2223">
        <v>68</v>
      </c>
      <c r="L2223">
        <v>2166.14</v>
      </c>
      <c r="M2223">
        <v>-145.86000000000001</v>
      </c>
      <c r="N2223" s="1">
        <v>38292</v>
      </c>
      <c r="O2223" t="s">
        <v>25</v>
      </c>
      <c r="P2223">
        <v>4</v>
      </c>
      <c r="Q2223">
        <v>11</v>
      </c>
      <c r="R2223">
        <v>2004</v>
      </c>
      <c r="S2223" t="s">
        <v>234</v>
      </c>
    </row>
    <row r="2224" spans="1:19" x14ac:dyDescent="0.25">
      <c r="A2224">
        <v>10110</v>
      </c>
      <c r="B2224" t="s">
        <v>289</v>
      </c>
      <c r="C2224" t="s">
        <v>197</v>
      </c>
      <c r="D2224" t="s">
        <v>198</v>
      </c>
      <c r="E2224" t="s">
        <v>77</v>
      </c>
      <c r="F2224" t="s">
        <v>30</v>
      </c>
      <c r="G2224" t="s">
        <v>33</v>
      </c>
      <c r="H2224">
        <v>10</v>
      </c>
      <c r="I2224">
        <v>46</v>
      </c>
      <c r="J2224">
        <v>100</v>
      </c>
      <c r="K2224">
        <v>117</v>
      </c>
      <c r="L2224">
        <v>5942.28</v>
      </c>
      <c r="M2224">
        <v>560.28</v>
      </c>
      <c r="N2224" s="1">
        <v>37698</v>
      </c>
      <c r="O2224" t="s">
        <v>25</v>
      </c>
      <c r="P2224">
        <v>1</v>
      </c>
      <c r="Q2224">
        <v>3</v>
      </c>
      <c r="R2224">
        <v>2003</v>
      </c>
      <c r="S2224" t="s">
        <v>83</v>
      </c>
    </row>
    <row r="2225" spans="1:19" x14ac:dyDescent="0.25">
      <c r="A2225">
        <v>10301</v>
      </c>
      <c r="B2225" t="s">
        <v>290</v>
      </c>
      <c r="C2225" t="s">
        <v>223</v>
      </c>
      <c r="D2225" t="s">
        <v>224</v>
      </c>
      <c r="E2225" t="s">
        <v>44</v>
      </c>
      <c r="F2225" t="s">
        <v>30</v>
      </c>
      <c r="G2225" t="s">
        <v>24</v>
      </c>
      <c r="H2225">
        <v>10</v>
      </c>
      <c r="I2225">
        <v>48</v>
      </c>
      <c r="J2225">
        <v>34.36</v>
      </c>
      <c r="K2225">
        <v>37</v>
      </c>
      <c r="L2225">
        <v>1649.28</v>
      </c>
      <c r="M2225">
        <v>-126.72</v>
      </c>
      <c r="N2225" s="1">
        <v>37899</v>
      </c>
      <c r="O2225" t="s">
        <v>25</v>
      </c>
      <c r="P2225">
        <v>4</v>
      </c>
      <c r="Q2225">
        <v>10</v>
      </c>
      <c r="R2225">
        <v>2003</v>
      </c>
      <c r="S2225" t="s">
        <v>83</v>
      </c>
    </row>
    <row r="2226" spans="1:19" x14ac:dyDescent="0.25">
      <c r="A2226">
        <v>10288</v>
      </c>
      <c r="B2226" t="s">
        <v>292</v>
      </c>
      <c r="C2226" t="s">
        <v>171</v>
      </c>
      <c r="D2226" t="s">
        <v>89</v>
      </c>
      <c r="E2226" t="s">
        <v>89</v>
      </c>
      <c r="F2226" t="s">
        <v>50</v>
      </c>
      <c r="G2226" t="s">
        <v>24</v>
      </c>
      <c r="H2226">
        <v>10</v>
      </c>
      <c r="I2226">
        <v>34</v>
      </c>
      <c r="J2226">
        <v>68.489999999999995</v>
      </c>
      <c r="K2226">
        <v>85</v>
      </c>
      <c r="L2226">
        <v>2328.66</v>
      </c>
      <c r="M2226">
        <v>-561.34</v>
      </c>
      <c r="N2226" s="1">
        <v>38231</v>
      </c>
      <c r="O2226" t="s">
        <v>25</v>
      </c>
      <c r="P2226">
        <v>3</v>
      </c>
      <c r="Q2226">
        <v>9</v>
      </c>
      <c r="R2226">
        <v>2004</v>
      </c>
      <c r="S2226" t="s">
        <v>83</v>
      </c>
    </row>
    <row r="2227" spans="1:19" x14ac:dyDescent="0.25">
      <c r="A2227">
        <v>10420</v>
      </c>
      <c r="B2227" t="s">
        <v>292</v>
      </c>
      <c r="C2227" t="s">
        <v>71</v>
      </c>
      <c r="D2227" t="s">
        <v>72</v>
      </c>
      <c r="E2227" t="s">
        <v>49</v>
      </c>
      <c r="F2227" t="s">
        <v>50</v>
      </c>
      <c r="G2227" t="s">
        <v>33</v>
      </c>
      <c r="H2227">
        <v>10</v>
      </c>
      <c r="I2227">
        <v>35</v>
      </c>
      <c r="J2227">
        <v>96.74</v>
      </c>
      <c r="K2227">
        <v>85</v>
      </c>
      <c r="L2227">
        <v>3385.9</v>
      </c>
      <c r="M2227">
        <v>410.9</v>
      </c>
      <c r="N2227" s="1">
        <v>38501</v>
      </c>
      <c r="O2227" t="s">
        <v>125</v>
      </c>
      <c r="P2227">
        <v>2</v>
      </c>
      <c r="Q2227">
        <v>5</v>
      </c>
      <c r="R2227">
        <v>2005</v>
      </c>
      <c r="S2227" t="s">
        <v>83</v>
      </c>
    </row>
    <row r="2228" spans="1:19" x14ac:dyDescent="0.25">
      <c r="A2228">
        <v>10342</v>
      </c>
      <c r="B2228" t="s">
        <v>293</v>
      </c>
      <c r="C2228" t="s">
        <v>47</v>
      </c>
      <c r="D2228" t="s">
        <v>48</v>
      </c>
      <c r="E2228" t="s">
        <v>49</v>
      </c>
      <c r="F2228" t="s">
        <v>50</v>
      </c>
      <c r="G2228" t="s">
        <v>24</v>
      </c>
      <c r="H2228">
        <v>10</v>
      </c>
      <c r="I2228">
        <v>48</v>
      </c>
      <c r="J2228">
        <v>62.45</v>
      </c>
      <c r="K2228">
        <v>61</v>
      </c>
      <c r="L2228">
        <v>2997.6</v>
      </c>
      <c r="M2228">
        <v>69.599999999999994</v>
      </c>
      <c r="N2228" s="1">
        <v>38315</v>
      </c>
      <c r="O2228" t="s">
        <v>25</v>
      </c>
      <c r="P2228">
        <v>4</v>
      </c>
      <c r="Q2228">
        <v>11</v>
      </c>
      <c r="R2228">
        <v>2004</v>
      </c>
      <c r="S2228" t="s">
        <v>83</v>
      </c>
    </row>
    <row r="2229" spans="1:19" x14ac:dyDescent="0.25">
      <c r="A2229">
        <v>10119</v>
      </c>
      <c r="B2229" t="s">
        <v>296</v>
      </c>
      <c r="C2229" t="s">
        <v>67</v>
      </c>
      <c r="D2229" t="s">
        <v>68</v>
      </c>
      <c r="E2229" t="s">
        <v>69</v>
      </c>
      <c r="F2229" t="s">
        <v>30</v>
      </c>
      <c r="G2229" t="s">
        <v>33</v>
      </c>
      <c r="H2229">
        <v>10</v>
      </c>
      <c r="I2229">
        <v>35</v>
      </c>
      <c r="J2229">
        <v>90.57</v>
      </c>
      <c r="K2229">
        <v>83</v>
      </c>
      <c r="L2229">
        <v>3169.95</v>
      </c>
      <c r="M2229">
        <v>264.95</v>
      </c>
      <c r="N2229" s="1">
        <v>37739</v>
      </c>
      <c r="O2229" t="s">
        <v>25</v>
      </c>
      <c r="P2229">
        <v>2</v>
      </c>
      <c r="Q2229">
        <v>4</v>
      </c>
      <c r="R2229">
        <v>2003</v>
      </c>
      <c r="S2229" t="s">
        <v>226</v>
      </c>
    </row>
    <row r="2230" spans="1:19" x14ac:dyDescent="0.25">
      <c r="A2230">
        <v>10350</v>
      </c>
      <c r="B2230" t="s">
        <v>296</v>
      </c>
      <c r="C2230" t="s">
        <v>78</v>
      </c>
      <c r="D2230" t="s">
        <v>79</v>
      </c>
      <c r="E2230" t="s">
        <v>80</v>
      </c>
      <c r="F2230" t="s">
        <v>30</v>
      </c>
      <c r="G2230" t="s">
        <v>24</v>
      </c>
      <c r="H2230">
        <v>10</v>
      </c>
      <c r="I2230">
        <v>25</v>
      </c>
      <c r="J2230">
        <v>60.34</v>
      </c>
      <c r="K2230">
        <v>83</v>
      </c>
      <c r="L2230">
        <v>1508.5</v>
      </c>
      <c r="M2230">
        <v>-566.5</v>
      </c>
      <c r="N2230" s="1">
        <v>38323</v>
      </c>
      <c r="O2230" t="s">
        <v>25</v>
      </c>
      <c r="P2230">
        <v>4</v>
      </c>
      <c r="Q2230">
        <v>12</v>
      </c>
      <c r="R2230">
        <v>2004</v>
      </c>
      <c r="S2230" t="s">
        <v>226</v>
      </c>
    </row>
    <row r="2231" spans="1:19" x14ac:dyDescent="0.25">
      <c r="A2231">
        <v>10373</v>
      </c>
      <c r="B2231" t="s">
        <v>296</v>
      </c>
      <c r="C2231" t="s">
        <v>160</v>
      </c>
      <c r="D2231" t="s">
        <v>161</v>
      </c>
      <c r="E2231" t="s">
        <v>62</v>
      </c>
      <c r="F2231" t="s">
        <v>30</v>
      </c>
      <c r="G2231" t="s">
        <v>24</v>
      </c>
      <c r="H2231">
        <v>10</v>
      </c>
      <c r="I2231">
        <v>23</v>
      </c>
      <c r="J2231">
        <v>100</v>
      </c>
      <c r="K2231">
        <v>83</v>
      </c>
      <c r="L2231">
        <v>2394.3000000000002</v>
      </c>
      <c r="M2231">
        <v>485.3</v>
      </c>
      <c r="N2231" s="1">
        <v>38383</v>
      </c>
      <c r="O2231" t="s">
        <v>25</v>
      </c>
      <c r="P2231">
        <v>1</v>
      </c>
      <c r="Q2231">
        <v>1</v>
      </c>
      <c r="R2231">
        <v>2005</v>
      </c>
      <c r="S2231" t="s">
        <v>226</v>
      </c>
    </row>
    <row r="2232" spans="1:19" x14ac:dyDescent="0.25">
      <c r="A2232">
        <v>10284</v>
      </c>
      <c r="B2232" t="s">
        <v>298</v>
      </c>
      <c r="C2232" t="s">
        <v>223</v>
      </c>
      <c r="D2232" t="s">
        <v>224</v>
      </c>
      <c r="E2232" t="s">
        <v>44</v>
      </c>
      <c r="F2232" t="s">
        <v>30</v>
      </c>
      <c r="G2232" t="s">
        <v>24</v>
      </c>
      <c r="H2232">
        <v>10</v>
      </c>
      <c r="I2232">
        <v>21</v>
      </c>
      <c r="J2232">
        <v>55.96</v>
      </c>
      <c r="K2232">
        <v>68</v>
      </c>
      <c r="L2232">
        <v>1175.1600000000001</v>
      </c>
      <c r="M2232">
        <v>-252.84</v>
      </c>
      <c r="N2232" s="1">
        <v>38220</v>
      </c>
      <c r="O2232" t="s">
        <v>25</v>
      </c>
      <c r="P2232">
        <v>3</v>
      </c>
      <c r="Q2232">
        <v>8</v>
      </c>
      <c r="R2232">
        <v>2004</v>
      </c>
      <c r="S2232" t="s">
        <v>234</v>
      </c>
    </row>
    <row r="2233" spans="1:19" x14ac:dyDescent="0.25">
      <c r="A2233">
        <v>10282</v>
      </c>
      <c r="B2233" t="s">
        <v>300</v>
      </c>
      <c r="C2233" t="s">
        <v>115</v>
      </c>
      <c r="D2233" t="s">
        <v>116</v>
      </c>
      <c r="E2233" t="s">
        <v>22</v>
      </c>
      <c r="F2233" t="s">
        <v>23</v>
      </c>
      <c r="G2233" t="s">
        <v>33</v>
      </c>
      <c r="H2233">
        <v>10</v>
      </c>
      <c r="I2233">
        <v>39</v>
      </c>
      <c r="J2233">
        <v>100</v>
      </c>
      <c r="K2233">
        <v>118</v>
      </c>
      <c r="L2233">
        <v>4797.3900000000003</v>
      </c>
      <c r="M2233">
        <v>195.39</v>
      </c>
      <c r="N2233" s="1">
        <v>38219</v>
      </c>
      <c r="O2233" t="s">
        <v>25</v>
      </c>
      <c r="P2233">
        <v>3</v>
      </c>
      <c r="Q2233">
        <v>8</v>
      </c>
      <c r="R2233">
        <v>2004</v>
      </c>
      <c r="S2233" t="s">
        <v>83</v>
      </c>
    </row>
    <row r="2234" spans="1:19" x14ac:dyDescent="0.25">
      <c r="A2234">
        <v>10314</v>
      </c>
      <c r="B2234" t="s">
        <v>300</v>
      </c>
      <c r="C2234" t="s">
        <v>199</v>
      </c>
      <c r="D2234" t="s">
        <v>200</v>
      </c>
      <c r="E2234" t="s">
        <v>137</v>
      </c>
      <c r="F2234" t="s">
        <v>30</v>
      </c>
      <c r="G2234" t="s">
        <v>33</v>
      </c>
      <c r="H2234">
        <v>10</v>
      </c>
      <c r="I2234">
        <v>38</v>
      </c>
      <c r="J2234">
        <v>100</v>
      </c>
      <c r="K2234">
        <v>118</v>
      </c>
      <c r="L2234">
        <v>4000.26</v>
      </c>
      <c r="M2234">
        <v>-483.74</v>
      </c>
      <c r="N2234" s="1">
        <v>38282</v>
      </c>
      <c r="O2234" t="s">
        <v>25</v>
      </c>
      <c r="P2234">
        <v>4</v>
      </c>
      <c r="Q2234">
        <v>10</v>
      </c>
      <c r="R2234">
        <v>2004</v>
      </c>
      <c r="S2234" t="s">
        <v>83</v>
      </c>
    </row>
    <row r="2235" spans="1:19" x14ac:dyDescent="0.25">
      <c r="A2235">
        <v>10206</v>
      </c>
      <c r="B2235" t="s">
        <v>301</v>
      </c>
      <c r="C2235" t="s">
        <v>97</v>
      </c>
      <c r="D2235" t="s">
        <v>98</v>
      </c>
      <c r="E2235" t="s">
        <v>99</v>
      </c>
      <c r="F2235" t="s">
        <v>23</v>
      </c>
      <c r="G2235" t="s">
        <v>33</v>
      </c>
      <c r="H2235">
        <v>10</v>
      </c>
      <c r="I2235">
        <v>33</v>
      </c>
      <c r="J2235">
        <v>97.39</v>
      </c>
      <c r="K2235">
        <v>97</v>
      </c>
      <c r="L2235">
        <v>3213.87</v>
      </c>
      <c r="M2235">
        <v>12.87</v>
      </c>
      <c r="N2235" s="1">
        <v>37960</v>
      </c>
      <c r="O2235" t="s">
        <v>25</v>
      </c>
      <c r="P2235">
        <v>4</v>
      </c>
      <c r="Q2235">
        <v>12</v>
      </c>
      <c r="R2235">
        <v>2003</v>
      </c>
      <c r="S2235" t="s">
        <v>226</v>
      </c>
    </row>
    <row r="2236" spans="1:19" x14ac:dyDescent="0.25">
      <c r="A2236">
        <v>10304</v>
      </c>
      <c r="B2236" t="s">
        <v>301</v>
      </c>
      <c r="C2236" t="s">
        <v>113</v>
      </c>
      <c r="D2236" t="s">
        <v>114</v>
      </c>
      <c r="E2236" t="s">
        <v>29</v>
      </c>
      <c r="F2236" t="s">
        <v>30</v>
      </c>
      <c r="G2236" t="s">
        <v>33</v>
      </c>
      <c r="H2236">
        <v>10</v>
      </c>
      <c r="I2236">
        <v>33</v>
      </c>
      <c r="J2236">
        <v>100</v>
      </c>
      <c r="K2236">
        <v>97</v>
      </c>
      <c r="L2236">
        <v>3342.57</v>
      </c>
      <c r="M2236">
        <v>141.57</v>
      </c>
      <c r="N2236" s="1">
        <v>38271</v>
      </c>
      <c r="O2236" t="s">
        <v>25</v>
      </c>
      <c r="P2236">
        <v>4</v>
      </c>
      <c r="Q2236">
        <v>10</v>
      </c>
      <c r="R2236">
        <v>2004</v>
      </c>
      <c r="S2236" t="s">
        <v>226</v>
      </c>
    </row>
    <row r="2237" spans="1:19" x14ac:dyDescent="0.25">
      <c r="A2237">
        <v>10168</v>
      </c>
      <c r="B2237" t="s">
        <v>302</v>
      </c>
      <c r="C2237" t="s">
        <v>38</v>
      </c>
      <c r="D2237" t="s">
        <v>39</v>
      </c>
      <c r="E2237" t="s">
        <v>22</v>
      </c>
      <c r="F2237" t="s">
        <v>23</v>
      </c>
      <c r="G2237" t="s">
        <v>33</v>
      </c>
      <c r="H2237">
        <v>10</v>
      </c>
      <c r="I2237">
        <v>48</v>
      </c>
      <c r="J2237">
        <v>78.25</v>
      </c>
      <c r="K2237">
        <v>72</v>
      </c>
      <c r="L2237">
        <v>3756</v>
      </c>
      <c r="M2237">
        <v>300</v>
      </c>
      <c r="N2237" s="1">
        <v>37922</v>
      </c>
      <c r="O2237" t="s">
        <v>25</v>
      </c>
      <c r="P2237">
        <v>4</v>
      </c>
      <c r="Q2237">
        <v>10</v>
      </c>
      <c r="R2237">
        <v>2003</v>
      </c>
      <c r="S2237" t="s">
        <v>234</v>
      </c>
    </row>
    <row r="2238" spans="1:19" x14ac:dyDescent="0.25">
      <c r="A2238">
        <v>10223</v>
      </c>
      <c r="B2238" t="s">
        <v>302</v>
      </c>
      <c r="C2238" t="s">
        <v>47</v>
      </c>
      <c r="D2238" t="s">
        <v>48</v>
      </c>
      <c r="E2238" t="s">
        <v>49</v>
      </c>
      <c r="F2238" t="s">
        <v>50</v>
      </c>
      <c r="G2238" t="s">
        <v>24</v>
      </c>
      <c r="H2238">
        <v>10</v>
      </c>
      <c r="I2238">
        <v>23</v>
      </c>
      <c r="J2238">
        <v>74.62</v>
      </c>
      <c r="K2238">
        <v>72</v>
      </c>
      <c r="L2238">
        <v>1716.26</v>
      </c>
      <c r="M2238">
        <v>60.26</v>
      </c>
      <c r="N2238" s="1">
        <v>38037</v>
      </c>
      <c r="O2238" t="s">
        <v>25</v>
      </c>
      <c r="P2238">
        <v>1</v>
      </c>
      <c r="Q2238">
        <v>2</v>
      </c>
      <c r="R2238">
        <v>2004</v>
      </c>
      <c r="S2238" t="s">
        <v>234</v>
      </c>
    </row>
    <row r="2239" spans="1:19" x14ac:dyDescent="0.25">
      <c r="A2239">
        <v>10275</v>
      </c>
      <c r="B2239" t="s">
        <v>302</v>
      </c>
      <c r="C2239" t="s">
        <v>56</v>
      </c>
      <c r="D2239" t="s">
        <v>57</v>
      </c>
      <c r="E2239" t="s">
        <v>29</v>
      </c>
      <c r="F2239" t="s">
        <v>30</v>
      </c>
      <c r="G2239" t="s">
        <v>24</v>
      </c>
      <c r="H2239">
        <v>10</v>
      </c>
      <c r="I2239">
        <v>27</v>
      </c>
      <c r="J2239">
        <v>62.31</v>
      </c>
      <c r="K2239">
        <v>72</v>
      </c>
      <c r="L2239">
        <v>1682.37</v>
      </c>
      <c r="M2239">
        <v>-261.63</v>
      </c>
      <c r="N2239" s="1">
        <v>38191</v>
      </c>
      <c r="O2239" t="s">
        <v>25</v>
      </c>
      <c r="P2239">
        <v>3</v>
      </c>
      <c r="Q2239">
        <v>7</v>
      </c>
      <c r="R2239">
        <v>2004</v>
      </c>
      <c r="S2239" t="s">
        <v>234</v>
      </c>
    </row>
    <row r="2240" spans="1:19" x14ac:dyDescent="0.25">
      <c r="A2240">
        <v>10108</v>
      </c>
      <c r="B2240" t="s">
        <v>303</v>
      </c>
      <c r="C2240" t="s">
        <v>173</v>
      </c>
      <c r="D2240" t="s">
        <v>174</v>
      </c>
      <c r="E2240" t="s">
        <v>175</v>
      </c>
      <c r="F2240" t="s">
        <v>50</v>
      </c>
      <c r="G2240" t="s">
        <v>24</v>
      </c>
      <c r="H2240">
        <v>10</v>
      </c>
      <c r="I2240">
        <v>31</v>
      </c>
      <c r="J2240">
        <v>68.709999999999994</v>
      </c>
      <c r="K2240">
        <v>80</v>
      </c>
      <c r="L2240">
        <v>2130.0100000000002</v>
      </c>
      <c r="M2240">
        <v>-349.99</v>
      </c>
      <c r="N2240" s="1">
        <v>37683</v>
      </c>
      <c r="O2240" t="s">
        <v>25</v>
      </c>
      <c r="P2240">
        <v>1</v>
      </c>
      <c r="Q2240">
        <v>3</v>
      </c>
      <c r="R2240">
        <v>2003</v>
      </c>
      <c r="S2240" t="s">
        <v>83</v>
      </c>
    </row>
    <row r="2241" spans="1:19" x14ac:dyDescent="0.25">
      <c r="A2241">
        <v>10390</v>
      </c>
      <c r="B2241" t="s">
        <v>303</v>
      </c>
      <c r="C2241" t="s">
        <v>115</v>
      </c>
      <c r="D2241" t="s">
        <v>116</v>
      </c>
      <c r="E2241" t="s">
        <v>22</v>
      </c>
      <c r="F2241" t="s">
        <v>23</v>
      </c>
      <c r="G2241" t="s">
        <v>24</v>
      </c>
      <c r="H2241">
        <v>10</v>
      </c>
      <c r="I2241">
        <v>30</v>
      </c>
      <c r="J2241">
        <v>82.42</v>
      </c>
      <c r="K2241">
        <v>80</v>
      </c>
      <c r="L2241">
        <v>2472.6</v>
      </c>
      <c r="M2241">
        <v>72.599999999999994</v>
      </c>
      <c r="N2241" s="1">
        <v>38415</v>
      </c>
      <c r="O2241" t="s">
        <v>25</v>
      </c>
      <c r="P2241">
        <v>1</v>
      </c>
      <c r="Q2241">
        <v>3</v>
      </c>
      <c r="R2241">
        <v>2005</v>
      </c>
      <c r="S2241" t="s">
        <v>83</v>
      </c>
    </row>
    <row r="2242" spans="1:19" x14ac:dyDescent="0.25">
      <c r="A2242">
        <v>10151</v>
      </c>
      <c r="B2242" t="s">
        <v>304</v>
      </c>
      <c r="C2242" t="s">
        <v>160</v>
      </c>
      <c r="D2242" t="s">
        <v>161</v>
      </c>
      <c r="E2242" t="s">
        <v>62</v>
      </c>
      <c r="F2242" t="s">
        <v>30</v>
      </c>
      <c r="G2242" t="s">
        <v>33</v>
      </c>
      <c r="H2242">
        <v>10</v>
      </c>
      <c r="I2242">
        <v>27</v>
      </c>
      <c r="J2242">
        <v>100</v>
      </c>
      <c r="K2242">
        <v>96</v>
      </c>
      <c r="L2242">
        <v>3068.55</v>
      </c>
      <c r="M2242">
        <v>476.55</v>
      </c>
      <c r="N2242" s="1">
        <v>37885</v>
      </c>
      <c r="O2242" t="s">
        <v>25</v>
      </c>
      <c r="P2242">
        <v>3</v>
      </c>
      <c r="Q2242">
        <v>9</v>
      </c>
      <c r="R2242">
        <v>2003</v>
      </c>
      <c r="S2242" t="s">
        <v>202</v>
      </c>
    </row>
    <row r="2243" spans="1:19" x14ac:dyDescent="0.25">
      <c r="A2243">
        <v>10276</v>
      </c>
      <c r="B2243" t="s">
        <v>306</v>
      </c>
      <c r="C2243" t="s">
        <v>186</v>
      </c>
      <c r="D2243" t="s">
        <v>120</v>
      </c>
      <c r="E2243" t="s">
        <v>22</v>
      </c>
      <c r="F2243" t="s">
        <v>23</v>
      </c>
      <c r="G2243" t="s">
        <v>24</v>
      </c>
      <c r="H2243">
        <v>10</v>
      </c>
      <c r="I2243">
        <v>27</v>
      </c>
      <c r="J2243">
        <v>36.61</v>
      </c>
      <c r="K2243">
        <v>40</v>
      </c>
      <c r="L2243">
        <v>988.47</v>
      </c>
      <c r="M2243">
        <v>-91.53</v>
      </c>
      <c r="N2243" s="1">
        <v>38201</v>
      </c>
      <c r="O2243" t="s">
        <v>25</v>
      </c>
      <c r="P2243">
        <v>3</v>
      </c>
      <c r="Q2243">
        <v>8</v>
      </c>
      <c r="R2243">
        <v>2004</v>
      </c>
      <c r="S2243" t="s">
        <v>26</v>
      </c>
    </row>
    <row r="2244" spans="1:19" x14ac:dyDescent="0.25">
      <c r="A2244">
        <v>10355</v>
      </c>
      <c r="B2244" t="s">
        <v>306</v>
      </c>
      <c r="C2244" t="s">
        <v>78</v>
      </c>
      <c r="D2244" t="s">
        <v>79</v>
      </c>
      <c r="E2244" t="s">
        <v>80</v>
      </c>
      <c r="F2244" t="s">
        <v>30</v>
      </c>
      <c r="G2244" t="s">
        <v>24</v>
      </c>
      <c r="H2244">
        <v>10</v>
      </c>
      <c r="I2244">
        <v>38</v>
      </c>
      <c r="J2244">
        <v>39.83</v>
      </c>
      <c r="K2244">
        <v>40</v>
      </c>
      <c r="L2244">
        <v>1513.54</v>
      </c>
      <c r="M2244">
        <v>-6.46</v>
      </c>
      <c r="N2244" s="1">
        <v>38328</v>
      </c>
      <c r="O2244" t="s">
        <v>25</v>
      </c>
      <c r="P2244">
        <v>4</v>
      </c>
      <c r="Q2244">
        <v>12</v>
      </c>
      <c r="R2244">
        <v>2004</v>
      </c>
      <c r="S2244" t="s">
        <v>26</v>
      </c>
    </row>
    <row r="2245" spans="1:19" x14ac:dyDescent="0.25">
      <c r="A2245">
        <v>10292</v>
      </c>
      <c r="B2245" t="s">
        <v>307</v>
      </c>
      <c r="C2245" t="s">
        <v>20</v>
      </c>
      <c r="D2245" t="s">
        <v>21</v>
      </c>
      <c r="E2245" t="s">
        <v>22</v>
      </c>
      <c r="F2245" t="s">
        <v>23</v>
      </c>
      <c r="G2245" t="s">
        <v>24</v>
      </c>
      <c r="H2245">
        <v>10</v>
      </c>
      <c r="I2245">
        <v>50</v>
      </c>
      <c r="J2245">
        <v>46.53</v>
      </c>
      <c r="K2245">
        <v>54</v>
      </c>
      <c r="L2245">
        <v>2326.5</v>
      </c>
      <c r="M2245">
        <v>-373.5</v>
      </c>
      <c r="N2245" s="1">
        <v>38238</v>
      </c>
      <c r="O2245" t="s">
        <v>25</v>
      </c>
      <c r="P2245">
        <v>3</v>
      </c>
      <c r="Q2245">
        <v>9</v>
      </c>
      <c r="R2245">
        <v>2004</v>
      </c>
      <c r="S2245" t="s">
        <v>202</v>
      </c>
    </row>
    <row r="2246" spans="1:19" x14ac:dyDescent="0.25">
      <c r="A2246">
        <v>10313</v>
      </c>
      <c r="B2246" t="s">
        <v>309</v>
      </c>
      <c r="C2246" t="s">
        <v>97</v>
      </c>
      <c r="D2246" t="s">
        <v>98</v>
      </c>
      <c r="E2246" t="s">
        <v>99</v>
      </c>
      <c r="F2246" t="s">
        <v>23</v>
      </c>
      <c r="G2246" t="s">
        <v>24</v>
      </c>
      <c r="H2246">
        <v>10</v>
      </c>
      <c r="I2246">
        <v>34</v>
      </c>
      <c r="J2246">
        <v>56.24</v>
      </c>
      <c r="K2246">
        <v>64</v>
      </c>
      <c r="L2246">
        <v>1912.16</v>
      </c>
      <c r="M2246">
        <v>-263.83999999999997</v>
      </c>
      <c r="N2246" s="1">
        <v>38282</v>
      </c>
      <c r="O2246" t="s">
        <v>25</v>
      </c>
      <c r="P2246">
        <v>4</v>
      </c>
      <c r="Q2246">
        <v>10</v>
      </c>
      <c r="R2246">
        <v>2004</v>
      </c>
      <c r="S2246" t="s">
        <v>202</v>
      </c>
    </row>
    <row r="2247" spans="1:19" x14ac:dyDescent="0.25">
      <c r="A2247">
        <v>10210</v>
      </c>
      <c r="B2247" t="s">
        <v>310</v>
      </c>
      <c r="C2247" t="s">
        <v>127</v>
      </c>
      <c r="D2247" t="s">
        <v>128</v>
      </c>
      <c r="E2247" t="s">
        <v>107</v>
      </c>
      <c r="F2247" t="s">
        <v>50</v>
      </c>
      <c r="G2247" t="s">
        <v>24</v>
      </c>
      <c r="H2247">
        <v>10</v>
      </c>
      <c r="I2247">
        <v>39</v>
      </c>
      <c r="J2247">
        <v>59.16</v>
      </c>
      <c r="K2247">
        <v>68</v>
      </c>
      <c r="L2247">
        <v>2307.2399999999998</v>
      </c>
      <c r="M2247">
        <v>-344.76</v>
      </c>
      <c r="N2247" s="1">
        <v>37998</v>
      </c>
      <c r="O2247" t="s">
        <v>25</v>
      </c>
      <c r="P2247">
        <v>1</v>
      </c>
      <c r="Q2247">
        <v>1</v>
      </c>
      <c r="R2247">
        <v>2004</v>
      </c>
      <c r="S2247" t="s">
        <v>226</v>
      </c>
    </row>
    <row r="2248" spans="1:19" x14ac:dyDescent="0.25">
      <c r="A2248">
        <v>10308</v>
      </c>
      <c r="B2248" t="s">
        <v>310</v>
      </c>
      <c r="C2248" t="s">
        <v>131</v>
      </c>
      <c r="D2248" t="s">
        <v>132</v>
      </c>
      <c r="E2248" t="s">
        <v>22</v>
      </c>
      <c r="F2248" t="s">
        <v>23</v>
      </c>
      <c r="G2248" t="s">
        <v>33</v>
      </c>
      <c r="H2248">
        <v>10</v>
      </c>
      <c r="I2248">
        <v>46</v>
      </c>
      <c r="J2248">
        <v>66.040000000000006</v>
      </c>
      <c r="K2248">
        <v>68</v>
      </c>
      <c r="L2248">
        <v>3037.84</v>
      </c>
      <c r="M2248">
        <v>-90.16</v>
      </c>
      <c r="N2248" s="1">
        <v>38275</v>
      </c>
      <c r="O2248" t="s">
        <v>25</v>
      </c>
      <c r="P2248">
        <v>4</v>
      </c>
      <c r="Q2248">
        <v>10</v>
      </c>
      <c r="R2248">
        <v>2004</v>
      </c>
      <c r="S2248" t="s">
        <v>226</v>
      </c>
    </row>
    <row r="2249" spans="1:19" x14ac:dyDescent="0.25">
      <c r="A2249">
        <v>10165</v>
      </c>
      <c r="B2249" t="s">
        <v>313</v>
      </c>
      <c r="C2249" t="s">
        <v>88</v>
      </c>
      <c r="D2249" t="s">
        <v>89</v>
      </c>
      <c r="E2249" t="s">
        <v>89</v>
      </c>
      <c r="F2249" t="s">
        <v>50</v>
      </c>
      <c r="G2249" t="s">
        <v>33</v>
      </c>
      <c r="H2249">
        <v>10</v>
      </c>
      <c r="I2249">
        <v>48</v>
      </c>
      <c r="J2249">
        <v>94.92</v>
      </c>
      <c r="K2249">
        <v>115</v>
      </c>
      <c r="L2249">
        <v>4556.16</v>
      </c>
      <c r="M2249">
        <v>-963.84</v>
      </c>
      <c r="N2249" s="1">
        <v>37916</v>
      </c>
      <c r="O2249" t="s">
        <v>25</v>
      </c>
      <c r="P2249">
        <v>4</v>
      </c>
      <c r="Q2249">
        <v>10</v>
      </c>
      <c r="R2249">
        <v>2003</v>
      </c>
      <c r="S2249" t="s">
        <v>202</v>
      </c>
    </row>
    <row r="2250" spans="1:19" x14ac:dyDescent="0.25">
      <c r="A2250">
        <v>10371</v>
      </c>
      <c r="B2250" t="s">
        <v>313</v>
      </c>
      <c r="C2250" t="s">
        <v>115</v>
      </c>
      <c r="D2250" t="s">
        <v>116</v>
      </c>
      <c r="E2250" t="s">
        <v>22</v>
      </c>
      <c r="F2250" t="s">
        <v>23</v>
      </c>
      <c r="G2250" t="s">
        <v>24</v>
      </c>
      <c r="H2250">
        <v>10</v>
      </c>
      <c r="I2250">
        <v>48</v>
      </c>
      <c r="J2250">
        <v>56.55</v>
      </c>
      <c r="K2250">
        <v>115</v>
      </c>
      <c r="L2250">
        <v>2714.4</v>
      </c>
      <c r="M2250">
        <v>-2805.6</v>
      </c>
      <c r="N2250" s="1">
        <v>38375</v>
      </c>
      <c r="O2250" t="s">
        <v>25</v>
      </c>
      <c r="P2250">
        <v>1</v>
      </c>
      <c r="Q2250">
        <v>1</v>
      </c>
      <c r="R2250">
        <v>2005</v>
      </c>
      <c r="S2250" t="s">
        <v>202</v>
      </c>
    </row>
    <row r="2251" spans="1:19" x14ac:dyDescent="0.25">
      <c r="A2251">
        <v>10383</v>
      </c>
      <c r="B2251" t="s">
        <v>314</v>
      </c>
      <c r="C2251" t="s">
        <v>78</v>
      </c>
      <c r="D2251" t="s">
        <v>79</v>
      </c>
      <c r="E2251" t="s">
        <v>80</v>
      </c>
      <c r="F2251" t="s">
        <v>30</v>
      </c>
      <c r="G2251" t="s">
        <v>24</v>
      </c>
      <c r="H2251">
        <v>10</v>
      </c>
      <c r="I2251">
        <v>38</v>
      </c>
      <c r="J2251">
        <v>60.06</v>
      </c>
      <c r="K2251">
        <v>58</v>
      </c>
      <c r="L2251">
        <v>2282.2800000000002</v>
      </c>
      <c r="M2251">
        <v>78.28</v>
      </c>
      <c r="N2251" s="1">
        <v>38405</v>
      </c>
      <c r="O2251" t="s">
        <v>25</v>
      </c>
      <c r="P2251">
        <v>1</v>
      </c>
      <c r="Q2251">
        <v>2</v>
      </c>
      <c r="R2251">
        <v>2005</v>
      </c>
      <c r="S2251" t="s">
        <v>261</v>
      </c>
    </row>
    <row r="2252" spans="1:19" x14ac:dyDescent="0.25">
      <c r="A2252">
        <v>10159</v>
      </c>
      <c r="B2252" t="s">
        <v>315</v>
      </c>
      <c r="C2252" t="s">
        <v>36</v>
      </c>
      <c r="D2252" t="s">
        <v>37</v>
      </c>
      <c r="E2252" t="s">
        <v>22</v>
      </c>
      <c r="F2252" t="s">
        <v>23</v>
      </c>
      <c r="G2252" t="s">
        <v>24</v>
      </c>
      <c r="H2252">
        <v>10</v>
      </c>
      <c r="I2252">
        <v>31</v>
      </c>
      <c r="J2252">
        <v>71.599999999999994</v>
      </c>
      <c r="K2252">
        <v>81</v>
      </c>
      <c r="L2252">
        <v>2219.6</v>
      </c>
      <c r="M2252">
        <v>-291.39999999999998</v>
      </c>
      <c r="N2252" s="1">
        <v>37904</v>
      </c>
      <c r="O2252" t="s">
        <v>25</v>
      </c>
      <c r="P2252">
        <v>4</v>
      </c>
      <c r="Q2252">
        <v>10</v>
      </c>
      <c r="R2252">
        <v>2003</v>
      </c>
      <c r="S2252" t="s">
        <v>26</v>
      </c>
    </row>
    <row r="2253" spans="1:19" x14ac:dyDescent="0.25">
      <c r="A2253">
        <v>10169</v>
      </c>
      <c r="B2253" t="s">
        <v>315</v>
      </c>
      <c r="C2253" t="s">
        <v>121</v>
      </c>
      <c r="D2253" t="s">
        <v>122</v>
      </c>
      <c r="E2253" t="s">
        <v>49</v>
      </c>
      <c r="F2253" t="s">
        <v>50</v>
      </c>
      <c r="G2253" t="s">
        <v>33</v>
      </c>
      <c r="H2253">
        <v>10</v>
      </c>
      <c r="I2253">
        <v>48</v>
      </c>
      <c r="J2253">
        <v>80.55</v>
      </c>
      <c r="K2253">
        <v>81</v>
      </c>
      <c r="L2253">
        <v>3866.4</v>
      </c>
      <c r="M2253">
        <v>-21.6</v>
      </c>
      <c r="N2253" s="1">
        <v>37929</v>
      </c>
      <c r="O2253" t="s">
        <v>25</v>
      </c>
      <c r="P2253">
        <v>4</v>
      </c>
      <c r="Q2253">
        <v>11</v>
      </c>
      <c r="R2253">
        <v>2003</v>
      </c>
      <c r="S2253" t="s">
        <v>26</v>
      </c>
    </row>
    <row r="2254" spans="1:19" x14ac:dyDescent="0.25">
      <c r="A2254">
        <v>10211</v>
      </c>
      <c r="B2254" t="s">
        <v>315</v>
      </c>
      <c r="C2254" t="s">
        <v>46</v>
      </c>
      <c r="D2254" t="s">
        <v>32</v>
      </c>
      <c r="E2254" t="s">
        <v>29</v>
      </c>
      <c r="F2254" t="s">
        <v>30</v>
      </c>
      <c r="G2254" t="s">
        <v>33</v>
      </c>
      <c r="H2254">
        <v>10</v>
      </c>
      <c r="I2254">
        <v>40</v>
      </c>
      <c r="J2254">
        <v>80.55</v>
      </c>
      <c r="K2254">
        <v>81</v>
      </c>
      <c r="L2254">
        <v>3222</v>
      </c>
      <c r="M2254">
        <v>-18</v>
      </c>
      <c r="N2254" s="1">
        <v>38001</v>
      </c>
      <c r="O2254" t="s">
        <v>25</v>
      </c>
      <c r="P2254">
        <v>1</v>
      </c>
      <c r="Q2254">
        <v>1</v>
      </c>
      <c r="R2254">
        <v>2004</v>
      </c>
      <c r="S2254" t="s">
        <v>26</v>
      </c>
    </row>
    <row r="2255" spans="1:19" x14ac:dyDescent="0.25">
      <c r="A2255">
        <v>10177</v>
      </c>
      <c r="B2255" t="s">
        <v>318</v>
      </c>
      <c r="C2255" t="s">
        <v>196</v>
      </c>
      <c r="D2255" t="s">
        <v>79</v>
      </c>
      <c r="E2255" t="s">
        <v>80</v>
      </c>
      <c r="F2255" t="s">
        <v>30</v>
      </c>
      <c r="G2255" t="s">
        <v>24</v>
      </c>
      <c r="H2255">
        <v>10</v>
      </c>
      <c r="I2255">
        <v>31</v>
      </c>
      <c r="J2255">
        <v>88.34</v>
      </c>
      <c r="K2255">
        <v>86</v>
      </c>
      <c r="L2255">
        <v>2738.54</v>
      </c>
      <c r="M2255">
        <v>72.540000000000006</v>
      </c>
      <c r="N2255" s="1">
        <v>37932</v>
      </c>
      <c r="O2255" t="s">
        <v>25</v>
      </c>
      <c r="P2255">
        <v>4</v>
      </c>
      <c r="Q2255">
        <v>11</v>
      </c>
      <c r="R2255">
        <v>2003</v>
      </c>
      <c r="S2255" t="s">
        <v>255</v>
      </c>
    </row>
    <row r="2256" spans="1:19" x14ac:dyDescent="0.25">
      <c r="A2256">
        <v>10185</v>
      </c>
      <c r="B2256" t="s">
        <v>318</v>
      </c>
      <c r="C2256" t="s">
        <v>140</v>
      </c>
      <c r="D2256" t="s">
        <v>74</v>
      </c>
      <c r="E2256" t="s">
        <v>22</v>
      </c>
      <c r="F2256" t="s">
        <v>23</v>
      </c>
      <c r="G2256" t="s">
        <v>24</v>
      </c>
      <c r="H2256">
        <v>10</v>
      </c>
      <c r="I2256">
        <v>30</v>
      </c>
      <c r="J2256">
        <v>94.4</v>
      </c>
      <c r="K2256">
        <v>86</v>
      </c>
      <c r="L2256">
        <v>2832</v>
      </c>
      <c r="M2256">
        <v>252</v>
      </c>
      <c r="N2256" s="1">
        <v>37939</v>
      </c>
      <c r="O2256" t="s">
        <v>25</v>
      </c>
      <c r="P2256">
        <v>4</v>
      </c>
      <c r="Q2256">
        <v>11</v>
      </c>
      <c r="R2256">
        <v>2003</v>
      </c>
      <c r="S2256" t="s">
        <v>255</v>
      </c>
    </row>
    <row r="2257" spans="1:19" x14ac:dyDescent="0.25">
      <c r="A2257">
        <v>10208</v>
      </c>
      <c r="B2257" t="s">
        <v>318</v>
      </c>
      <c r="C2257" t="s">
        <v>95</v>
      </c>
      <c r="D2257" t="s">
        <v>96</v>
      </c>
      <c r="E2257" t="s">
        <v>29</v>
      </c>
      <c r="F2257" t="s">
        <v>30</v>
      </c>
      <c r="G2257" t="s">
        <v>33</v>
      </c>
      <c r="H2257">
        <v>10</v>
      </c>
      <c r="I2257">
        <v>40</v>
      </c>
      <c r="J2257">
        <v>80.55</v>
      </c>
      <c r="K2257">
        <v>86</v>
      </c>
      <c r="L2257">
        <v>3222</v>
      </c>
      <c r="M2257">
        <v>-218</v>
      </c>
      <c r="N2257" s="1">
        <v>37988</v>
      </c>
      <c r="O2257" t="s">
        <v>25</v>
      </c>
      <c r="P2257">
        <v>1</v>
      </c>
      <c r="Q2257">
        <v>1</v>
      </c>
      <c r="R2257">
        <v>2004</v>
      </c>
      <c r="S2257" t="s">
        <v>255</v>
      </c>
    </row>
    <row r="2258" spans="1:19" x14ac:dyDescent="0.25">
      <c r="A2258">
        <v>10306</v>
      </c>
      <c r="B2258" t="s">
        <v>318</v>
      </c>
      <c r="C2258" t="s">
        <v>197</v>
      </c>
      <c r="D2258" t="s">
        <v>198</v>
      </c>
      <c r="E2258" t="s">
        <v>77</v>
      </c>
      <c r="F2258" t="s">
        <v>30</v>
      </c>
      <c r="G2258" t="s">
        <v>33</v>
      </c>
      <c r="H2258">
        <v>10</v>
      </c>
      <c r="I2258">
        <v>38</v>
      </c>
      <c r="J2258">
        <v>91.81</v>
      </c>
      <c r="K2258">
        <v>86</v>
      </c>
      <c r="L2258">
        <v>3488.78</v>
      </c>
      <c r="M2258">
        <v>220.78</v>
      </c>
      <c r="N2258" s="1">
        <v>38274</v>
      </c>
      <c r="O2258" t="s">
        <v>25</v>
      </c>
      <c r="P2258">
        <v>4</v>
      </c>
      <c r="Q2258">
        <v>10</v>
      </c>
      <c r="R2258">
        <v>2004</v>
      </c>
      <c r="S2258" t="s">
        <v>255</v>
      </c>
    </row>
    <row r="2259" spans="1:19" x14ac:dyDescent="0.25">
      <c r="A2259">
        <v>10235</v>
      </c>
      <c r="B2259" t="s">
        <v>320</v>
      </c>
      <c r="C2259" t="s">
        <v>154</v>
      </c>
      <c r="D2259" t="s">
        <v>155</v>
      </c>
      <c r="E2259" t="s">
        <v>99</v>
      </c>
      <c r="F2259" t="s">
        <v>23</v>
      </c>
      <c r="G2259" t="s">
        <v>33</v>
      </c>
      <c r="H2259">
        <v>10</v>
      </c>
      <c r="I2259">
        <v>38</v>
      </c>
      <c r="J2259">
        <v>88.75</v>
      </c>
      <c r="K2259">
        <v>99</v>
      </c>
      <c r="L2259">
        <v>3372.5</v>
      </c>
      <c r="M2259">
        <v>-389.5</v>
      </c>
      <c r="N2259" s="1">
        <v>38079</v>
      </c>
      <c r="O2259" t="s">
        <v>25</v>
      </c>
      <c r="P2259">
        <v>2</v>
      </c>
      <c r="Q2259">
        <v>4</v>
      </c>
      <c r="R2259">
        <v>2004</v>
      </c>
      <c r="S2259" t="s">
        <v>234</v>
      </c>
    </row>
    <row r="2260" spans="1:19" x14ac:dyDescent="0.25">
      <c r="A2260">
        <v>10328</v>
      </c>
      <c r="B2260" t="s">
        <v>320</v>
      </c>
      <c r="C2260" t="s">
        <v>227</v>
      </c>
      <c r="D2260" t="s">
        <v>228</v>
      </c>
      <c r="E2260" t="s">
        <v>110</v>
      </c>
      <c r="F2260" t="s">
        <v>30</v>
      </c>
      <c r="G2260" t="s">
        <v>33</v>
      </c>
      <c r="H2260">
        <v>10</v>
      </c>
      <c r="I2260">
        <v>37</v>
      </c>
      <c r="J2260">
        <v>100</v>
      </c>
      <c r="K2260">
        <v>99</v>
      </c>
      <c r="L2260">
        <v>4021.53</v>
      </c>
      <c r="M2260">
        <v>358.53</v>
      </c>
      <c r="N2260" s="1">
        <v>38303</v>
      </c>
      <c r="O2260" t="s">
        <v>25</v>
      </c>
      <c r="P2260">
        <v>4</v>
      </c>
      <c r="Q2260">
        <v>11</v>
      </c>
      <c r="R2260">
        <v>2004</v>
      </c>
      <c r="S2260" t="s">
        <v>234</v>
      </c>
    </row>
    <row r="2261" spans="1:19" x14ac:dyDescent="0.25">
      <c r="A2261">
        <v>10401</v>
      </c>
      <c r="B2261" t="s">
        <v>320</v>
      </c>
      <c r="C2261" t="s">
        <v>52</v>
      </c>
      <c r="D2261" t="s">
        <v>53</v>
      </c>
      <c r="E2261" t="s">
        <v>22</v>
      </c>
      <c r="F2261" t="s">
        <v>23</v>
      </c>
      <c r="G2261" t="s">
        <v>70</v>
      </c>
      <c r="H2261">
        <v>10</v>
      </c>
      <c r="I2261">
        <v>85</v>
      </c>
      <c r="J2261">
        <v>88.75</v>
      </c>
      <c r="K2261">
        <v>99</v>
      </c>
      <c r="L2261">
        <v>7543.75</v>
      </c>
      <c r="M2261">
        <v>-871.25</v>
      </c>
      <c r="N2261" s="1">
        <v>38445</v>
      </c>
      <c r="O2261" t="s">
        <v>164</v>
      </c>
      <c r="P2261">
        <v>2</v>
      </c>
      <c r="Q2261">
        <v>4</v>
      </c>
      <c r="R2261">
        <v>2005</v>
      </c>
      <c r="S2261" t="s">
        <v>234</v>
      </c>
    </row>
    <row r="2262" spans="1:19" x14ac:dyDescent="0.25">
      <c r="A2262">
        <v>10167</v>
      </c>
      <c r="B2262" t="s">
        <v>321</v>
      </c>
      <c r="C2262" t="s">
        <v>111</v>
      </c>
      <c r="D2262" t="s">
        <v>112</v>
      </c>
      <c r="E2262" t="s">
        <v>86</v>
      </c>
      <c r="F2262" t="s">
        <v>30</v>
      </c>
      <c r="G2262" t="s">
        <v>33</v>
      </c>
      <c r="H2262">
        <v>10</v>
      </c>
      <c r="I2262">
        <v>46</v>
      </c>
      <c r="J2262">
        <v>70.11</v>
      </c>
      <c r="K2262">
        <v>72</v>
      </c>
      <c r="L2262">
        <v>3225.06</v>
      </c>
      <c r="M2262">
        <v>-86.94</v>
      </c>
      <c r="N2262" s="1">
        <v>37917</v>
      </c>
      <c r="O2262" t="s">
        <v>141</v>
      </c>
      <c r="P2262">
        <v>4</v>
      </c>
      <c r="Q2262">
        <v>10</v>
      </c>
      <c r="R2262">
        <v>2003</v>
      </c>
      <c r="S2262" t="s">
        <v>255</v>
      </c>
    </row>
    <row r="2263" spans="1:19" x14ac:dyDescent="0.25">
      <c r="A2263">
        <v>10386</v>
      </c>
      <c r="B2263" t="s">
        <v>321</v>
      </c>
      <c r="C2263" t="s">
        <v>78</v>
      </c>
      <c r="D2263" t="s">
        <v>79</v>
      </c>
      <c r="E2263" t="s">
        <v>80</v>
      </c>
      <c r="F2263" t="s">
        <v>30</v>
      </c>
      <c r="G2263" t="s">
        <v>33</v>
      </c>
      <c r="H2263">
        <v>10</v>
      </c>
      <c r="I2263">
        <v>37</v>
      </c>
      <c r="J2263">
        <v>100</v>
      </c>
      <c r="K2263">
        <v>72</v>
      </c>
      <c r="L2263">
        <v>5017.57</v>
      </c>
      <c r="M2263">
        <v>2353.5700000000002</v>
      </c>
      <c r="N2263" s="1">
        <v>38412</v>
      </c>
      <c r="O2263" t="s">
        <v>169</v>
      </c>
      <c r="P2263">
        <v>1</v>
      </c>
      <c r="Q2263">
        <v>3</v>
      </c>
      <c r="R2263">
        <v>2005</v>
      </c>
      <c r="S2263" t="s">
        <v>255</v>
      </c>
    </row>
    <row r="2264" spans="1:19" x14ac:dyDescent="0.25">
      <c r="A2264">
        <v>10114</v>
      </c>
      <c r="B2264" t="s">
        <v>322</v>
      </c>
      <c r="C2264" t="s">
        <v>166</v>
      </c>
      <c r="D2264" t="s">
        <v>32</v>
      </c>
      <c r="E2264" t="s">
        <v>29</v>
      </c>
      <c r="F2264" t="s">
        <v>30</v>
      </c>
      <c r="G2264" t="s">
        <v>33</v>
      </c>
      <c r="H2264">
        <v>10</v>
      </c>
      <c r="I2264">
        <v>42</v>
      </c>
      <c r="J2264">
        <v>100</v>
      </c>
      <c r="K2264">
        <v>101</v>
      </c>
      <c r="L2264">
        <v>4758.18</v>
      </c>
      <c r="M2264">
        <v>516.17999999999995</v>
      </c>
      <c r="N2264" s="1">
        <v>37712</v>
      </c>
      <c r="O2264" t="s">
        <v>25</v>
      </c>
      <c r="P2264">
        <v>2</v>
      </c>
      <c r="Q2264">
        <v>4</v>
      </c>
      <c r="R2264">
        <v>2003</v>
      </c>
      <c r="S2264" t="s">
        <v>83</v>
      </c>
    </row>
    <row r="2265" spans="1:19" x14ac:dyDescent="0.25">
      <c r="A2265">
        <v>10375</v>
      </c>
      <c r="B2265" t="s">
        <v>323</v>
      </c>
      <c r="C2265" t="s">
        <v>56</v>
      </c>
      <c r="D2265" t="s">
        <v>57</v>
      </c>
      <c r="E2265" t="s">
        <v>29</v>
      </c>
      <c r="F2265" t="s">
        <v>30</v>
      </c>
      <c r="G2265" t="s">
        <v>24</v>
      </c>
      <c r="H2265">
        <v>10</v>
      </c>
      <c r="I2265">
        <v>25</v>
      </c>
      <c r="J2265">
        <v>66.73</v>
      </c>
      <c r="K2265">
        <v>118</v>
      </c>
      <c r="L2265">
        <v>1668.25</v>
      </c>
      <c r="M2265">
        <v>-1281.75</v>
      </c>
      <c r="N2265" s="1">
        <v>38386</v>
      </c>
      <c r="O2265" t="s">
        <v>25</v>
      </c>
      <c r="P2265">
        <v>1</v>
      </c>
      <c r="Q2265">
        <v>2</v>
      </c>
      <c r="R2265">
        <v>2005</v>
      </c>
      <c r="S2265" t="s">
        <v>234</v>
      </c>
    </row>
    <row r="2266" spans="1:19" x14ac:dyDescent="0.25">
      <c r="A2266">
        <v>10250</v>
      </c>
      <c r="B2266" t="s">
        <v>324</v>
      </c>
      <c r="C2266" t="s">
        <v>162</v>
      </c>
      <c r="D2266" t="s">
        <v>163</v>
      </c>
      <c r="E2266" t="s">
        <v>22</v>
      </c>
      <c r="F2266" t="s">
        <v>23</v>
      </c>
      <c r="G2266" t="s">
        <v>24</v>
      </c>
      <c r="H2266">
        <v>10</v>
      </c>
      <c r="I2266">
        <v>44</v>
      </c>
      <c r="J2266">
        <v>67.2</v>
      </c>
      <c r="K2266">
        <v>80</v>
      </c>
      <c r="L2266">
        <v>2956.8</v>
      </c>
      <c r="M2266">
        <v>-563.20000000000005</v>
      </c>
      <c r="N2266" s="1">
        <v>38118</v>
      </c>
      <c r="O2266" t="s">
        <v>25</v>
      </c>
      <c r="P2266">
        <v>2</v>
      </c>
      <c r="Q2266">
        <v>5</v>
      </c>
      <c r="R2266">
        <v>2004</v>
      </c>
      <c r="S2266" t="s">
        <v>234</v>
      </c>
    </row>
    <row r="2267" spans="1:19" x14ac:dyDescent="0.25">
      <c r="A2267">
        <v>10361</v>
      </c>
      <c r="B2267" t="s">
        <v>324</v>
      </c>
      <c r="C2267" t="s">
        <v>71</v>
      </c>
      <c r="D2267" t="s">
        <v>72</v>
      </c>
      <c r="E2267" t="s">
        <v>49</v>
      </c>
      <c r="F2267" t="s">
        <v>50</v>
      </c>
      <c r="G2267" t="s">
        <v>33</v>
      </c>
      <c r="H2267">
        <v>10</v>
      </c>
      <c r="I2267">
        <v>44</v>
      </c>
      <c r="J2267">
        <v>100</v>
      </c>
      <c r="K2267">
        <v>80</v>
      </c>
      <c r="L2267">
        <v>5001.92</v>
      </c>
      <c r="M2267">
        <v>1481.92</v>
      </c>
      <c r="N2267" s="1">
        <v>38338</v>
      </c>
      <c r="O2267" t="s">
        <v>25</v>
      </c>
      <c r="P2267">
        <v>4</v>
      </c>
      <c r="Q2267">
        <v>12</v>
      </c>
      <c r="R2267">
        <v>2004</v>
      </c>
      <c r="S2267" t="s">
        <v>234</v>
      </c>
    </row>
    <row r="2268" spans="1:19" x14ac:dyDescent="0.25">
      <c r="A2268">
        <v>10398</v>
      </c>
      <c r="B2268" t="s">
        <v>324</v>
      </c>
      <c r="C2268" t="s">
        <v>27</v>
      </c>
      <c r="D2268" t="s">
        <v>28</v>
      </c>
      <c r="E2268" t="s">
        <v>29</v>
      </c>
      <c r="F2268" t="s">
        <v>30</v>
      </c>
      <c r="G2268" t="s">
        <v>24</v>
      </c>
      <c r="H2268">
        <v>10</v>
      </c>
      <c r="I2268">
        <v>29</v>
      </c>
      <c r="J2268">
        <v>65.599999999999994</v>
      </c>
      <c r="K2268">
        <v>80</v>
      </c>
      <c r="L2268">
        <v>1902.4</v>
      </c>
      <c r="M2268">
        <v>-417.6</v>
      </c>
      <c r="N2268" s="1">
        <v>38441</v>
      </c>
      <c r="O2268" t="s">
        <v>25</v>
      </c>
      <c r="P2268">
        <v>1</v>
      </c>
      <c r="Q2268">
        <v>3</v>
      </c>
      <c r="R2268">
        <v>2005</v>
      </c>
      <c r="S2268" t="s">
        <v>234</v>
      </c>
    </row>
    <row r="2269" spans="1:19" x14ac:dyDescent="0.25">
      <c r="A2269">
        <v>10416</v>
      </c>
      <c r="B2269" t="s">
        <v>324</v>
      </c>
      <c r="C2269" t="s">
        <v>184</v>
      </c>
      <c r="D2269" t="s">
        <v>185</v>
      </c>
      <c r="E2269" t="s">
        <v>110</v>
      </c>
      <c r="F2269" t="s">
        <v>30</v>
      </c>
      <c r="G2269" t="s">
        <v>24</v>
      </c>
      <c r="H2269">
        <v>10</v>
      </c>
      <c r="I2269">
        <v>39</v>
      </c>
      <c r="J2269">
        <v>67.2</v>
      </c>
      <c r="K2269">
        <v>80</v>
      </c>
      <c r="L2269">
        <v>2620.8000000000002</v>
      </c>
      <c r="M2269">
        <v>-499.2</v>
      </c>
      <c r="N2269" s="1">
        <v>38482</v>
      </c>
      <c r="O2269" t="s">
        <v>25</v>
      </c>
      <c r="P2269">
        <v>2</v>
      </c>
      <c r="Q2269">
        <v>5</v>
      </c>
      <c r="R2269">
        <v>2005</v>
      </c>
      <c r="S2269" t="s">
        <v>234</v>
      </c>
    </row>
    <row r="2270" spans="1:19" x14ac:dyDescent="0.25">
      <c r="A2270">
        <v>10197</v>
      </c>
      <c r="B2270" t="s">
        <v>325</v>
      </c>
      <c r="C2270" t="s">
        <v>145</v>
      </c>
      <c r="D2270" t="s">
        <v>146</v>
      </c>
      <c r="E2270" t="s">
        <v>80</v>
      </c>
      <c r="F2270" t="s">
        <v>30</v>
      </c>
      <c r="G2270" t="s">
        <v>24</v>
      </c>
      <c r="H2270">
        <v>10</v>
      </c>
      <c r="I2270">
        <v>27</v>
      </c>
      <c r="J2270">
        <v>92.16</v>
      </c>
      <c r="K2270">
        <v>100</v>
      </c>
      <c r="L2270">
        <v>2488.3200000000002</v>
      </c>
      <c r="M2270">
        <v>-211.68</v>
      </c>
      <c r="N2270" s="1">
        <v>37951</v>
      </c>
      <c r="O2270" t="s">
        <v>25</v>
      </c>
      <c r="P2270">
        <v>4</v>
      </c>
      <c r="Q2270">
        <v>11</v>
      </c>
      <c r="R2270">
        <v>2003</v>
      </c>
      <c r="S2270" t="s">
        <v>255</v>
      </c>
    </row>
    <row r="2271" spans="1:19" x14ac:dyDescent="0.25">
      <c r="A2271">
        <v>10283</v>
      </c>
      <c r="B2271" t="s">
        <v>325</v>
      </c>
      <c r="C2271" t="s">
        <v>154</v>
      </c>
      <c r="D2271" t="s">
        <v>155</v>
      </c>
      <c r="E2271" t="s">
        <v>99</v>
      </c>
      <c r="F2271" t="s">
        <v>23</v>
      </c>
      <c r="G2271" t="s">
        <v>24</v>
      </c>
      <c r="H2271">
        <v>10</v>
      </c>
      <c r="I2271">
        <v>22</v>
      </c>
      <c r="J2271">
        <v>88.15</v>
      </c>
      <c r="K2271">
        <v>100</v>
      </c>
      <c r="L2271">
        <v>1939.3</v>
      </c>
      <c r="M2271">
        <v>-260.7</v>
      </c>
      <c r="N2271" s="1">
        <v>38219</v>
      </c>
      <c r="O2271" t="s">
        <v>25</v>
      </c>
      <c r="P2271">
        <v>3</v>
      </c>
      <c r="Q2271">
        <v>8</v>
      </c>
      <c r="R2271">
        <v>2004</v>
      </c>
      <c r="S2271" t="s">
        <v>255</v>
      </c>
    </row>
    <row r="2272" spans="1:19" x14ac:dyDescent="0.25">
      <c r="A2272">
        <v>10106</v>
      </c>
      <c r="B2272" t="s">
        <v>327</v>
      </c>
      <c r="C2272" t="s">
        <v>227</v>
      </c>
      <c r="D2272" t="s">
        <v>228</v>
      </c>
      <c r="E2272" t="s">
        <v>110</v>
      </c>
      <c r="F2272" t="s">
        <v>30</v>
      </c>
      <c r="G2272" t="s">
        <v>24</v>
      </c>
      <c r="H2272">
        <v>10</v>
      </c>
      <c r="I2272">
        <v>48</v>
      </c>
      <c r="J2272">
        <v>61.44</v>
      </c>
      <c r="K2272">
        <v>74</v>
      </c>
      <c r="L2272">
        <v>2949.12</v>
      </c>
      <c r="M2272">
        <v>-602.88</v>
      </c>
      <c r="N2272" s="1">
        <v>37669</v>
      </c>
      <c r="O2272" t="s">
        <v>25</v>
      </c>
      <c r="P2272">
        <v>1</v>
      </c>
      <c r="Q2272">
        <v>2</v>
      </c>
      <c r="R2272">
        <v>2003</v>
      </c>
      <c r="S2272" t="s">
        <v>234</v>
      </c>
    </row>
    <row r="2273" spans="1:19" x14ac:dyDescent="0.25">
      <c r="A2273">
        <v>10143</v>
      </c>
      <c r="B2273" t="s">
        <v>328</v>
      </c>
      <c r="C2273" t="s">
        <v>140</v>
      </c>
      <c r="D2273" t="s">
        <v>74</v>
      </c>
      <c r="E2273" t="s">
        <v>22</v>
      </c>
      <c r="F2273" t="s">
        <v>23</v>
      </c>
      <c r="G2273" t="s">
        <v>24</v>
      </c>
      <c r="H2273">
        <v>10</v>
      </c>
      <c r="I2273">
        <v>37</v>
      </c>
      <c r="J2273">
        <v>50.65</v>
      </c>
      <c r="K2273">
        <v>49</v>
      </c>
      <c r="L2273">
        <v>1874.05</v>
      </c>
      <c r="M2273">
        <v>61.05</v>
      </c>
      <c r="N2273" s="1">
        <v>37843</v>
      </c>
      <c r="O2273" t="s">
        <v>25</v>
      </c>
      <c r="P2273">
        <v>3</v>
      </c>
      <c r="Q2273">
        <v>8</v>
      </c>
      <c r="R2273">
        <v>2003</v>
      </c>
      <c r="S2273" t="s">
        <v>234</v>
      </c>
    </row>
    <row r="2274" spans="1:19" x14ac:dyDescent="0.25">
      <c r="A2274">
        <v>10296</v>
      </c>
      <c r="B2274" t="s">
        <v>328</v>
      </c>
      <c r="C2274" t="s">
        <v>236</v>
      </c>
      <c r="D2274" t="s">
        <v>237</v>
      </c>
      <c r="E2274" t="s">
        <v>180</v>
      </c>
      <c r="F2274" t="s">
        <v>30</v>
      </c>
      <c r="G2274" t="s">
        <v>24</v>
      </c>
      <c r="H2274">
        <v>10</v>
      </c>
      <c r="I2274">
        <v>21</v>
      </c>
      <c r="J2274">
        <v>45.19</v>
      </c>
      <c r="K2274">
        <v>49</v>
      </c>
      <c r="L2274">
        <v>948.99</v>
      </c>
      <c r="M2274">
        <v>-80.010000000000005</v>
      </c>
      <c r="N2274" s="1">
        <v>38245</v>
      </c>
      <c r="O2274" t="s">
        <v>25</v>
      </c>
      <c r="P2274">
        <v>3</v>
      </c>
      <c r="Q2274">
        <v>9</v>
      </c>
      <c r="R2274">
        <v>2004</v>
      </c>
      <c r="S2274" t="s">
        <v>234</v>
      </c>
    </row>
    <row r="2275" spans="1:19" x14ac:dyDescent="0.25">
      <c r="A2275">
        <v>10273</v>
      </c>
      <c r="B2275" t="s">
        <v>329</v>
      </c>
      <c r="C2275" t="s">
        <v>151</v>
      </c>
      <c r="D2275" t="s">
        <v>152</v>
      </c>
      <c r="E2275" t="s">
        <v>153</v>
      </c>
      <c r="F2275" t="s">
        <v>30</v>
      </c>
      <c r="G2275" t="s">
        <v>24</v>
      </c>
      <c r="H2275">
        <v>10</v>
      </c>
      <c r="I2275">
        <v>37</v>
      </c>
      <c r="J2275">
        <v>45.86</v>
      </c>
      <c r="K2275">
        <v>54</v>
      </c>
      <c r="L2275">
        <v>1696.82</v>
      </c>
      <c r="M2275">
        <v>-301.18</v>
      </c>
      <c r="N2275" s="1">
        <v>38189</v>
      </c>
      <c r="O2275" t="s">
        <v>25</v>
      </c>
      <c r="P2275">
        <v>3</v>
      </c>
      <c r="Q2275">
        <v>7</v>
      </c>
      <c r="R2275">
        <v>2004</v>
      </c>
      <c r="S2275" t="s">
        <v>255</v>
      </c>
    </row>
    <row r="2276" spans="1:19" x14ac:dyDescent="0.25">
      <c r="A2276">
        <v>10103</v>
      </c>
      <c r="B2276" t="s">
        <v>82</v>
      </c>
      <c r="C2276" t="s">
        <v>63</v>
      </c>
      <c r="D2276" t="s">
        <v>64</v>
      </c>
      <c r="E2276" t="s">
        <v>44</v>
      </c>
      <c r="F2276" t="s">
        <v>30</v>
      </c>
      <c r="G2276" t="s">
        <v>33</v>
      </c>
      <c r="H2276">
        <v>11</v>
      </c>
      <c r="I2276">
        <v>26</v>
      </c>
      <c r="J2276">
        <v>100</v>
      </c>
      <c r="K2276">
        <v>214</v>
      </c>
      <c r="L2276">
        <v>5404.62</v>
      </c>
      <c r="M2276">
        <v>-159.38</v>
      </c>
      <c r="N2276" s="1">
        <v>37650</v>
      </c>
      <c r="O2276" t="s">
        <v>25</v>
      </c>
      <c r="P2276">
        <v>1</v>
      </c>
      <c r="Q2276">
        <v>1</v>
      </c>
      <c r="R2276">
        <v>2003</v>
      </c>
      <c r="S2276" t="s">
        <v>83</v>
      </c>
    </row>
    <row r="2277" spans="1:19" x14ac:dyDescent="0.25">
      <c r="A2277">
        <v>10126</v>
      </c>
      <c r="B2277" t="s">
        <v>82</v>
      </c>
      <c r="C2277" t="s">
        <v>87</v>
      </c>
      <c r="D2277" t="s">
        <v>79</v>
      </c>
      <c r="E2277" t="s">
        <v>80</v>
      </c>
      <c r="F2277" t="s">
        <v>30</v>
      </c>
      <c r="G2277" t="s">
        <v>70</v>
      </c>
      <c r="H2277">
        <v>11</v>
      </c>
      <c r="I2277">
        <v>38</v>
      </c>
      <c r="J2277">
        <v>100</v>
      </c>
      <c r="K2277">
        <v>214</v>
      </c>
      <c r="L2277">
        <v>7329.06</v>
      </c>
      <c r="M2277">
        <v>-802.94</v>
      </c>
      <c r="N2277" s="1">
        <v>37769</v>
      </c>
      <c r="O2277" t="s">
        <v>25</v>
      </c>
      <c r="P2277">
        <v>2</v>
      </c>
      <c r="Q2277">
        <v>5</v>
      </c>
      <c r="R2277">
        <v>2003</v>
      </c>
      <c r="S2277" t="s">
        <v>83</v>
      </c>
    </row>
    <row r="2278" spans="1:19" x14ac:dyDescent="0.25">
      <c r="A2278">
        <v>10140</v>
      </c>
      <c r="B2278" t="s">
        <v>82</v>
      </c>
      <c r="C2278" t="s">
        <v>38</v>
      </c>
      <c r="D2278" t="s">
        <v>39</v>
      </c>
      <c r="E2278" t="s">
        <v>22</v>
      </c>
      <c r="F2278" t="s">
        <v>23</v>
      </c>
      <c r="G2278" t="s">
        <v>70</v>
      </c>
      <c r="H2278">
        <v>11</v>
      </c>
      <c r="I2278">
        <v>37</v>
      </c>
      <c r="J2278">
        <v>100</v>
      </c>
      <c r="K2278">
        <v>214</v>
      </c>
      <c r="L2278">
        <v>7374.1</v>
      </c>
      <c r="M2278">
        <v>-543.9</v>
      </c>
      <c r="N2278" s="1">
        <v>37826</v>
      </c>
      <c r="O2278" t="s">
        <v>25</v>
      </c>
      <c r="P2278">
        <v>3</v>
      </c>
      <c r="Q2278">
        <v>7</v>
      </c>
      <c r="R2278">
        <v>2003</v>
      </c>
      <c r="S2278" t="s">
        <v>83</v>
      </c>
    </row>
    <row r="2279" spans="1:19" x14ac:dyDescent="0.25">
      <c r="A2279">
        <v>10194</v>
      </c>
      <c r="B2279" t="s">
        <v>82</v>
      </c>
      <c r="C2279" t="s">
        <v>95</v>
      </c>
      <c r="D2279" t="s">
        <v>96</v>
      </c>
      <c r="E2279" t="s">
        <v>29</v>
      </c>
      <c r="F2279" t="s">
        <v>30</v>
      </c>
      <c r="G2279" t="s">
        <v>70</v>
      </c>
      <c r="H2279">
        <v>11</v>
      </c>
      <c r="I2279">
        <v>42</v>
      </c>
      <c r="J2279">
        <v>100</v>
      </c>
      <c r="K2279">
        <v>214</v>
      </c>
      <c r="L2279">
        <v>7290.36</v>
      </c>
      <c r="M2279">
        <v>-1697.64</v>
      </c>
      <c r="N2279" s="1">
        <v>37950</v>
      </c>
      <c r="O2279" t="s">
        <v>25</v>
      </c>
      <c r="P2279">
        <v>4</v>
      </c>
      <c r="Q2279">
        <v>11</v>
      </c>
      <c r="R2279">
        <v>2003</v>
      </c>
      <c r="S2279" t="s">
        <v>83</v>
      </c>
    </row>
    <row r="2280" spans="1:19" x14ac:dyDescent="0.25">
      <c r="A2280">
        <v>10291</v>
      </c>
      <c r="B2280" t="s">
        <v>82</v>
      </c>
      <c r="C2280" t="s">
        <v>111</v>
      </c>
      <c r="D2280" t="s">
        <v>112</v>
      </c>
      <c r="E2280" t="s">
        <v>86</v>
      </c>
      <c r="F2280" t="s">
        <v>30</v>
      </c>
      <c r="G2280" t="s">
        <v>70</v>
      </c>
      <c r="H2280">
        <v>11</v>
      </c>
      <c r="I2280">
        <v>37</v>
      </c>
      <c r="J2280">
        <v>100</v>
      </c>
      <c r="K2280">
        <v>214</v>
      </c>
      <c r="L2280">
        <v>7136.19</v>
      </c>
      <c r="M2280">
        <v>-781.81</v>
      </c>
      <c r="N2280" s="1">
        <v>38238</v>
      </c>
      <c r="O2280" t="s">
        <v>25</v>
      </c>
      <c r="P2280">
        <v>3</v>
      </c>
      <c r="Q2280">
        <v>9</v>
      </c>
      <c r="R2280">
        <v>2004</v>
      </c>
      <c r="S2280" t="s">
        <v>83</v>
      </c>
    </row>
    <row r="2281" spans="1:19" x14ac:dyDescent="0.25">
      <c r="A2281">
        <v>10180</v>
      </c>
      <c r="B2281" t="s">
        <v>133</v>
      </c>
      <c r="C2281" t="s">
        <v>40</v>
      </c>
      <c r="D2281" t="s">
        <v>41</v>
      </c>
      <c r="E2281" t="s">
        <v>29</v>
      </c>
      <c r="F2281" t="s">
        <v>30</v>
      </c>
      <c r="G2281" t="s">
        <v>70</v>
      </c>
      <c r="H2281">
        <v>11</v>
      </c>
      <c r="I2281">
        <v>41</v>
      </c>
      <c r="J2281">
        <v>100</v>
      </c>
      <c r="K2281">
        <v>193</v>
      </c>
      <c r="L2281">
        <v>8892.9</v>
      </c>
      <c r="M2281">
        <v>979.9</v>
      </c>
      <c r="N2281" s="1">
        <v>37936</v>
      </c>
      <c r="O2281" t="s">
        <v>25</v>
      </c>
      <c r="P2281">
        <v>4</v>
      </c>
      <c r="Q2281">
        <v>11</v>
      </c>
      <c r="R2281">
        <v>2003</v>
      </c>
      <c r="S2281" t="s">
        <v>26</v>
      </c>
    </row>
    <row r="2282" spans="1:19" x14ac:dyDescent="0.25">
      <c r="A2282">
        <v>10299</v>
      </c>
      <c r="B2282" t="s">
        <v>133</v>
      </c>
      <c r="C2282" t="s">
        <v>60</v>
      </c>
      <c r="D2282" t="s">
        <v>61</v>
      </c>
      <c r="E2282" t="s">
        <v>62</v>
      </c>
      <c r="F2282" t="s">
        <v>30</v>
      </c>
      <c r="G2282" t="s">
        <v>33</v>
      </c>
      <c r="H2282">
        <v>11</v>
      </c>
      <c r="I2282">
        <v>29</v>
      </c>
      <c r="J2282">
        <v>100</v>
      </c>
      <c r="K2282">
        <v>193</v>
      </c>
      <c r="L2282">
        <v>6683.34</v>
      </c>
      <c r="M2282">
        <v>1086.3399999999999</v>
      </c>
      <c r="N2282" s="1">
        <v>38260</v>
      </c>
      <c r="O2282" t="s">
        <v>25</v>
      </c>
      <c r="P2282">
        <v>3</v>
      </c>
      <c r="Q2282">
        <v>9</v>
      </c>
      <c r="R2282">
        <v>2004</v>
      </c>
      <c r="S2282" t="s">
        <v>26</v>
      </c>
    </row>
    <row r="2283" spans="1:19" x14ac:dyDescent="0.25">
      <c r="A2283">
        <v>10119</v>
      </c>
      <c r="B2283" t="s">
        <v>134</v>
      </c>
      <c r="C2283" t="s">
        <v>67</v>
      </c>
      <c r="D2283" t="s">
        <v>68</v>
      </c>
      <c r="E2283" t="s">
        <v>69</v>
      </c>
      <c r="F2283" t="s">
        <v>30</v>
      </c>
      <c r="G2283" t="s">
        <v>33</v>
      </c>
      <c r="H2283">
        <v>11</v>
      </c>
      <c r="I2283">
        <v>46</v>
      </c>
      <c r="J2283">
        <v>100</v>
      </c>
      <c r="K2283">
        <v>136</v>
      </c>
      <c r="L2283">
        <v>5004.8</v>
      </c>
      <c r="M2283">
        <v>-1251.2</v>
      </c>
      <c r="N2283" s="1">
        <v>37739</v>
      </c>
      <c r="O2283" t="s">
        <v>25</v>
      </c>
      <c r="P2283">
        <v>2</v>
      </c>
      <c r="Q2283">
        <v>4</v>
      </c>
      <c r="R2283">
        <v>2003</v>
      </c>
      <c r="S2283" t="s">
        <v>83</v>
      </c>
    </row>
    <row r="2284" spans="1:19" x14ac:dyDescent="0.25">
      <c r="A2284">
        <v>10153</v>
      </c>
      <c r="B2284" t="s">
        <v>191</v>
      </c>
      <c r="C2284" t="s">
        <v>78</v>
      </c>
      <c r="D2284" t="s">
        <v>79</v>
      </c>
      <c r="E2284" t="s">
        <v>80</v>
      </c>
      <c r="F2284" t="s">
        <v>30</v>
      </c>
      <c r="G2284" t="s">
        <v>33</v>
      </c>
      <c r="H2284">
        <v>11</v>
      </c>
      <c r="I2284">
        <v>20</v>
      </c>
      <c r="J2284">
        <v>100</v>
      </c>
      <c r="K2284">
        <v>207</v>
      </c>
      <c r="L2284">
        <v>4904</v>
      </c>
      <c r="M2284">
        <v>764</v>
      </c>
      <c r="N2284" s="1">
        <v>37892</v>
      </c>
      <c r="O2284" t="s">
        <v>25</v>
      </c>
      <c r="P2284">
        <v>3</v>
      </c>
      <c r="Q2284">
        <v>9</v>
      </c>
      <c r="R2284">
        <v>2003</v>
      </c>
      <c r="S2284" t="s">
        <v>83</v>
      </c>
    </row>
    <row r="2285" spans="1:19" x14ac:dyDescent="0.25">
      <c r="A2285">
        <v>10313</v>
      </c>
      <c r="B2285" t="s">
        <v>201</v>
      </c>
      <c r="C2285" t="s">
        <v>97</v>
      </c>
      <c r="D2285" t="s">
        <v>98</v>
      </c>
      <c r="E2285" t="s">
        <v>99</v>
      </c>
      <c r="F2285" t="s">
        <v>23</v>
      </c>
      <c r="G2285" t="s">
        <v>24</v>
      </c>
      <c r="H2285">
        <v>11</v>
      </c>
      <c r="I2285">
        <v>21</v>
      </c>
      <c r="J2285">
        <v>100</v>
      </c>
      <c r="K2285">
        <v>136</v>
      </c>
      <c r="L2285">
        <v>2669.1</v>
      </c>
      <c r="M2285">
        <v>-186.9</v>
      </c>
      <c r="N2285" s="1">
        <v>38282</v>
      </c>
      <c r="O2285" t="s">
        <v>25</v>
      </c>
      <c r="P2285">
        <v>4</v>
      </c>
      <c r="Q2285">
        <v>10</v>
      </c>
      <c r="R2285">
        <v>2004</v>
      </c>
      <c r="S2285" t="s">
        <v>202</v>
      </c>
    </row>
    <row r="2286" spans="1:19" x14ac:dyDescent="0.25">
      <c r="A2286">
        <v>10336</v>
      </c>
      <c r="B2286" t="s">
        <v>205</v>
      </c>
      <c r="C2286" t="s">
        <v>166</v>
      </c>
      <c r="D2286" t="s">
        <v>32</v>
      </c>
      <c r="E2286" t="s">
        <v>29</v>
      </c>
      <c r="F2286" t="s">
        <v>30</v>
      </c>
      <c r="G2286" t="s">
        <v>33</v>
      </c>
      <c r="H2286">
        <v>11</v>
      </c>
      <c r="I2286">
        <v>33</v>
      </c>
      <c r="J2286">
        <v>100</v>
      </c>
      <c r="K2286">
        <v>151</v>
      </c>
      <c r="L2286">
        <v>4059.33</v>
      </c>
      <c r="M2286">
        <v>-923.67</v>
      </c>
      <c r="N2286" s="1">
        <v>38311</v>
      </c>
      <c r="O2286" t="s">
        <v>25</v>
      </c>
      <c r="P2286">
        <v>4</v>
      </c>
      <c r="Q2286">
        <v>11</v>
      </c>
      <c r="R2286">
        <v>2004</v>
      </c>
      <c r="S2286" t="s">
        <v>83</v>
      </c>
    </row>
    <row r="2287" spans="1:19" x14ac:dyDescent="0.25">
      <c r="A2287">
        <v>10382</v>
      </c>
      <c r="B2287" t="s">
        <v>205</v>
      </c>
      <c r="C2287" t="s">
        <v>115</v>
      </c>
      <c r="D2287" t="s">
        <v>116</v>
      </c>
      <c r="E2287" t="s">
        <v>22</v>
      </c>
      <c r="F2287" t="s">
        <v>23</v>
      </c>
      <c r="G2287" t="s">
        <v>33</v>
      </c>
      <c r="H2287">
        <v>11</v>
      </c>
      <c r="I2287">
        <v>37</v>
      </c>
      <c r="J2287">
        <v>100</v>
      </c>
      <c r="K2287">
        <v>151</v>
      </c>
      <c r="L2287">
        <v>4071.85</v>
      </c>
      <c r="M2287">
        <v>-1515.15</v>
      </c>
      <c r="N2287" s="1">
        <v>38400</v>
      </c>
      <c r="O2287" t="s">
        <v>25</v>
      </c>
      <c r="P2287">
        <v>1</v>
      </c>
      <c r="Q2287">
        <v>2</v>
      </c>
      <c r="R2287">
        <v>2005</v>
      </c>
      <c r="S2287" t="s">
        <v>83</v>
      </c>
    </row>
    <row r="2288" spans="1:19" x14ac:dyDescent="0.25">
      <c r="A2288">
        <v>10253</v>
      </c>
      <c r="B2288" t="s">
        <v>206</v>
      </c>
      <c r="C2288" t="s">
        <v>75</v>
      </c>
      <c r="D2288" t="s">
        <v>76</v>
      </c>
      <c r="E2288" t="s">
        <v>77</v>
      </c>
      <c r="F2288" t="s">
        <v>30</v>
      </c>
      <c r="G2288" t="s">
        <v>24</v>
      </c>
      <c r="H2288">
        <v>11</v>
      </c>
      <c r="I2288">
        <v>22</v>
      </c>
      <c r="J2288">
        <v>100</v>
      </c>
      <c r="K2288">
        <v>117</v>
      </c>
      <c r="L2288">
        <v>2402.84</v>
      </c>
      <c r="M2288">
        <v>-171.16</v>
      </c>
      <c r="N2288" s="1">
        <v>38139</v>
      </c>
      <c r="O2288" t="s">
        <v>141</v>
      </c>
      <c r="P2288">
        <v>2</v>
      </c>
      <c r="Q2288">
        <v>6</v>
      </c>
      <c r="R2288">
        <v>2004</v>
      </c>
      <c r="S2288" t="s">
        <v>83</v>
      </c>
    </row>
    <row r="2289" spans="1:19" x14ac:dyDescent="0.25">
      <c r="A2289">
        <v>10419</v>
      </c>
      <c r="B2289" t="s">
        <v>206</v>
      </c>
      <c r="C2289" t="s">
        <v>67</v>
      </c>
      <c r="D2289" t="s">
        <v>68</v>
      </c>
      <c r="E2289" t="s">
        <v>69</v>
      </c>
      <c r="F2289" t="s">
        <v>30</v>
      </c>
      <c r="G2289" t="s">
        <v>24</v>
      </c>
      <c r="H2289">
        <v>11</v>
      </c>
      <c r="I2289">
        <v>10</v>
      </c>
      <c r="J2289">
        <v>100</v>
      </c>
      <c r="K2289">
        <v>117</v>
      </c>
      <c r="L2289">
        <v>1092.2</v>
      </c>
      <c r="M2289">
        <v>-77.8</v>
      </c>
      <c r="N2289" s="1">
        <v>38489</v>
      </c>
      <c r="O2289" t="s">
        <v>25</v>
      </c>
      <c r="P2289">
        <v>2</v>
      </c>
      <c r="Q2289">
        <v>5</v>
      </c>
      <c r="R2289">
        <v>2005</v>
      </c>
      <c r="S2289" t="s">
        <v>83</v>
      </c>
    </row>
    <row r="2290" spans="1:19" x14ac:dyDescent="0.25">
      <c r="A2290">
        <v>10142</v>
      </c>
      <c r="B2290" t="s">
        <v>209</v>
      </c>
      <c r="C2290" t="s">
        <v>115</v>
      </c>
      <c r="D2290" t="s">
        <v>116</v>
      </c>
      <c r="E2290" t="s">
        <v>22</v>
      </c>
      <c r="F2290" t="s">
        <v>23</v>
      </c>
      <c r="G2290" t="s">
        <v>70</v>
      </c>
      <c r="H2290">
        <v>11</v>
      </c>
      <c r="I2290">
        <v>46</v>
      </c>
      <c r="J2290">
        <v>100</v>
      </c>
      <c r="K2290">
        <v>173</v>
      </c>
      <c r="L2290">
        <v>9470.94</v>
      </c>
      <c r="M2290">
        <v>1512.94</v>
      </c>
      <c r="N2290" s="1">
        <v>37841</v>
      </c>
      <c r="O2290" t="s">
        <v>25</v>
      </c>
      <c r="P2290">
        <v>3</v>
      </c>
      <c r="Q2290">
        <v>8</v>
      </c>
      <c r="R2290">
        <v>2003</v>
      </c>
      <c r="S2290" t="s">
        <v>83</v>
      </c>
    </row>
    <row r="2291" spans="1:19" x14ac:dyDescent="0.25">
      <c r="A2291">
        <v>10122</v>
      </c>
      <c r="B2291" t="s">
        <v>210</v>
      </c>
      <c r="C2291" t="s">
        <v>176</v>
      </c>
      <c r="D2291" t="s">
        <v>177</v>
      </c>
      <c r="E2291" t="s">
        <v>29</v>
      </c>
      <c r="F2291" t="s">
        <v>30</v>
      </c>
      <c r="G2291" t="s">
        <v>24</v>
      </c>
      <c r="H2291">
        <v>11</v>
      </c>
      <c r="I2291">
        <v>32</v>
      </c>
      <c r="J2291">
        <v>63.84</v>
      </c>
      <c r="K2291">
        <v>79</v>
      </c>
      <c r="L2291">
        <v>2042.88</v>
      </c>
      <c r="M2291">
        <v>-485.12</v>
      </c>
      <c r="N2291" s="1">
        <v>37749</v>
      </c>
      <c r="O2291" t="s">
        <v>25</v>
      </c>
      <c r="P2291">
        <v>2</v>
      </c>
      <c r="Q2291">
        <v>5</v>
      </c>
      <c r="R2291">
        <v>2003</v>
      </c>
      <c r="S2291" t="s">
        <v>83</v>
      </c>
    </row>
    <row r="2292" spans="1:19" x14ac:dyDescent="0.25">
      <c r="A2292">
        <v>10310</v>
      </c>
      <c r="B2292" t="s">
        <v>210</v>
      </c>
      <c r="C2292" t="s">
        <v>178</v>
      </c>
      <c r="D2292" t="s">
        <v>179</v>
      </c>
      <c r="E2292" t="s">
        <v>180</v>
      </c>
      <c r="F2292" t="s">
        <v>30</v>
      </c>
      <c r="G2292" t="s">
        <v>33</v>
      </c>
      <c r="H2292">
        <v>11</v>
      </c>
      <c r="I2292">
        <v>49</v>
      </c>
      <c r="J2292">
        <v>81.400000000000006</v>
      </c>
      <c r="K2292">
        <v>79</v>
      </c>
      <c r="L2292">
        <v>3988.6</v>
      </c>
      <c r="M2292">
        <v>117.6</v>
      </c>
      <c r="N2292" s="1">
        <v>38276</v>
      </c>
      <c r="O2292" t="s">
        <v>25</v>
      </c>
      <c r="P2292">
        <v>4</v>
      </c>
      <c r="Q2292">
        <v>10</v>
      </c>
      <c r="R2292">
        <v>2004</v>
      </c>
      <c r="S2292" t="s">
        <v>83</v>
      </c>
    </row>
    <row r="2293" spans="1:19" x14ac:dyDescent="0.25">
      <c r="A2293">
        <v>10127</v>
      </c>
      <c r="B2293" t="s">
        <v>211</v>
      </c>
      <c r="C2293" t="s">
        <v>192</v>
      </c>
      <c r="D2293" t="s">
        <v>21</v>
      </c>
      <c r="E2293" t="s">
        <v>22</v>
      </c>
      <c r="F2293" t="s">
        <v>23</v>
      </c>
      <c r="G2293" t="s">
        <v>24</v>
      </c>
      <c r="H2293">
        <v>11</v>
      </c>
      <c r="I2293">
        <v>24</v>
      </c>
      <c r="J2293">
        <v>100</v>
      </c>
      <c r="K2293">
        <v>118</v>
      </c>
      <c r="L2293">
        <v>2559.6</v>
      </c>
      <c r="M2293">
        <v>-272.39999999999998</v>
      </c>
      <c r="N2293" s="1">
        <v>37775</v>
      </c>
      <c r="O2293" t="s">
        <v>25</v>
      </c>
      <c r="P2293">
        <v>2</v>
      </c>
      <c r="Q2293">
        <v>6</v>
      </c>
      <c r="R2293">
        <v>2003</v>
      </c>
      <c r="S2293" t="s">
        <v>202</v>
      </c>
    </row>
    <row r="2294" spans="1:19" x14ac:dyDescent="0.25">
      <c r="A2294">
        <v>10181</v>
      </c>
      <c r="B2294" t="s">
        <v>216</v>
      </c>
      <c r="C2294" t="s">
        <v>42</v>
      </c>
      <c r="D2294" t="s">
        <v>43</v>
      </c>
      <c r="E2294" t="s">
        <v>44</v>
      </c>
      <c r="F2294" t="s">
        <v>30</v>
      </c>
      <c r="G2294" t="s">
        <v>33</v>
      </c>
      <c r="H2294">
        <v>11</v>
      </c>
      <c r="I2294">
        <v>36</v>
      </c>
      <c r="J2294">
        <v>100</v>
      </c>
      <c r="K2294">
        <v>115</v>
      </c>
      <c r="L2294">
        <v>4477.32</v>
      </c>
      <c r="M2294">
        <v>337.32</v>
      </c>
      <c r="N2294" s="1">
        <v>37937</v>
      </c>
      <c r="O2294" t="s">
        <v>25</v>
      </c>
      <c r="P2294">
        <v>4</v>
      </c>
      <c r="Q2294">
        <v>11</v>
      </c>
      <c r="R2294">
        <v>2003</v>
      </c>
      <c r="S2294" t="s">
        <v>83</v>
      </c>
    </row>
    <row r="2295" spans="1:19" x14ac:dyDescent="0.25">
      <c r="A2295">
        <v>10266</v>
      </c>
      <c r="B2295" t="s">
        <v>216</v>
      </c>
      <c r="C2295" t="s">
        <v>184</v>
      </c>
      <c r="D2295" t="s">
        <v>185</v>
      </c>
      <c r="E2295" t="s">
        <v>110</v>
      </c>
      <c r="F2295" t="s">
        <v>30</v>
      </c>
      <c r="G2295" t="s">
        <v>33</v>
      </c>
      <c r="H2295">
        <v>11</v>
      </c>
      <c r="I2295">
        <v>40</v>
      </c>
      <c r="J2295">
        <v>100</v>
      </c>
      <c r="K2295">
        <v>115</v>
      </c>
      <c r="L2295">
        <v>4468.3999999999996</v>
      </c>
      <c r="M2295">
        <v>-131.6</v>
      </c>
      <c r="N2295" s="1">
        <v>38174</v>
      </c>
      <c r="O2295" t="s">
        <v>25</v>
      </c>
      <c r="P2295">
        <v>3</v>
      </c>
      <c r="Q2295">
        <v>7</v>
      </c>
      <c r="R2295">
        <v>2004</v>
      </c>
      <c r="S2295" t="s">
        <v>83</v>
      </c>
    </row>
    <row r="2296" spans="1:19" x14ac:dyDescent="0.25">
      <c r="A2296">
        <v>10192</v>
      </c>
      <c r="B2296" t="s">
        <v>220</v>
      </c>
      <c r="C2296" t="s">
        <v>117</v>
      </c>
      <c r="D2296" t="s">
        <v>118</v>
      </c>
      <c r="E2296" t="s">
        <v>22</v>
      </c>
      <c r="F2296" t="s">
        <v>23</v>
      </c>
      <c r="G2296" t="s">
        <v>33</v>
      </c>
      <c r="H2296">
        <v>11</v>
      </c>
      <c r="I2296">
        <v>22</v>
      </c>
      <c r="J2296">
        <v>100</v>
      </c>
      <c r="K2296">
        <v>141</v>
      </c>
      <c r="L2296">
        <v>3300.66</v>
      </c>
      <c r="M2296">
        <v>198.66</v>
      </c>
      <c r="N2296" s="1">
        <v>37945</v>
      </c>
      <c r="O2296" t="s">
        <v>25</v>
      </c>
      <c r="P2296">
        <v>4</v>
      </c>
      <c r="Q2296">
        <v>11</v>
      </c>
      <c r="R2296">
        <v>2003</v>
      </c>
      <c r="S2296" t="s">
        <v>83</v>
      </c>
    </row>
    <row r="2297" spans="1:19" x14ac:dyDescent="0.25">
      <c r="A2297">
        <v>10241</v>
      </c>
      <c r="B2297" t="s">
        <v>232</v>
      </c>
      <c r="C2297" t="s">
        <v>217</v>
      </c>
      <c r="D2297" t="s">
        <v>218</v>
      </c>
      <c r="E2297" t="s">
        <v>29</v>
      </c>
      <c r="F2297" t="s">
        <v>30</v>
      </c>
      <c r="G2297" t="s">
        <v>24</v>
      </c>
      <c r="H2297">
        <v>11</v>
      </c>
      <c r="I2297">
        <v>21</v>
      </c>
      <c r="J2297">
        <v>100</v>
      </c>
      <c r="K2297">
        <v>124</v>
      </c>
      <c r="L2297">
        <v>2508.66</v>
      </c>
      <c r="M2297">
        <v>-95.34</v>
      </c>
      <c r="N2297" s="1">
        <v>38090</v>
      </c>
      <c r="O2297" t="s">
        <v>25</v>
      </c>
      <c r="P2297">
        <v>2</v>
      </c>
      <c r="Q2297">
        <v>4</v>
      </c>
      <c r="R2297">
        <v>2004</v>
      </c>
      <c r="S2297" t="s">
        <v>83</v>
      </c>
    </row>
    <row r="2298" spans="1:19" x14ac:dyDescent="0.25">
      <c r="A2298">
        <v>10407</v>
      </c>
      <c r="B2298" t="s">
        <v>232</v>
      </c>
      <c r="C2298" t="s">
        <v>162</v>
      </c>
      <c r="D2298" t="s">
        <v>163</v>
      </c>
      <c r="E2298" t="s">
        <v>22</v>
      </c>
      <c r="F2298" t="s">
        <v>23</v>
      </c>
      <c r="G2298" t="s">
        <v>70</v>
      </c>
      <c r="H2298">
        <v>11</v>
      </c>
      <c r="I2298">
        <v>59</v>
      </c>
      <c r="J2298">
        <v>100</v>
      </c>
      <c r="K2298">
        <v>124</v>
      </c>
      <c r="L2298">
        <v>7048.14</v>
      </c>
      <c r="M2298">
        <v>-267.86</v>
      </c>
      <c r="N2298" s="1">
        <v>38464</v>
      </c>
      <c r="O2298" t="s">
        <v>164</v>
      </c>
      <c r="P2298">
        <v>2</v>
      </c>
      <c r="Q2298">
        <v>4</v>
      </c>
      <c r="R2298">
        <v>2005</v>
      </c>
      <c r="S2298" t="s">
        <v>83</v>
      </c>
    </row>
    <row r="2299" spans="1:19" x14ac:dyDescent="0.25">
      <c r="A2299">
        <v>10284</v>
      </c>
      <c r="B2299" t="s">
        <v>233</v>
      </c>
      <c r="C2299" t="s">
        <v>223</v>
      </c>
      <c r="D2299" t="s">
        <v>224</v>
      </c>
      <c r="E2299" t="s">
        <v>44</v>
      </c>
      <c r="F2299" t="s">
        <v>30</v>
      </c>
      <c r="G2299" t="s">
        <v>33</v>
      </c>
      <c r="H2299">
        <v>11</v>
      </c>
      <c r="I2299">
        <v>45</v>
      </c>
      <c r="J2299">
        <v>100</v>
      </c>
      <c r="K2299">
        <v>157</v>
      </c>
      <c r="L2299">
        <v>5747.85</v>
      </c>
      <c r="M2299">
        <v>-1317.15</v>
      </c>
      <c r="N2299" s="1">
        <v>38220</v>
      </c>
      <c r="O2299" t="s">
        <v>25</v>
      </c>
      <c r="P2299">
        <v>3</v>
      </c>
      <c r="Q2299">
        <v>8</v>
      </c>
      <c r="R2299">
        <v>2004</v>
      </c>
      <c r="S2299" t="s">
        <v>234</v>
      </c>
    </row>
    <row r="2300" spans="1:19" x14ac:dyDescent="0.25">
      <c r="A2300">
        <v>10398</v>
      </c>
      <c r="B2300" t="s">
        <v>233</v>
      </c>
      <c r="C2300" t="s">
        <v>27</v>
      </c>
      <c r="D2300" t="s">
        <v>28</v>
      </c>
      <c r="E2300" t="s">
        <v>29</v>
      </c>
      <c r="F2300" t="s">
        <v>30</v>
      </c>
      <c r="G2300" t="s">
        <v>33</v>
      </c>
      <c r="H2300">
        <v>11</v>
      </c>
      <c r="I2300">
        <v>33</v>
      </c>
      <c r="J2300">
        <v>100</v>
      </c>
      <c r="K2300">
        <v>157</v>
      </c>
      <c r="L2300">
        <v>4215.09</v>
      </c>
      <c r="M2300">
        <v>-965.91</v>
      </c>
      <c r="N2300" s="1">
        <v>38441</v>
      </c>
      <c r="O2300" t="s">
        <v>25</v>
      </c>
      <c r="P2300">
        <v>1</v>
      </c>
      <c r="Q2300">
        <v>3</v>
      </c>
      <c r="R2300">
        <v>2005</v>
      </c>
      <c r="S2300" t="s">
        <v>234</v>
      </c>
    </row>
    <row r="2301" spans="1:19" x14ac:dyDescent="0.25">
      <c r="A2301">
        <v>10149</v>
      </c>
      <c r="B2301" t="s">
        <v>240</v>
      </c>
      <c r="C2301" t="s">
        <v>214</v>
      </c>
      <c r="D2301" t="s">
        <v>215</v>
      </c>
      <c r="E2301" t="s">
        <v>22</v>
      </c>
      <c r="F2301" t="s">
        <v>23</v>
      </c>
      <c r="G2301" t="s">
        <v>33</v>
      </c>
      <c r="H2301">
        <v>11</v>
      </c>
      <c r="I2301">
        <v>34</v>
      </c>
      <c r="J2301">
        <v>100</v>
      </c>
      <c r="K2301">
        <v>170</v>
      </c>
      <c r="L2301">
        <v>5375.4</v>
      </c>
      <c r="M2301">
        <v>-404.6</v>
      </c>
      <c r="N2301" s="1">
        <v>37876</v>
      </c>
      <c r="O2301" t="s">
        <v>25</v>
      </c>
      <c r="P2301">
        <v>3</v>
      </c>
      <c r="Q2301">
        <v>9</v>
      </c>
      <c r="R2301">
        <v>2003</v>
      </c>
      <c r="S2301" t="s">
        <v>226</v>
      </c>
    </row>
    <row r="2302" spans="1:19" x14ac:dyDescent="0.25">
      <c r="A2302">
        <v>10161</v>
      </c>
      <c r="B2302" t="s">
        <v>242</v>
      </c>
      <c r="C2302" t="s">
        <v>199</v>
      </c>
      <c r="D2302" t="s">
        <v>200</v>
      </c>
      <c r="E2302" t="s">
        <v>137</v>
      </c>
      <c r="F2302" t="s">
        <v>30</v>
      </c>
      <c r="G2302" t="s">
        <v>33</v>
      </c>
      <c r="H2302">
        <v>11</v>
      </c>
      <c r="I2302">
        <v>48</v>
      </c>
      <c r="J2302">
        <v>100</v>
      </c>
      <c r="K2302">
        <v>142</v>
      </c>
      <c r="L2302">
        <v>6145.44</v>
      </c>
      <c r="M2302">
        <v>-670.56</v>
      </c>
      <c r="N2302" s="1">
        <v>37911</v>
      </c>
      <c r="O2302" t="s">
        <v>25</v>
      </c>
      <c r="P2302">
        <v>4</v>
      </c>
      <c r="Q2302">
        <v>10</v>
      </c>
      <c r="R2302">
        <v>2003</v>
      </c>
      <c r="S2302" t="s">
        <v>83</v>
      </c>
    </row>
    <row r="2303" spans="1:19" x14ac:dyDescent="0.25">
      <c r="A2303">
        <v>10165</v>
      </c>
      <c r="B2303" t="s">
        <v>243</v>
      </c>
      <c r="C2303" t="s">
        <v>88</v>
      </c>
      <c r="D2303" t="s">
        <v>89</v>
      </c>
      <c r="E2303" t="s">
        <v>89</v>
      </c>
      <c r="F2303" t="s">
        <v>50</v>
      </c>
      <c r="G2303" t="s">
        <v>33</v>
      </c>
      <c r="H2303">
        <v>11</v>
      </c>
      <c r="I2303">
        <v>29</v>
      </c>
      <c r="J2303">
        <v>100</v>
      </c>
      <c r="K2303">
        <v>163</v>
      </c>
      <c r="L2303">
        <v>5032.95</v>
      </c>
      <c r="M2303">
        <v>305.95</v>
      </c>
      <c r="N2303" s="1">
        <v>37916</v>
      </c>
      <c r="O2303" t="s">
        <v>25</v>
      </c>
      <c r="P2303">
        <v>4</v>
      </c>
      <c r="Q2303">
        <v>10</v>
      </c>
      <c r="R2303">
        <v>2003</v>
      </c>
      <c r="S2303" t="s">
        <v>83</v>
      </c>
    </row>
    <row r="2304" spans="1:19" x14ac:dyDescent="0.25">
      <c r="A2304">
        <v>10292</v>
      </c>
      <c r="B2304" t="s">
        <v>245</v>
      </c>
      <c r="C2304" t="s">
        <v>20</v>
      </c>
      <c r="D2304" t="s">
        <v>21</v>
      </c>
      <c r="E2304" t="s">
        <v>22</v>
      </c>
      <c r="F2304" t="s">
        <v>23</v>
      </c>
      <c r="G2304" t="s">
        <v>33</v>
      </c>
      <c r="H2304">
        <v>11</v>
      </c>
      <c r="I2304">
        <v>41</v>
      </c>
      <c r="J2304">
        <v>100</v>
      </c>
      <c r="K2304">
        <v>122</v>
      </c>
      <c r="L2304">
        <v>4528.8599999999997</v>
      </c>
      <c r="M2304">
        <v>-473.14</v>
      </c>
      <c r="N2304" s="1">
        <v>38238</v>
      </c>
      <c r="O2304" t="s">
        <v>25</v>
      </c>
      <c r="P2304">
        <v>3</v>
      </c>
      <c r="Q2304">
        <v>9</v>
      </c>
      <c r="R2304">
        <v>2004</v>
      </c>
      <c r="S2304" t="s">
        <v>202</v>
      </c>
    </row>
    <row r="2305" spans="1:19" x14ac:dyDescent="0.25">
      <c r="A2305">
        <v>10358</v>
      </c>
      <c r="B2305" t="s">
        <v>245</v>
      </c>
      <c r="C2305" t="s">
        <v>78</v>
      </c>
      <c r="D2305" t="s">
        <v>79</v>
      </c>
      <c r="E2305" t="s">
        <v>80</v>
      </c>
      <c r="F2305" t="s">
        <v>30</v>
      </c>
      <c r="G2305" t="s">
        <v>24</v>
      </c>
      <c r="H2305">
        <v>11</v>
      </c>
      <c r="I2305">
        <v>20</v>
      </c>
      <c r="J2305">
        <v>36.42</v>
      </c>
      <c r="K2305">
        <v>122</v>
      </c>
      <c r="L2305">
        <v>728.4</v>
      </c>
      <c r="M2305">
        <v>-1711.6</v>
      </c>
      <c r="N2305" s="1">
        <v>38331</v>
      </c>
      <c r="O2305" t="s">
        <v>25</v>
      </c>
      <c r="P2305">
        <v>4</v>
      </c>
      <c r="Q2305">
        <v>12</v>
      </c>
      <c r="R2305">
        <v>2004</v>
      </c>
      <c r="S2305" t="s">
        <v>202</v>
      </c>
    </row>
    <row r="2306" spans="1:19" x14ac:dyDescent="0.25">
      <c r="A2306">
        <v>10383</v>
      </c>
      <c r="B2306" t="s">
        <v>245</v>
      </c>
      <c r="C2306" t="s">
        <v>78</v>
      </c>
      <c r="D2306" t="s">
        <v>79</v>
      </c>
      <c r="E2306" t="s">
        <v>80</v>
      </c>
      <c r="F2306" t="s">
        <v>30</v>
      </c>
      <c r="G2306" t="s">
        <v>33</v>
      </c>
      <c r="H2306">
        <v>11</v>
      </c>
      <c r="I2306">
        <v>27</v>
      </c>
      <c r="J2306">
        <v>100</v>
      </c>
      <c r="K2306">
        <v>122</v>
      </c>
      <c r="L2306">
        <v>3843.99</v>
      </c>
      <c r="M2306">
        <v>549.99</v>
      </c>
      <c r="N2306" s="1">
        <v>38405</v>
      </c>
      <c r="O2306" t="s">
        <v>25</v>
      </c>
      <c r="P2306">
        <v>1</v>
      </c>
      <c r="Q2306">
        <v>2</v>
      </c>
      <c r="R2306">
        <v>2005</v>
      </c>
      <c r="S2306" t="s">
        <v>202</v>
      </c>
    </row>
    <row r="2307" spans="1:19" x14ac:dyDescent="0.25">
      <c r="A2307">
        <v>10193</v>
      </c>
      <c r="B2307" t="s">
        <v>246</v>
      </c>
      <c r="C2307" t="s">
        <v>229</v>
      </c>
      <c r="D2307" t="s">
        <v>230</v>
      </c>
      <c r="E2307" t="s">
        <v>49</v>
      </c>
      <c r="F2307" t="s">
        <v>50</v>
      </c>
      <c r="G2307" t="s">
        <v>33</v>
      </c>
      <c r="H2307">
        <v>11</v>
      </c>
      <c r="I2307">
        <v>44</v>
      </c>
      <c r="J2307">
        <v>100</v>
      </c>
      <c r="K2307">
        <v>127</v>
      </c>
      <c r="L2307">
        <v>4642.88</v>
      </c>
      <c r="M2307">
        <v>-945.12</v>
      </c>
      <c r="N2307" s="1">
        <v>37946</v>
      </c>
      <c r="O2307" t="s">
        <v>25</v>
      </c>
      <c r="P2307">
        <v>4</v>
      </c>
      <c r="Q2307">
        <v>11</v>
      </c>
      <c r="R2307">
        <v>2003</v>
      </c>
      <c r="S2307" t="s">
        <v>226</v>
      </c>
    </row>
    <row r="2308" spans="1:19" x14ac:dyDescent="0.25">
      <c r="A2308">
        <v>10246</v>
      </c>
      <c r="B2308" t="s">
        <v>247</v>
      </c>
      <c r="C2308" t="s">
        <v>78</v>
      </c>
      <c r="D2308" t="s">
        <v>79</v>
      </c>
      <c r="E2308" t="s">
        <v>80</v>
      </c>
      <c r="F2308" t="s">
        <v>30</v>
      </c>
      <c r="G2308" t="s">
        <v>24</v>
      </c>
      <c r="H2308">
        <v>11</v>
      </c>
      <c r="I2308">
        <v>30</v>
      </c>
      <c r="J2308">
        <v>61.99</v>
      </c>
      <c r="K2308">
        <v>60</v>
      </c>
      <c r="L2308">
        <v>1859.7</v>
      </c>
      <c r="M2308">
        <v>59.7</v>
      </c>
      <c r="N2308" s="1">
        <v>38112</v>
      </c>
      <c r="O2308" t="s">
        <v>25</v>
      </c>
      <c r="P2308">
        <v>2</v>
      </c>
      <c r="Q2308">
        <v>5</v>
      </c>
      <c r="R2308">
        <v>2004</v>
      </c>
      <c r="S2308" t="s">
        <v>202</v>
      </c>
    </row>
    <row r="2309" spans="1:19" x14ac:dyDescent="0.25">
      <c r="A2309">
        <v>10271</v>
      </c>
      <c r="B2309" t="s">
        <v>247</v>
      </c>
      <c r="C2309" t="s">
        <v>115</v>
      </c>
      <c r="D2309" t="s">
        <v>116</v>
      </c>
      <c r="E2309" t="s">
        <v>22</v>
      </c>
      <c r="F2309" t="s">
        <v>23</v>
      </c>
      <c r="G2309" t="s">
        <v>24</v>
      </c>
      <c r="H2309">
        <v>11</v>
      </c>
      <c r="I2309">
        <v>25</v>
      </c>
      <c r="J2309">
        <v>69.28</v>
      </c>
      <c r="K2309">
        <v>60</v>
      </c>
      <c r="L2309">
        <v>1732</v>
      </c>
      <c r="M2309">
        <v>232</v>
      </c>
      <c r="N2309" s="1">
        <v>38188</v>
      </c>
      <c r="O2309" t="s">
        <v>25</v>
      </c>
      <c r="P2309">
        <v>3</v>
      </c>
      <c r="Q2309">
        <v>7</v>
      </c>
      <c r="R2309">
        <v>2004</v>
      </c>
      <c r="S2309" t="s">
        <v>202</v>
      </c>
    </row>
    <row r="2310" spans="1:19" x14ac:dyDescent="0.25">
      <c r="A2310">
        <v>10305</v>
      </c>
      <c r="B2310" t="s">
        <v>247</v>
      </c>
      <c r="C2310" t="s">
        <v>58</v>
      </c>
      <c r="D2310" t="s">
        <v>59</v>
      </c>
      <c r="E2310" t="s">
        <v>22</v>
      </c>
      <c r="F2310" t="s">
        <v>23</v>
      </c>
      <c r="G2310" t="s">
        <v>24</v>
      </c>
      <c r="H2310">
        <v>11</v>
      </c>
      <c r="I2310">
        <v>41</v>
      </c>
      <c r="J2310">
        <v>53.48</v>
      </c>
      <c r="K2310">
        <v>60</v>
      </c>
      <c r="L2310">
        <v>2192.6799999999998</v>
      </c>
      <c r="M2310">
        <v>-267.32</v>
      </c>
      <c r="N2310" s="1">
        <v>38273</v>
      </c>
      <c r="O2310" t="s">
        <v>25</v>
      </c>
      <c r="P2310">
        <v>4</v>
      </c>
      <c r="Q2310">
        <v>10</v>
      </c>
      <c r="R2310">
        <v>2004</v>
      </c>
      <c r="S2310" t="s">
        <v>202</v>
      </c>
    </row>
    <row r="2311" spans="1:19" x14ac:dyDescent="0.25">
      <c r="A2311">
        <v>10322</v>
      </c>
      <c r="B2311" t="s">
        <v>247</v>
      </c>
      <c r="C2311" t="s">
        <v>117</v>
      </c>
      <c r="D2311" t="s">
        <v>118</v>
      </c>
      <c r="E2311" t="s">
        <v>22</v>
      </c>
      <c r="F2311" t="s">
        <v>23</v>
      </c>
      <c r="G2311" t="s">
        <v>24</v>
      </c>
      <c r="H2311">
        <v>11</v>
      </c>
      <c r="I2311">
        <v>35</v>
      </c>
      <c r="J2311">
        <v>61.21</v>
      </c>
      <c r="K2311">
        <v>60</v>
      </c>
      <c r="L2311">
        <v>2142.35</v>
      </c>
      <c r="M2311">
        <v>42.35</v>
      </c>
      <c r="N2311" s="1">
        <v>38295</v>
      </c>
      <c r="O2311" t="s">
        <v>25</v>
      </c>
      <c r="P2311">
        <v>4</v>
      </c>
      <c r="Q2311">
        <v>11</v>
      </c>
      <c r="R2311">
        <v>2004</v>
      </c>
      <c r="S2311" t="s">
        <v>202</v>
      </c>
    </row>
    <row r="2312" spans="1:19" x14ac:dyDescent="0.25">
      <c r="A2312">
        <v>10412</v>
      </c>
      <c r="B2312" t="s">
        <v>247</v>
      </c>
      <c r="C2312" t="s">
        <v>78</v>
      </c>
      <c r="D2312" t="s">
        <v>79</v>
      </c>
      <c r="E2312" t="s">
        <v>80</v>
      </c>
      <c r="F2312" t="s">
        <v>30</v>
      </c>
      <c r="G2312" t="s">
        <v>24</v>
      </c>
      <c r="H2312">
        <v>11</v>
      </c>
      <c r="I2312">
        <v>47</v>
      </c>
      <c r="J2312">
        <v>61.99</v>
      </c>
      <c r="K2312">
        <v>60</v>
      </c>
      <c r="L2312">
        <v>2913.53</v>
      </c>
      <c r="M2312">
        <v>93.53</v>
      </c>
      <c r="N2312" s="1">
        <v>38475</v>
      </c>
      <c r="O2312" t="s">
        <v>25</v>
      </c>
      <c r="P2312">
        <v>2</v>
      </c>
      <c r="Q2312">
        <v>5</v>
      </c>
      <c r="R2312">
        <v>2005</v>
      </c>
      <c r="S2312" t="s">
        <v>202</v>
      </c>
    </row>
    <row r="2313" spans="1:19" x14ac:dyDescent="0.25">
      <c r="A2313">
        <v>10312</v>
      </c>
      <c r="B2313" t="s">
        <v>250</v>
      </c>
      <c r="C2313" t="s">
        <v>115</v>
      </c>
      <c r="D2313" t="s">
        <v>116</v>
      </c>
      <c r="E2313" t="s">
        <v>22</v>
      </c>
      <c r="F2313" t="s">
        <v>23</v>
      </c>
      <c r="G2313" t="s">
        <v>33</v>
      </c>
      <c r="H2313">
        <v>11</v>
      </c>
      <c r="I2313">
        <v>25</v>
      </c>
      <c r="J2313">
        <v>100</v>
      </c>
      <c r="K2313">
        <v>168</v>
      </c>
      <c r="L2313">
        <v>3881.25</v>
      </c>
      <c r="M2313">
        <v>-318.75</v>
      </c>
      <c r="N2313" s="1">
        <v>38281</v>
      </c>
      <c r="O2313" t="s">
        <v>25</v>
      </c>
      <c r="P2313">
        <v>4</v>
      </c>
      <c r="Q2313">
        <v>10</v>
      </c>
      <c r="R2313">
        <v>2004</v>
      </c>
      <c r="S2313" t="s">
        <v>226</v>
      </c>
    </row>
    <row r="2314" spans="1:19" x14ac:dyDescent="0.25">
      <c r="A2314">
        <v>10150</v>
      </c>
      <c r="B2314" t="s">
        <v>253</v>
      </c>
      <c r="C2314" t="s">
        <v>88</v>
      </c>
      <c r="D2314" t="s">
        <v>89</v>
      </c>
      <c r="E2314" t="s">
        <v>89</v>
      </c>
      <c r="F2314" t="s">
        <v>50</v>
      </c>
      <c r="G2314" t="s">
        <v>24</v>
      </c>
      <c r="H2314">
        <v>11</v>
      </c>
      <c r="I2314">
        <v>30</v>
      </c>
      <c r="J2314">
        <v>49.97</v>
      </c>
      <c r="K2314">
        <v>62</v>
      </c>
      <c r="L2314">
        <v>1499.1</v>
      </c>
      <c r="M2314">
        <v>-360.9</v>
      </c>
      <c r="N2314" s="1">
        <v>37883</v>
      </c>
      <c r="O2314" t="s">
        <v>25</v>
      </c>
      <c r="P2314">
        <v>3</v>
      </c>
      <c r="Q2314">
        <v>9</v>
      </c>
      <c r="R2314">
        <v>2003</v>
      </c>
      <c r="S2314" t="s">
        <v>226</v>
      </c>
    </row>
    <row r="2315" spans="1:19" x14ac:dyDescent="0.25">
      <c r="A2315">
        <v>10183</v>
      </c>
      <c r="B2315" t="s">
        <v>253</v>
      </c>
      <c r="C2315" t="s">
        <v>93</v>
      </c>
      <c r="D2315" t="s">
        <v>94</v>
      </c>
      <c r="E2315" t="s">
        <v>22</v>
      </c>
      <c r="F2315" t="s">
        <v>23</v>
      </c>
      <c r="G2315" t="s">
        <v>24</v>
      </c>
      <c r="H2315">
        <v>11</v>
      </c>
      <c r="I2315">
        <v>39</v>
      </c>
      <c r="J2315">
        <v>68.08</v>
      </c>
      <c r="K2315">
        <v>62</v>
      </c>
      <c r="L2315">
        <v>2655.12</v>
      </c>
      <c r="M2315">
        <v>237.12</v>
      </c>
      <c r="N2315" s="1">
        <v>37938</v>
      </c>
      <c r="O2315" t="s">
        <v>25</v>
      </c>
      <c r="P2315">
        <v>4</v>
      </c>
      <c r="Q2315">
        <v>11</v>
      </c>
      <c r="R2315">
        <v>2003</v>
      </c>
      <c r="S2315" t="s">
        <v>226</v>
      </c>
    </row>
    <row r="2316" spans="1:19" x14ac:dyDescent="0.25">
      <c r="A2316">
        <v>10155</v>
      </c>
      <c r="B2316" t="s">
        <v>254</v>
      </c>
      <c r="C2316" t="s">
        <v>60</v>
      </c>
      <c r="D2316" t="s">
        <v>61</v>
      </c>
      <c r="E2316" t="s">
        <v>62</v>
      </c>
      <c r="F2316" t="s">
        <v>30</v>
      </c>
      <c r="G2316" t="s">
        <v>33</v>
      </c>
      <c r="H2316">
        <v>11</v>
      </c>
      <c r="I2316">
        <v>44</v>
      </c>
      <c r="J2316">
        <v>79.14</v>
      </c>
      <c r="K2316">
        <v>86</v>
      </c>
      <c r="L2316">
        <v>3482.16</v>
      </c>
      <c r="M2316">
        <v>-301.83999999999997</v>
      </c>
      <c r="N2316" s="1">
        <v>37900</v>
      </c>
      <c r="O2316" t="s">
        <v>25</v>
      </c>
      <c r="P2316">
        <v>4</v>
      </c>
      <c r="Q2316">
        <v>10</v>
      </c>
      <c r="R2316">
        <v>2003</v>
      </c>
      <c r="S2316" t="s">
        <v>255</v>
      </c>
    </row>
    <row r="2317" spans="1:19" x14ac:dyDescent="0.25">
      <c r="A2317">
        <v>10270</v>
      </c>
      <c r="B2317" t="s">
        <v>257</v>
      </c>
      <c r="C2317" t="s">
        <v>71</v>
      </c>
      <c r="D2317" t="s">
        <v>72</v>
      </c>
      <c r="E2317" t="s">
        <v>49</v>
      </c>
      <c r="F2317" t="s">
        <v>50</v>
      </c>
      <c r="G2317" t="s">
        <v>33</v>
      </c>
      <c r="H2317">
        <v>11</v>
      </c>
      <c r="I2317">
        <v>38</v>
      </c>
      <c r="J2317">
        <v>100</v>
      </c>
      <c r="K2317">
        <v>104</v>
      </c>
      <c r="L2317">
        <v>4775.08</v>
      </c>
      <c r="M2317">
        <v>823.08</v>
      </c>
      <c r="N2317" s="1">
        <v>38187</v>
      </c>
      <c r="O2317" t="s">
        <v>25</v>
      </c>
      <c r="P2317">
        <v>3</v>
      </c>
      <c r="Q2317">
        <v>7</v>
      </c>
      <c r="R2317">
        <v>2004</v>
      </c>
      <c r="S2317" t="s">
        <v>226</v>
      </c>
    </row>
    <row r="2318" spans="1:19" x14ac:dyDescent="0.25">
      <c r="A2318">
        <v>10347</v>
      </c>
      <c r="B2318" t="s">
        <v>257</v>
      </c>
      <c r="C2318" t="s">
        <v>47</v>
      </c>
      <c r="D2318" t="s">
        <v>48</v>
      </c>
      <c r="E2318" t="s">
        <v>49</v>
      </c>
      <c r="F2318" t="s">
        <v>50</v>
      </c>
      <c r="G2318" t="s">
        <v>33</v>
      </c>
      <c r="H2318">
        <v>11</v>
      </c>
      <c r="I2318">
        <v>45</v>
      </c>
      <c r="J2318">
        <v>100</v>
      </c>
      <c r="K2318">
        <v>104</v>
      </c>
      <c r="L2318">
        <v>4948.2</v>
      </c>
      <c r="M2318">
        <v>268.2</v>
      </c>
      <c r="N2318" s="1">
        <v>38320</v>
      </c>
      <c r="O2318" t="s">
        <v>25</v>
      </c>
      <c r="P2318">
        <v>4</v>
      </c>
      <c r="Q2318">
        <v>11</v>
      </c>
      <c r="R2318">
        <v>2004</v>
      </c>
      <c r="S2318" t="s">
        <v>226</v>
      </c>
    </row>
    <row r="2319" spans="1:19" x14ac:dyDescent="0.25">
      <c r="A2319">
        <v>10105</v>
      </c>
      <c r="B2319" t="s">
        <v>258</v>
      </c>
      <c r="C2319" t="s">
        <v>135</v>
      </c>
      <c r="D2319" t="s">
        <v>136</v>
      </c>
      <c r="E2319" t="s">
        <v>137</v>
      </c>
      <c r="F2319" t="s">
        <v>30</v>
      </c>
      <c r="G2319" t="s">
        <v>33</v>
      </c>
      <c r="H2319">
        <v>11</v>
      </c>
      <c r="I2319">
        <v>22</v>
      </c>
      <c r="J2319">
        <v>100</v>
      </c>
      <c r="K2319">
        <v>136</v>
      </c>
      <c r="L2319">
        <v>3065.04</v>
      </c>
      <c r="M2319">
        <v>73.040000000000006</v>
      </c>
      <c r="N2319" s="1">
        <v>37663</v>
      </c>
      <c r="O2319" t="s">
        <v>25</v>
      </c>
      <c r="P2319">
        <v>1</v>
      </c>
      <c r="Q2319">
        <v>2</v>
      </c>
      <c r="R2319">
        <v>2003</v>
      </c>
      <c r="S2319" t="s">
        <v>226</v>
      </c>
    </row>
    <row r="2320" spans="1:19" x14ac:dyDescent="0.25">
      <c r="A2320">
        <v>10207</v>
      </c>
      <c r="B2320" t="s">
        <v>259</v>
      </c>
      <c r="C2320" t="s">
        <v>170</v>
      </c>
      <c r="D2320" t="s">
        <v>157</v>
      </c>
      <c r="E2320" t="s">
        <v>22</v>
      </c>
      <c r="F2320" t="s">
        <v>23</v>
      </c>
      <c r="G2320" t="s">
        <v>33</v>
      </c>
      <c r="H2320">
        <v>11</v>
      </c>
      <c r="I2320">
        <v>25</v>
      </c>
      <c r="J2320">
        <v>100</v>
      </c>
      <c r="K2320">
        <v>169</v>
      </c>
      <c r="L2320">
        <v>3937.25</v>
      </c>
      <c r="M2320">
        <v>-287.75</v>
      </c>
      <c r="N2320" s="1">
        <v>37964</v>
      </c>
      <c r="O2320" t="s">
        <v>25</v>
      </c>
      <c r="P2320">
        <v>4</v>
      </c>
      <c r="Q2320">
        <v>12</v>
      </c>
      <c r="R2320">
        <v>2003</v>
      </c>
      <c r="S2320" t="s">
        <v>83</v>
      </c>
    </row>
    <row r="2321" spans="1:19" x14ac:dyDescent="0.25">
      <c r="A2321">
        <v>10212</v>
      </c>
      <c r="B2321" t="s">
        <v>259</v>
      </c>
      <c r="C2321" t="s">
        <v>78</v>
      </c>
      <c r="D2321" t="s">
        <v>79</v>
      </c>
      <c r="E2321" t="s">
        <v>80</v>
      </c>
      <c r="F2321" t="s">
        <v>30</v>
      </c>
      <c r="G2321" t="s">
        <v>33</v>
      </c>
      <c r="H2321">
        <v>11</v>
      </c>
      <c r="I2321">
        <v>40</v>
      </c>
      <c r="J2321">
        <v>100</v>
      </c>
      <c r="K2321">
        <v>169</v>
      </c>
      <c r="L2321">
        <v>5554.4</v>
      </c>
      <c r="M2321">
        <v>-1205.5999999999999</v>
      </c>
      <c r="N2321" s="1">
        <v>38002</v>
      </c>
      <c r="O2321" t="s">
        <v>25</v>
      </c>
      <c r="P2321">
        <v>1</v>
      </c>
      <c r="Q2321">
        <v>1</v>
      </c>
      <c r="R2321">
        <v>2004</v>
      </c>
      <c r="S2321" t="s">
        <v>83</v>
      </c>
    </row>
    <row r="2322" spans="1:19" x14ac:dyDescent="0.25">
      <c r="A2322">
        <v>10321</v>
      </c>
      <c r="B2322" t="s">
        <v>259</v>
      </c>
      <c r="C2322" t="s">
        <v>73</v>
      </c>
      <c r="D2322" t="s">
        <v>74</v>
      </c>
      <c r="E2322" t="s">
        <v>22</v>
      </c>
      <c r="F2322" t="s">
        <v>23</v>
      </c>
      <c r="G2322" t="s">
        <v>33</v>
      </c>
      <c r="H2322">
        <v>11</v>
      </c>
      <c r="I2322">
        <v>33</v>
      </c>
      <c r="J2322">
        <v>100</v>
      </c>
      <c r="K2322">
        <v>169</v>
      </c>
      <c r="L2322">
        <v>5700.09</v>
      </c>
      <c r="M2322">
        <v>123.09</v>
      </c>
      <c r="N2322" s="1">
        <v>38295</v>
      </c>
      <c r="O2322" t="s">
        <v>25</v>
      </c>
      <c r="P2322">
        <v>4</v>
      </c>
      <c r="Q2322">
        <v>11</v>
      </c>
      <c r="R2322">
        <v>2004</v>
      </c>
      <c r="S2322" t="s">
        <v>83</v>
      </c>
    </row>
    <row r="2323" spans="1:19" x14ac:dyDescent="0.25">
      <c r="A2323">
        <v>10331</v>
      </c>
      <c r="B2323" t="s">
        <v>259</v>
      </c>
      <c r="C2323" t="s">
        <v>129</v>
      </c>
      <c r="D2323" t="s">
        <v>94</v>
      </c>
      <c r="E2323" t="s">
        <v>22</v>
      </c>
      <c r="F2323" t="s">
        <v>23</v>
      </c>
      <c r="G2323" t="s">
        <v>33</v>
      </c>
      <c r="H2323">
        <v>11</v>
      </c>
      <c r="I2323">
        <v>27</v>
      </c>
      <c r="J2323">
        <v>100</v>
      </c>
      <c r="K2323">
        <v>169</v>
      </c>
      <c r="L2323">
        <v>4170.6899999999996</v>
      </c>
      <c r="M2323">
        <v>-392.31</v>
      </c>
      <c r="N2323" s="1">
        <v>38308</v>
      </c>
      <c r="O2323" t="s">
        <v>25</v>
      </c>
      <c r="P2323">
        <v>4</v>
      </c>
      <c r="Q2323">
        <v>11</v>
      </c>
      <c r="R2323">
        <v>2004</v>
      </c>
      <c r="S2323" t="s">
        <v>83</v>
      </c>
    </row>
    <row r="2324" spans="1:19" x14ac:dyDescent="0.25">
      <c r="A2324">
        <v>10177</v>
      </c>
      <c r="B2324" t="s">
        <v>260</v>
      </c>
      <c r="C2324" t="s">
        <v>196</v>
      </c>
      <c r="D2324" t="s">
        <v>79</v>
      </c>
      <c r="E2324" t="s">
        <v>80</v>
      </c>
      <c r="F2324" t="s">
        <v>30</v>
      </c>
      <c r="G2324" t="s">
        <v>33</v>
      </c>
      <c r="H2324">
        <v>11</v>
      </c>
      <c r="I2324">
        <v>29</v>
      </c>
      <c r="J2324">
        <v>100</v>
      </c>
      <c r="K2324">
        <v>100</v>
      </c>
      <c r="L2324">
        <v>3070.52</v>
      </c>
      <c r="M2324">
        <v>170.52</v>
      </c>
      <c r="N2324" s="1">
        <v>37932</v>
      </c>
      <c r="O2324" t="s">
        <v>25</v>
      </c>
      <c r="P2324">
        <v>4</v>
      </c>
      <c r="Q2324">
        <v>11</v>
      </c>
      <c r="R2324">
        <v>2003</v>
      </c>
      <c r="S2324" t="s">
        <v>261</v>
      </c>
    </row>
    <row r="2325" spans="1:19" x14ac:dyDescent="0.25">
      <c r="A2325">
        <v>10185</v>
      </c>
      <c r="B2325" t="s">
        <v>260</v>
      </c>
      <c r="C2325" t="s">
        <v>140</v>
      </c>
      <c r="D2325" t="s">
        <v>74</v>
      </c>
      <c r="E2325" t="s">
        <v>22</v>
      </c>
      <c r="F2325" t="s">
        <v>23</v>
      </c>
      <c r="G2325" t="s">
        <v>33</v>
      </c>
      <c r="H2325">
        <v>11</v>
      </c>
      <c r="I2325">
        <v>49</v>
      </c>
      <c r="J2325">
        <v>80.67</v>
      </c>
      <c r="K2325">
        <v>100</v>
      </c>
      <c r="L2325">
        <v>3952.83</v>
      </c>
      <c r="M2325">
        <v>-947.17</v>
      </c>
      <c r="N2325" s="1">
        <v>37939</v>
      </c>
      <c r="O2325" t="s">
        <v>25</v>
      </c>
      <c r="P2325">
        <v>4</v>
      </c>
      <c r="Q2325">
        <v>11</v>
      </c>
      <c r="R2325">
        <v>2003</v>
      </c>
      <c r="S2325" t="s">
        <v>261</v>
      </c>
    </row>
    <row r="2326" spans="1:19" x14ac:dyDescent="0.25">
      <c r="A2326">
        <v>10208</v>
      </c>
      <c r="B2326" t="s">
        <v>260</v>
      </c>
      <c r="C2326" t="s">
        <v>95</v>
      </c>
      <c r="D2326" t="s">
        <v>96</v>
      </c>
      <c r="E2326" t="s">
        <v>29</v>
      </c>
      <c r="F2326" t="s">
        <v>30</v>
      </c>
      <c r="G2326" t="s">
        <v>33</v>
      </c>
      <c r="H2326">
        <v>11</v>
      </c>
      <c r="I2326">
        <v>48</v>
      </c>
      <c r="J2326">
        <v>100</v>
      </c>
      <c r="K2326">
        <v>100</v>
      </c>
      <c r="L2326">
        <v>5614.56</v>
      </c>
      <c r="M2326">
        <v>814.56</v>
      </c>
      <c r="N2326" s="1">
        <v>37988</v>
      </c>
      <c r="O2326" t="s">
        <v>25</v>
      </c>
      <c r="P2326">
        <v>1</v>
      </c>
      <c r="Q2326">
        <v>1</v>
      </c>
      <c r="R2326">
        <v>2004</v>
      </c>
      <c r="S2326" t="s">
        <v>261</v>
      </c>
    </row>
    <row r="2327" spans="1:19" x14ac:dyDescent="0.25">
      <c r="A2327">
        <v>10306</v>
      </c>
      <c r="B2327" t="s">
        <v>260</v>
      </c>
      <c r="C2327" t="s">
        <v>197</v>
      </c>
      <c r="D2327" t="s">
        <v>198</v>
      </c>
      <c r="E2327" t="s">
        <v>77</v>
      </c>
      <c r="F2327" t="s">
        <v>30</v>
      </c>
      <c r="G2327" t="s">
        <v>33</v>
      </c>
      <c r="H2327">
        <v>11</v>
      </c>
      <c r="I2327">
        <v>40</v>
      </c>
      <c r="J2327">
        <v>91.76</v>
      </c>
      <c r="K2327">
        <v>100</v>
      </c>
      <c r="L2327">
        <v>3670.4</v>
      </c>
      <c r="M2327">
        <v>-329.6</v>
      </c>
      <c r="N2327" s="1">
        <v>38274</v>
      </c>
      <c r="O2327" t="s">
        <v>25</v>
      </c>
      <c r="P2327">
        <v>4</v>
      </c>
      <c r="Q2327">
        <v>10</v>
      </c>
      <c r="R2327">
        <v>2004</v>
      </c>
      <c r="S2327" t="s">
        <v>261</v>
      </c>
    </row>
    <row r="2328" spans="1:19" x14ac:dyDescent="0.25">
      <c r="A2328">
        <v>10203</v>
      </c>
      <c r="B2328" t="s">
        <v>262</v>
      </c>
      <c r="C2328" t="s">
        <v>78</v>
      </c>
      <c r="D2328" t="s">
        <v>79</v>
      </c>
      <c r="E2328" t="s">
        <v>80</v>
      </c>
      <c r="F2328" t="s">
        <v>30</v>
      </c>
      <c r="G2328" t="s">
        <v>24</v>
      </c>
      <c r="H2328">
        <v>11</v>
      </c>
      <c r="I2328">
        <v>33</v>
      </c>
      <c r="J2328">
        <v>86.04</v>
      </c>
      <c r="K2328">
        <v>80</v>
      </c>
      <c r="L2328">
        <v>2839.32</v>
      </c>
      <c r="M2328">
        <v>199.32</v>
      </c>
      <c r="N2328" s="1">
        <v>37957</v>
      </c>
      <c r="O2328" t="s">
        <v>25</v>
      </c>
      <c r="P2328">
        <v>4</v>
      </c>
      <c r="Q2328">
        <v>12</v>
      </c>
      <c r="R2328">
        <v>2003</v>
      </c>
      <c r="S2328" t="s">
        <v>83</v>
      </c>
    </row>
    <row r="2329" spans="1:19" x14ac:dyDescent="0.25">
      <c r="A2329">
        <v>10206</v>
      </c>
      <c r="B2329" t="s">
        <v>263</v>
      </c>
      <c r="C2329" t="s">
        <v>97</v>
      </c>
      <c r="D2329" t="s">
        <v>98</v>
      </c>
      <c r="E2329" t="s">
        <v>99</v>
      </c>
      <c r="F2329" t="s">
        <v>23</v>
      </c>
      <c r="G2329" t="s">
        <v>24</v>
      </c>
      <c r="H2329">
        <v>11</v>
      </c>
      <c r="I2329">
        <v>28</v>
      </c>
      <c r="J2329">
        <v>87.3</v>
      </c>
      <c r="K2329">
        <v>99</v>
      </c>
      <c r="L2329">
        <v>2444.4</v>
      </c>
      <c r="M2329">
        <v>-327.60000000000002</v>
      </c>
      <c r="N2329" s="1">
        <v>37960</v>
      </c>
      <c r="O2329" t="s">
        <v>25</v>
      </c>
      <c r="P2329">
        <v>4</v>
      </c>
      <c r="Q2329">
        <v>12</v>
      </c>
      <c r="R2329">
        <v>2003</v>
      </c>
      <c r="S2329" t="s">
        <v>226</v>
      </c>
    </row>
    <row r="2330" spans="1:19" x14ac:dyDescent="0.25">
      <c r="A2330">
        <v>10304</v>
      </c>
      <c r="B2330" t="s">
        <v>263</v>
      </c>
      <c r="C2330" t="s">
        <v>113</v>
      </c>
      <c r="D2330" t="s">
        <v>114</v>
      </c>
      <c r="E2330" t="s">
        <v>29</v>
      </c>
      <c r="F2330" t="s">
        <v>30</v>
      </c>
      <c r="G2330" t="s">
        <v>33</v>
      </c>
      <c r="H2330">
        <v>11</v>
      </c>
      <c r="I2330">
        <v>38</v>
      </c>
      <c r="J2330">
        <v>100</v>
      </c>
      <c r="K2330">
        <v>99</v>
      </c>
      <c r="L2330">
        <v>3958.46</v>
      </c>
      <c r="M2330">
        <v>196.46</v>
      </c>
      <c r="N2330" s="1">
        <v>38271</v>
      </c>
      <c r="O2330" t="s">
        <v>25</v>
      </c>
      <c r="P2330">
        <v>4</v>
      </c>
      <c r="Q2330">
        <v>10</v>
      </c>
      <c r="R2330">
        <v>2004</v>
      </c>
      <c r="S2330" t="s">
        <v>226</v>
      </c>
    </row>
    <row r="2331" spans="1:19" x14ac:dyDescent="0.25">
      <c r="A2331">
        <v>10225</v>
      </c>
      <c r="B2331" t="s">
        <v>264</v>
      </c>
      <c r="C2331" t="s">
        <v>181</v>
      </c>
      <c r="D2331" t="s">
        <v>182</v>
      </c>
      <c r="E2331" t="s">
        <v>183</v>
      </c>
      <c r="F2331" t="s">
        <v>30</v>
      </c>
      <c r="G2331" t="s">
        <v>33</v>
      </c>
      <c r="H2331">
        <v>11</v>
      </c>
      <c r="I2331">
        <v>27</v>
      </c>
      <c r="J2331">
        <v>100</v>
      </c>
      <c r="K2331">
        <v>146</v>
      </c>
      <c r="L2331">
        <v>4564.08</v>
      </c>
      <c r="M2331">
        <v>622.08000000000004</v>
      </c>
      <c r="N2331" s="1">
        <v>38039</v>
      </c>
      <c r="O2331" t="s">
        <v>25</v>
      </c>
      <c r="P2331">
        <v>1</v>
      </c>
      <c r="Q2331">
        <v>2</v>
      </c>
      <c r="R2331">
        <v>2004</v>
      </c>
      <c r="S2331" t="s">
        <v>83</v>
      </c>
    </row>
    <row r="2332" spans="1:19" x14ac:dyDescent="0.25">
      <c r="A2332">
        <v>10363</v>
      </c>
      <c r="B2332" t="s">
        <v>264</v>
      </c>
      <c r="C2332" t="s">
        <v>189</v>
      </c>
      <c r="D2332" t="s">
        <v>190</v>
      </c>
      <c r="E2332" t="s">
        <v>62</v>
      </c>
      <c r="F2332" t="s">
        <v>30</v>
      </c>
      <c r="G2332" t="s">
        <v>33</v>
      </c>
      <c r="H2332">
        <v>11</v>
      </c>
      <c r="I2332">
        <v>24</v>
      </c>
      <c r="J2332">
        <v>100</v>
      </c>
      <c r="K2332">
        <v>146</v>
      </c>
      <c r="L2332">
        <v>4142.6400000000003</v>
      </c>
      <c r="M2332">
        <v>638.64</v>
      </c>
      <c r="N2332" s="1">
        <v>38358</v>
      </c>
      <c r="O2332" t="s">
        <v>25</v>
      </c>
      <c r="P2332">
        <v>1</v>
      </c>
      <c r="Q2332">
        <v>1</v>
      </c>
      <c r="R2332">
        <v>2005</v>
      </c>
      <c r="S2332" t="s">
        <v>83</v>
      </c>
    </row>
    <row r="2333" spans="1:19" x14ac:dyDescent="0.25">
      <c r="A2333">
        <v>10148</v>
      </c>
      <c r="B2333" t="s">
        <v>265</v>
      </c>
      <c r="C2333" t="s">
        <v>121</v>
      </c>
      <c r="D2333" t="s">
        <v>122</v>
      </c>
      <c r="E2333" t="s">
        <v>49</v>
      </c>
      <c r="F2333" t="s">
        <v>50</v>
      </c>
      <c r="G2333" t="s">
        <v>33</v>
      </c>
      <c r="H2333">
        <v>11</v>
      </c>
      <c r="I2333">
        <v>28</v>
      </c>
      <c r="J2333">
        <v>100</v>
      </c>
      <c r="K2333">
        <v>141</v>
      </c>
      <c r="L2333">
        <v>3639.44</v>
      </c>
      <c r="M2333">
        <v>-308.56</v>
      </c>
      <c r="N2333" s="1">
        <v>37875</v>
      </c>
      <c r="O2333" t="s">
        <v>25</v>
      </c>
      <c r="P2333">
        <v>3</v>
      </c>
      <c r="Q2333">
        <v>9</v>
      </c>
      <c r="R2333">
        <v>2003</v>
      </c>
      <c r="S2333" t="s">
        <v>83</v>
      </c>
    </row>
    <row r="2334" spans="1:19" x14ac:dyDescent="0.25">
      <c r="A2334">
        <v>10311</v>
      </c>
      <c r="B2334" t="s">
        <v>265</v>
      </c>
      <c r="C2334" t="s">
        <v>78</v>
      </c>
      <c r="D2334" t="s">
        <v>79</v>
      </c>
      <c r="E2334" t="s">
        <v>80</v>
      </c>
      <c r="F2334" t="s">
        <v>30</v>
      </c>
      <c r="G2334" t="s">
        <v>33</v>
      </c>
      <c r="H2334">
        <v>11</v>
      </c>
      <c r="I2334">
        <v>32</v>
      </c>
      <c r="J2334">
        <v>100</v>
      </c>
      <c r="K2334">
        <v>141</v>
      </c>
      <c r="L2334">
        <v>3616.64</v>
      </c>
      <c r="M2334">
        <v>-895.36</v>
      </c>
      <c r="N2334" s="1">
        <v>38276</v>
      </c>
      <c r="O2334" t="s">
        <v>25</v>
      </c>
      <c r="P2334">
        <v>4</v>
      </c>
      <c r="Q2334">
        <v>10</v>
      </c>
      <c r="R2334">
        <v>2004</v>
      </c>
      <c r="S2334" t="s">
        <v>83</v>
      </c>
    </row>
    <row r="2335" spans="1:19" x14ac:dyDescent="0.25">
      <c r="A2335">
        <v>10182</v>
      </c>
      <c r="B2335" t="s">
        <v>269</v>
      </c>
      <c r="C2335" t="s">
        <v>115</v>
      </c>
      <c r="D2335" t="s">
        <v>116</v>
      </c>
      <c r="E2335" t="s">
        <v>22</v>
      </c>
      <c r="F2335" t="s">
        <v>23</v>
      </c>
      <c r="G2335" t="s">
        <v>33</v>
      </c>
      <c r="H2335">
        <v>11</v>
      </c>
      <c r="I2335">
        <v>36</v>
      </c>
      <c r="J2335">
        <v>100</v>
      </c>
      <c r="K2335">
        <v>92</v>
      </c>
      <c r="L2335">
        <v>3942.72</v>
      </c>
      <c r="M2335">
        <v>630.72</v>
      </c>
      <c r="N2335" s="1">
        <v>37937</v>
      </c>
      <c r="O2335" t="s">
        <v>25</v>
      </c>
      <c r="P2335">
        <v>4</v>
      </c>
      <c r="Q2335">
        <v>11</v>
      </c>
      <c r="R2335">
        <v>2003</v>
      </c>
      <c r="S2335" t="s">
        <v>226</v>
      </c>
    </row>
    <row r="2336" spans="1:19" x14ac:dyDescent="0.25">
      <c r="A2336">
        <v>10227</v>
      </c>
      <c r="B2336" t="s">
        <v>269</v>
      </c>
      <c r="C2336" t="s">
        <v>95</v>
      </c>
      <c r="D2336" t="s">
        <v>96</v>
      </c>
      <c r="E2336" t="s">
        <v>29</v>
      </c>
      <c r="F2336" t="s">
        <v>30</v>
      </c>
      <c r="G2336" t="s">
        <v>33</v>
      </c>
      <c r="H2336">
        <v>11</v>
      </c>
      <c r="I2336">
        <v>34</v>
      </c>
      <c r="J2336">
        <v>100</v>
      </c>
      <c r="K2336">
        <v>92</v>
      </c>
      <c r="L2336">
        <v>3566.94</v>
      </c>
      <c r="M2336">
        <v>438.94</v>
      </c>
      <c r="N2336" s="1">
        <v>38048</v>
      </c>
      <c r="O2336" t="s">
        <v>25</v>
      </c>
      <c r="P2336">
        <v>1</v>
      </c>
      <c r="Q2336">
        <v>3</v>
      </c>
      <c r="R2336">
        <v>2004</v>
      </c>
      <c r="S2336" t="s">
        <v>226</v>
      </c>
    </row>
    <row r="2337" spans="1:19" x14ac:dyDescent="0.25">
      <c r="A2337">
        <v>10248</v>
      </c>
      <c r="B2337" t="s">
        <v>270</v>
      </c>
      <c r="C2337" t="s">
        <v>20</v>
      </c>
      <c r="D2337" t="s">
        <v>21</v>
      </c>
      <c r="E2337" t="s">
        <v>22</v>
      </c>
      <c r="F2337" t="s">
        <v>23</v>
      </c>
      <c r="G2337" t="s">
        <v>33</v>
      </c>
      <c r="H2337">
        <v>11</v>
      </c>
      <c r="I2337">
        <v>42</v>
      </c>
      <c r="J2337">
        <v>75.48</v>
      </c>
      <c r="K2337">
        <v>87</v>
      </c>
      <c r="L2337">
        <v>3170.16</v>
      </c>
      <c r="M2337">
        <v>-483.84</v>
      </c>
      <c r="N2337" s="1">
        <v>38114</v>
      </c>
      <c r="O2337" t="s">
        <v>141</v>
      </c>
      <c r="P2337">
        <v>2</v>
      </c>
      <c r="Q2337">
        <v>5</v>
      </c>
      <c r="R2337">
        <v>2004</v>
      </c>
      <c r="S2337" t="s">
        <v>226</v>
      </c>
    </row>
    <row r="2338" spans="1:19" x14ac:dyDescent="0.25">
      <c r="A2338">
        <v>10414</v>
      </c>
      <c r="B2338" t="s">
        <v>270</v>
      </c>
      <c r="C2338" t="s">
        <v>156</v>
      </c>
      <c r="D2338" t="s">
        <v>157</v>
      </c>
      <c r="E2338" t="s">
        <v>22</v>
      </c>
      <c r="F2338" t="s">
        <v>23</v>
      </c>
      <c r="G2338" t="s">
        <v>24</v>
      </c>
      <c r="H2338">
        <v>11</v>
      </c>
      <c r="I2338">
        <v>16</v>
      </c>
      <c r="J2338">
        <v>75.48</v>
      </c>
      <c r="K2338">
        <v>87</v>
      </c>
      <c r="L2338">
        <v>1207.68</v>
      </c>
      <c r="M2338">
        <v>-184.32</v>
      </c>
      <c r="N2338" s="1">
        <v>38478</v>
      </c>
      <c r="O2338" t="s">
        <v>164</v>
      </c>
      <c r="P2338">
        <v>2</v>
      </c>
      <c r="Q2338">
        <v>5</v>
      </c>
      <c r="R2338">
        <v>2005</v>
      </c>
      <c r="S2338" t="s">
        <v>226</v>
      </c>
    </row>
    <row r="2339" spans="1:19" x14ac:dyDescent="0.25">
      <c r="A2339">
        <v>10108</v>
      </c>
      <c r="B2339" t="s">
        <v>273</v>
      </c>
      <c r="C2339" t="s">
        <v>173</v>
      </c>
      <c r="D2339" t="s">
        <v>174</v>
      </c>
      <c r="E2339" t="s">
        <v>175</v>
      </c>
      <c r="F2339" t="s">
        <v>50</v>
      </c>
      <c r="G2339" t="s">
        <v>33</v>
      </c>
      <c r="H2339">
        <v>11</v>
      </c>
      <c r="I2339">
        <v>44</v>
      </c>
      <c r="J2339">
        <v>100</v>
      </c>
      <c r="K2339">
        <v>148</v>
      </c>
      <c r="L2339">
        <v>5565.12</v>
      </c>
      <c r="M2339">
        <v>-946.88</v>
      </c>
      <c r="N2339" s="1">
        <v>37683</v>
      </c>
      <c r="O2339" t="s">
        <v>25</v>
      </c>
      <c r="P2339">
        <v>1</v>
      </c>
      <c r="Q2339">
        <v>3</v>
      </c>
      <c r="R2339">
        <v>2003</v>
      </c>
      <c r="S2339" t="s">
        <v>83</v>
      </c>
    </row>
    <row r="2340" spans="1:19" x14ac:dyDescent="0.25">
      <c r="A2340">
        <v>10342</v>
      </c>
      <c r="B2340" t="s">
        <v>273</v>
      </c>
      <c r="C2340" t="s">
        <v>47</v>
      </c>
      <c r="D2340" t="s">
        <v>48</v>
      </c>
      <c r="E2340" t="s">
        <v>49</v>
      </c>
      <c r="F2340" t="s">
        <v>50</v>
      </c>
      <c r="G2340" t="s">
        <v>33</v>
      </c>
      <c r="H2340">
        <v>11</v>
      </c>
      <c r="I2340">
        <v>38</v>
      </c>
      <c r="J2340">
        <v>100</v>
      </c>
      <c r="K2340">
        <v>148</v>
      </c>
      <c r="L2340">
        <v>6276.46</v>
      </c>
      <c r="M2340">
        <v>652.46</v>
      </c>
      <c r="N2340" s="1">
        <v>38315</v>
      </c>
      <c r="O2340" t="s">
        <v>25</v>
      </c>
      <c r="P2340">
        <v>4</v>
      </c>
      <c r="Q2340">
        <v>11</v>
      </c>
      <c r="R2340">
        <v>2004</v>
      </c>
      <c r="S2340" t="s">
        <v>83</v>
      </c>
    </row>
    <row r="2341" spans="1:19" x14ac:dyDescent="0.25">
      <c r="A2341">
        <v>10288</v>
      </c>
      <c r="B2341" t="s">
        <v>275</v>
      </c>
      <c r="C2341" t="s">
        <v>171</v>
      </c>
      <c r="D2341" t="s">
        <v>89</v>
      </c>
      <c r="E2341" t="s">
        <v>89</v>
      </c>
      <c r="F2341" t="s">
        <v>50</v>
      </c>
      <c r="G2341" t="s">
        <v>24</v>
      </c>
      <c r="H2341">
        <v>11</v>
      </c>
      <c r="I2341">
        <v>36</v>
      </c>
      <c r="J2341">
        <v>66.14</v>
      </c>
      <c r="K2341">
        <v>73</v>
      </c>
      <c r="L2341">
        <v>2381.04</v>
      </c>
      <c r="M2341">
        <v>-246.96</v>
      </c>
      <c r="N2341" s="1">
        <v>38231</v>
      </c>
      <c r="O2341" t="s">
        <v>25</v>
      </c>
      <c r="P2341">
        <v>3</v>
      </c>
      <c r="Q2341">
        <v>9</v>
      </c>
      <c r="R2341">
        <v>2004</v>
      </c>
      <c r="S2341" t="s">
        <v>83</v>
      </c>
    </row>
    <row r="2342" spans="1:19" x14ac:dyDescent="0.25">
      <c r="A2342">
        <v>10420</v>
      </c>
      <c r="B2342" t="s">
        <v>275</v>
      </c>
      <c r="C2342" t="s">
        <v>71</v>
      </c>
      <c r="D2342" t="s">
        <v>72</v>
      </c>
      <c r="E2342" t="s">
        <v>49</v>
      </c>
      <c r="F2342" t="s">
        <v>50</v>
      </c>
      <c r="G2342" t="s">
        <v>33</v>
      </c>
      <c r="H2342">
        <v>11</v>
      </c>
      <c r="I2342">
        <v>60</v>
      </c>
      <c r="J2342">
        <v>64.67</v>
      </c>
      <c r="K2342">
        <v>73</v>
      </c>
      <c r="L2342">
        <v>3880.2</v>
      </c>
      <c r="M2342">
        <v>-499.8</v>
      </c>
      <c r="N2342" s="1">
        <v>38501</v>
      </c>
      <c r="O2342" t="s">
        <v>125</v>
      </c>
      <c r="P2342">
        <v>2</v>
      </c>
      <c r="Q2342">
        <v>5</v>
      </c>
      <c r="R2342">
        <v>2005</v>
      </c>
      <c r="S2342" t="s">
        <v>83</v>
      </c>
    </row>
    <row r="2343" spans="1:19" x14ac:dyDescent="0.25">
      <c r="A2343">
        <v>10282</v>
      </c>
      <c r="B2343" t="s">
        <v>276</v>
      </c>
      <c r="C2343" t="s">
        <v>115</v>
      </c>
      <c r="D2343" t="s">
        <v>116</v>
      </c>
      <c r="E2343" t="s">
        <v>22</v>
      </c>
      <c r="F2343" t="s">
        <v>23</v>
      </c>
      <c r="G2343" t="s">
        <v>24</v>
      </c>
      <c r="H2343">
        <v>11</v>
      </c>
      <c r="I2343">
        <v>29</v>
      </c>
      <c r="J2343">
        <v>46.82</v>
      </c>
      <c r="K2343">
        <v>57</v>
      </c>
      <c r="L2343">
        <v>1357.78</v>
      </c>
      <c r="M2343">
        <v>-295.22000000000003</v>
      </c>
      <c r="N2343" s="1">
        <v>38219</v>
      </c>
      <c r="O2343" t="s">
        <v>25</v>
      </c>
      <c r="P2343">
        <v>3</v>
      </c>
      <c r="Q2343">
        <v>8</v>
      </c>
      <c r="R2343">
        <v>2004</v>
      </c>
      <c r="S2343" t="s">
        <v>83</v>
      </c>
    </row>
    <row r="2344" spans="1:19" x14ac:dyDescent="0.25">
      <c r="A2344">
        <v>10314</v>
      </c>
      <c r="B2344" t="s">
        <v>276</v>
      </c>
      <c r="C2344" t="s">
        <v>199</v>
      </c>
      <c r="D2344" t="s">
        <v>200</v>
      </c>
      <c r="E2344" t="s">
        <v>137</v>
      </c>
      <c r="F2344" t="s">
        <v>30</v>
      </c>
      <c r="G2344" t="s">
        <v>24</v>
      </c>
      <c r="H2344">
        <v>11</v>
      </c>
      <c r="I2344">
        <v>44</v>
      </c>
      <c r="J2344">
        <v>53.18</v>
      </c>
      <c r="K2344">
        <v>57</v>
      </c>
      <c r="L2344">
        <v>2339.92</v>
      </c>
      <c r="M2344">
        <v>-168.08</v>
      </c>
      <c r="N2344" s="1">
        <v>38282</v>
      </c>
      <c r="O2344" t="s">
        <v>25</v>
      </c>
      <c r="P2344">
        <v>4</v>
      </c>
      <c r="Q2344">
        <v>10</v>
      </c>
      <c r="R2344">
        <v>2004</v>
      </c>
      <c r="S2344" t="s">
        <v>83</v>
      </c>
    </row>
    <row r="2345" spans="1:19" x14ac:dyDescent="0.25">
      <c r="A2345">
        <v>10367</v>
      </c>
      <c r="B2345" t="s">
        <v>278</v>
      </c>
      <c r="C2345" t="s">
        <v>34</v>
      </c>
      <c r="D2345" t="s">
        <v>35</v>
      </c>
      <c r="E2345" t="s">
        <v>22</v>
      </c>
      <c r="F2345" t="s">
        <v>23</v>
      </c>
      <c r="G2345" t="s">
        <v>24</v>
      </c>
      <c r="H2345">
        <v>11</v>
      </c>
      <c r="I2345">
        <v>38</v>
      </c>
      <c r="J2345">
        <v>38.5</v>
      </c>
      <c r="K2345">
        <v>50</v>
      </c>
      <c r="L2345">
        <v>1463</v>
      </c>
      <c r="M2345">
        <v>-437</v>
      </c>
      <c r="N2345" s="1">
        <v>38364</v>
      </c>
      <c r="O2345" t="s">
        <v>169</v>
      </c>
      <c r="P2345">
        <v>1</v>
      </c>
      <c r="Q2345">
        <v>1</v>
      </c>
      <c r="R2345">
        <v>2005</v>
      </c>
      <c r="S2345" t="s">
        <v>83</v>
      </c>
    </row>
    <row r="2346" spans="1:19" x14ac:dyDescent="0.25">
      <c r="A2346">
        <v>10168</v>
      </c>
      <c r="B2346" t="s">
        <v>279</v>
      </c>
      <c r="C2346" t="s">
        <v>38</v>
      </c>
      <c r="D2346" t="s">
        <v>39</v>
      </c>
      <c r="E2346" t="s">
        <v>22</v>
      </c>
      <c r="F2346" t="s">
        <v>23</v>
      </c>
      <c r="G2346" t="s">
        <v>33</v>
      </c>
      <c r="H2346">
        <v>11</v>
      </c>
      <c r="I2346">
        <v>49</v>
      </c>
      <c r="J2346">
        <v>100</v>
      </c>
      <c r="K2346">
        <v>109</v>
      </c>
      <c r="L2346">
        <v>6433.7</v>
      </c>
      <c r="M2346">
        <v>1092.7</v>
      </c>
      <c r="N2346" s="1">
        <v>37922</v>
      </c>
      <c r="O2346" t="s">
        <v>25</v>
      </c>
      <c r="P2346">
        <v>4</v>
      </c>
      <c r="Q2346">
        <v>10</v>
      </c>
      <c r="R2346">
        <v>2003</v>
      </c>
      <c r="S2346" t="s">
        <v>234</v>
      </c>
    </row>
    <row r="2347" spans="1:19" x14ac:dyDescent="0.25">
      <c r="A2347">
        <v>10223</v>
      </c>
      <c r="B2347" t="s">
        <v>279</v>
      </c>
      <c r="C2347" t="s">
        <v>47</v>
      </c>
      <c r="D2347" t="s">
        <v>48</v>
      </c>
      <c r="E2347" t="s">
        <v>49</v>
      </c>
      <c r="F2347" t="s">
        <v>50</v>
      </c>
      <c r="G2347" t="s">
        <v>33</v>
      </c>
      <c r="H2347">
        <v>11</v>
      </c>
      <c r="I2347">
        <v>34</v>
      </c>
      <c r="J2347">
        <v>100</v>
      </c>
      <c r="K2347">
        <v>109</v>
      </c>
      <c r="L2347">
        <v>3608.76</v>
      </c>
      <c r="M2347">
        <v>-97.24</v>
      </c>
      <c r="N2347" s="1">
        <v>38037</v>
      </c>
      <c r="O2347" t="s">
        <v>25</v>
      </c>
      <c r="P2347">
        <v>1</v>
      </c>
      <c r="Q2347">
        <v>2</v>
      </c>
      <c r="R2347">
        <v>2004</v>
      </c>
      <c r="S2347" t="s">
        <v>234</v>
      </c>
    </row>
    <row r="2348" spans="1:19" x14ac:dyDescent="0.25">
      <c r="A2348">
        <v>10275</v>
      </c>
      <c r="B2348" t="s">
        <v>279</v>
      </c>
      <c r="C2348" t="s">
        <v>56</v>
      </c>
      <c r="D2348" t="s">
        <v>57</v>
      </c>
      <c r="E2348" t="s">
        <v>29</v>
      </c>
      <c r="F2348" t="s">
        <v>30</v>
      </c>
      <c r="G2348" t="s">
        <v>24</v>
      </c>
      <c r="H2348">
        <v>11</v>
      </c>
      <c r="I2348">
        <v>25</v>
      </c>
      <c r="J2348">
        <v>95.2</v>
      </c>
      <c r="K2348">
        <v>109</v>
      </c>
      <c r="L2348">
        <v>2380</v>
      </c>
      <c r="M2348">
        <v>-345</v>
      </c>
      <c r="N2348" s="1">
        <v>38191</v>
      </c>
      <c r="O2348" t="s">
        <v>25</v>
      </c>
      <c r="P2348">
        <v>3</v>
      </c>
      <c r="Q2348">
        <v>7</v>
      </c>
      <c r="R2348">
        <v>2004</v>
      </c>
      <c r="S2348" t="s">
        <v>234</v>
      </c>
    </row>
    <row r="2349" spans="1:19" x14ac:dyDescent="0.25">
      <c r="A2349">
        <v>10386</v>
      </c>
      <c r="B2349" t="s">
        <v>279</v>
      </c>
      <c r="C2349" t="s">
        <v>78</v>
      </c>
      <c r="D2349" t="s">
        <v>79</v>
      </c>
      <c r="E2349" t="s">
        <v>80</v>
      </c>
      <c r="F2349" t="s">
        <v>30</v>
      </c>
      <c r="G2349" t="s">
        <v>24</v>
      </c>
      <c r="H2349">
        <v>11</v>
      </c>
      <c r="I2349">
        <v>33</v>
      </c>
      <c r="J2349">
        <v>41.71</v>
      </c>
      <c r="K2349">
        <v>109</v>
      </c>
      <c r="L2349">
        <v>1376.43</v>
      </c>
      <c r="M2349">
        <v>-2220.5700000000002</v>
      </c>
      <c r="N2349" s="1">
        <v>38412</v>
      </c>
      <c r="O2349" t="s">
        <v>169</v>
      </c>
      <c r="P2349">
        <v>1</v>
      </c>
      <c r="Q2349">
        <v>3</v>
      </c>
      <c r="R2349">
        <v>2005</v>
      </c>
      <c r="S2349" t="s">
        <v>234</v>
      </c>
    </row>
    <row r="2350" spans="1:19" x14ac:dyDescent="0.25">
      <c r="A2350">
        <v>10145</v>
      </c>
      <c r="B2350" t="s">
        <v>281</v>
      </c>
      <c r="C2350" t="s">
        <v>34</v>
      </c>
      <c r="D2350" t="s">
        <v>35</v>
      </c>
      <c r="E2350" t="s">
        <v>22</v>
      </c>
      <c r="F2350" t="s">
        <v>23</v>
      </c>
      <c r="G2350" t="s">
        <v>33</v>
      </c>
      <c r="H2350">
        <v>11</v>
      </c>
      <c r="I2350">
        <v>47</v>
      </c>
      <c r="J2350">
        <v>83.03</v>
      </c>
      <c r="K2350">
        <v>76</v>
      </c>
      <c r="L2350">
        <v>3902.41</v>
      </c>
      <c r="M2350">
        <v>330.41</v>
      </c>
      <c r="N2350" s="1">
        <v>37858</v>
      </c>
      <c r="O2350" t="s">
        <v>25</v>
      </c>
      <c r="P2350">
        <v>3</v>
      </c>
      <c r="Q2350">
        <v>8</v>
      </c>
      <c r="R2350">
        <v>2003</v>
      </c>
      <c r="S2350" t="s">
        <v>26</v>
      </c>
    </row>
    <row r="2351" spans="1:19" x14ac:dyDescent="0.25">
      <c r="A2351">
        <v>10285</v>
      </c>
      <c r="B2351" t="s">
        <v>281</v>
      </c>
      <c r="C2351" t="s">
        <v>58</v>
      </c>
      <c r="D2351" t="s">
        <v>59</v>
      </c>
      <c r="E2351" t="s">
        <v>22</v>
      </c>
      <c r="F2351" t="s">
        <v>23</v>
      </c>
      <c r="G2351" t="s">
        <v>24</v>
      </c>
      <c r="H2351">
        <v>11</v>
      </c>
      <c r="I2351">
        <v>39</v>
      </c>
      <c r="J2351">
        <v>70.08</v>
      </c>
      <c r="K2351">
        <v>76</v>
      </c>
      <c r="L2351">
        <v>2733.12</v>
      </c>
      <c r="M2351">
        <v>-230.88</v>
      </c>
      <c r="N2351" s="1">
        <v>38226</v>
      </c>
      <c r="O2351" t="s">
        <v>25</v>
      </c>
      <c r="P2351">
        <v>3</v>
      </c>
      <c r="Q2351">
        <v>8</v>
      </c>
      <c r="R2351">
        <v>2004</v>
      </c>
      <c r="S2351" t="s">
        <v>26</v>
      </c>
    </row>
    <row r="2352" spans="1:19" x14ac:dyDescent="0.25">
      <c r="A2352">
        <v>10273</v>
      </c>
      <c r="B2352" t="s">
        <v>282</v>
      </c>
      <c r="C2352" t="s">
        <v>151</v>
      </c>
      <c r="D2352" t="s">
        <v>152</v>
      </c>
      <c r="E2352" t="s">
        <v>153</v>
      </c>
      <c r="F2352" t="s">
        <v>30</v>
      </c>
      <c r="G2352" t="s">
        <v>24</v>
      </c>
      <c r="H2352">
        <v>11</v>
      </c>
      <c r="I2352">
        <v>22</v>
      </c>
      <c r="J2352">
        <v>100</v>
      </c>
      <c r="K2352">
        <v>122</v>
      </c>
      <c r="L2352">
        <v>2784.76</v>
      </c>
      <c r="M2352">
        <v>100.76</v>
      </c>
      <c r="N2352" s="1">
        <v>38189</v>
      </c>
      <c r="O2352" t="s">
        <v>25</v>
      </c>
      <c r="P2352">
        <v>3</v>
      </c>
      <c r="Q2352">
        <v>7</v>
      </c>
      <c r="R2352">
        <v>2004</v>
      </c>
      <c r="S2352" t="s">
        <v>255</v>
      </c>
    </row>
    <row r="2353" spans="1:19" x14ac:dyDescent="0.25">
      <c r="A2353">
        <v>10280</v>
      </c>
      <c r="B2353" t="s">
        <v>283</v>
      </c>
      <c r="C2353" t="s">
        <v>108</v>
      </c>
      <c r="D2353" t="s">
        <v>109</v>
      </c>
      <c r="E2353" t="s">
        <v>110</v>
      </c>
      <c r="F2353" t="s">
        <v>30</v>
      </c>
      <c r="G2353" t="s">
        <v>24</v>
      </c>
      <c r="H2353">
        <v>11</v>
      </c>
      <c r="I2353">
        <v>45</v>
      </c>
      <c r="J2353">
        <v>47.49</v>
      </c>
      <c r="K2353">
        <v>44</v>
      </c>
      <c r="L2353">
        <v>2137.0500000000002</v>
      </c>
      <c r="M2353">
        <v>157.05000000000001</v>
      </c>
      <c r="N2353" s="1">
        <v>38216</v>
      </c>
      <c r="O2353" t="s">
        <v>25</v>
      </c>
      <c r="P2353">
        <v>3</v>
      </c>
      <c r="Q2353">
        <v>8</v>
      </c>
      <c r="R2353">
        <v>2004</v>
      </c>
      <c r="S2353" t="s">
        <v>226</v>
      </c>
    </row>
    <row r="2354" spans="1:19" x14ac:dyDescent="0.25">
      <c r="A2354">
        <v>10184</v>
      </c>
      <c r="B2354" t="s">
        <v>284</v>
      </c>
      <c r="C2354" t="s">
        <v>212</v>
      </c>
      <c r="D2354" t="s">
        <v>213</v>
      </c>
      <c r="E2354" t="s">
        <v>80</v>
      </c>
      <c r="F2354" t="s">
        <v>30</v>
      </c>
      <c r="G2354" t="s">
        <v>33</v>
      </c>
      <c r="H2354">
        <v>11</v>
      </c>
      <c r="I2354">
        <v>24</v>
      </c>
      <c r="J2354">
        <v>100</v>
      </c>
      <c r="K2354">
        <v>127</v>
      </c>
      <c r="L2354">
        <v>3496.32</v>
      </c>
      <c r="M2354">
        <v>448.32</v>
      </c>
      <c r="N2354" s="1">
        <v>37939</v>
      </c>
      <c r="O2354" t="s">
        <v>25</v>
      </c>
      <c r="P2354">
        <v>4</v>
      </c>
      <c r="Q2354">
        <v>11</v>
      </c>
      <c r="R2354">
        <v>2003</v>
      </c>
      <c r="S2354" t="s">
        <v>202</v>
      </c>
    </row>
    <row r="2355" spans="1:19" x14ac:dyDescent="0.25">
      <c r="A2355">
        <v>10159</v>
      </c>
      <c r="B2355" t="s">
        <v>285</v>
      </c>
      <c r="C2355" t="s">
        <v>36</v>
      </c>
      <c r="D2355" t="s">
        <v>37</v>
      </c>
      <c r="E2355" t="s">
        <v>22</v>
      </c>
      <c r="F2355" t="s">
        <v>23</v>
      </c>
      <c r="G2355" t="s">
        <v>24</v>
      </c>
      <c r="H2355">
        <v>11</v>
      </c>
      <c r="I2355">
        <v>27</v>
      </c>
      <c r="J2355">
        <v>80.34</v>
      </c>
      <c r="K2355">
        <v>69</v>
      </c>
      <c r="L2355">
        <v>2169.1799999999998</v>
      </c>
      <c r="M2355">
        <v>306.18</v>
      </c>
      <c r="N2355" s="1">
        <v>37904</v>
      </c>
      <c r="O2355" t="s">
        <v>25</v>
      </c>
      <c r="P2355">
        <v>4</v>
      </c>
      <c r="Q2355">
        <v>10</v>
      </c>
      <c r="R2355">
        <v>2003</v>
      </c>
      <c r="S2355" t="s">
        <v>26</v>
      </c>
    </row>
    <row r="2356" spans="1:19" x14ac:dyDescent="0.25">
      <c r="A2356">
        <v>10169</v>
      </c>
      <c r="B2356" t="s">
        <v>285</v>
      </c>
      <c r="C2356" t="s">
        <v>121</v>
      </c>
      <c r="D2356" t="s">
        <v>122</v>
      </c>
      <c r="E2356" t="s">
        <v>49</v>
      </c>
      <c r="F2356" t="s">
        <v>50</v>
      </c>
      <c r="G2356" t="s">
        <v>24</v>
      </c>
      <c r="H2356">
        <v>11</v>
      </c>
      <c r="I2356">
        <v>38</v>
      </c>
      <c r="J2356">
        <v>74.11</v>
      </c>
      <c r="K2356">
        <v>69</v>
      </c>
      <c r="L2356">
        <v>2816.18</v>
      </c>
      <c r="M2356">
        <v>194.18</v>
      </c>
      <c r="N2356" s="1">
        <v>37929</v>
      </c>
      <c r="O2356" t="s">
        <v>25</v>
      </c>
      <c r="P2356">
        <v>4</v>
      </c>
      <c r="Q2356">
        <v>11</v>
      </c>
      <c r="R2356">
        <v>2003</v>
      </c>
      <c r="S2356" t="s">
        <v>26</v>
      </c>
    </row>
    <row r="2357" spans="1:19" x14ac:dyDescent="0.25">
      <c r="A2357">
        <v>10211</v>
      </c>
      <c r="B2357" t="s">
        <v>285</v>
      </c>
      <c r="C2357" t="s">
        <v>46</v>
      </c>
      <c r="D2357" t="s">
        <v>32</v>
      </c>
      <c r="E2357" t="s">
        <v>29</v>
      </c>
      <c r="F2357" t="s">
        <v>30</v>
      </c>
      <c r="G2357" t="s">
        <v>24</v>
      </c>
      <c r="H2357">
        <v>11</v>
      </c>
      <c r="I2357">
        <v>21</v>
      </c>
      <c r="J2357">
        <v>63.72</v>
      </c>
      <c r="K2357">
        <v>69</v>
      </c>
      <c r="L2357">
        <v>1338.12</v>
      </c>
      <c r="M2357">
        <v>-110.88</v>
      </c>
      <c r="N2357" s="1">
        <v>38001</v>
      </c>
      <c r="O2357" t="s">
        <v>25</v>
      </c>
      <c r="P2357">
        <v>1</v>
      </c>
      <c r="Q2357">
        <v>1</v>
      </c>
      <c r="R2357">
        <v>2004</v>
      </c>
      <c r="S2357" t="s">
        <v>26</v>
      </c>
    </row>
    <row r="2358" spans="1:19" x14ac:dyDescent="0.25">
      <c r="A2358">
        <v>10110</v>
      </c>
      <c r="B2358" t="s">
        <v>286</v>
      </c>
      <c r="C2358" t="s">
        <v>197</v>
      </c>
      <c r="D2358" t="s">
        <v>198</v>
      </c>
      <c r="E2358" t="s">
        <v>77</v>
      </c>
      <c r="F2358" t="s">
        <v>30</v>
      </c>
      <c r="G2358" t="s">
        <v>33</v>
      </c>
      <c r="H2358">
        <v>11</v>
      </c>
      <c r="I2358">
        <v>43</v>
      </c>
      <c r="J2358">
        <v>78.150000000000006</v>
      </c>
      <c r="K2358">
        <v>90</v>
      </c>
      <c r="L2358">
        <v>3360.45</v>
      </c>
      <c r="M2358">
        <v>-509.55</v>
      </c>
      <c r="N2358" s="1">
        <v>37698</v>
      </c>
      <c r="O2358" t="s">
        <v>25</v>
      </c>
      <c r="P2358">
        <v>1</v>
      </c>
      <c r="Q2358">
        <v>3</v>
      </c>
      <c r="R2358">
        <v>2003</v>
      </c>
      <c r="S2358" t="s">
        <v>83</v>
      </c>
    </row>
    <row r="2359" spans="1:19" x14ac:dyDescent="0.25">
      <c r="A2359">
        <v>10332</v>
      </c>
      <c r="B2359" t="s">
        <v>289</v>
      </c>
      <c r="C2359" t="s">
        <v>197</v>
      </c>
      <c r="D2359" t="s">
        <v>198</v>
      </c>
      <c r="E2359" t="s">
        <v>77</v>
      </c>
      <c r="F2359" t="s">
        <v>30</v>
      </c>
      <c r="G2359" t="s">
        <v>24</v>
      </c>
      <c r="H2359">
        <v>11</v>
      </c>
      <c r="I2359">
        <v>44</v>
      </c>
      <c r="J2359">
        <v>42.26</v>
      </c>
      <c r="K2359">
        <v>117</v>
      </c>
      <c r="L2359">
        <v>1859.44</v>
      </c>
      <c r="M2359">
        <v>-3288.56</v>
      </c>
      <c r="N2359" s="1">
        <v>38308</v>
      </c>
      <c r="O2359" t="s">
        <v>25</v>
      </c>
      <c r="P2359">
        <v>4</v>
      </c>
      <c r="Q2359">
        <v>11</v>
      </c>
      <c r="R2359">
        <v>2004</v>
      </c>
      <c r="S2359" t="s">
        <v>83</v>
      </c>
    </row>
    <row r="2360" spans="1:19" x14ac:dyDescent="0.25">
      <c r="A2360">
        <v>10167</v>
      </c>
      <c r="B2360" t="s">
        <v>291</v>
      </c>
      <c r="C2360" t="s">
        <v>111</v>
      </c>
      <c r="D2360" t="s">
        <v>112</v>
      </c>
      <c r="E2360" t="s">
        <v>86</v>
      </c>
      <c r="F2360" t="s">
        <v>30</v>
      </c>
      <c r="G2360" t="s">
        <v>24</v>
      </c>
      <c r="H2360">
        <v>11</v>
      </c>
      <c r="I2360">
        <v>20</v>
      </c>
      <c r="J2360">
        <v>79.66</v>
      </c>
      <c r="K2360">
        <v>88</v>
      </c>
      <c r="L2360">
        <v>1593.2</v>
      </c>
      <c r="M2360">
        <v>-166.8</v>
      </c>
      <c r="N2360" s="1">
        <v>37917</v>
      </c>
      <c r="O2360" t="s">
        <v>141</v>
      </c>
      <c r="P2360">
        <v>4</v>
      </c>
      <c r="Q2360">
        <v>10</v>
      </c>
      <c r="R2360">
        <v>2003</v>
      </c>
      <c r="S2360" t="s">
        <v>226</v>
      </c>
    </row>
    <row r="2361" spans="1:19" x14ac:dyDescent="0.25">
      <c r="A2361">
        <v>10124</v>
      </c>
      <c r="B2361" t="s">
        <v>292</v>
      </c>
      <c r="C2361" t="s">
        <v>221</v>
      </c>
      <c r="D2361" t="s">
        <v>222</v>
      </c>
      <c r="E2361" t="s">
        <v>22</v>
      </c>
      <c r="F2361" t="s">
        <v>23</v>
      </c>
      <c r="G2361" t="s">
        <v>33</v>
      </c>
      <c r="H2361">
        <v>11</v>
      </c>
      <c r="I2361">
        <v>49</v>
      </c>
      <c r="J2361">
        <v>83.04</v>
      </c>
      <c r="K2361">
        <v>85</v>
      </c>
      <c r="L2361">
        <v>4068.96</v>
      </c>
      <c r="M2361">
        <v>-96.04</v>
      </c>
      <c r="N2361" s="1">
        <v>37762</v>
      </c>
      <c r="O2361" t="s">
        <v>25</v>
      </c>
      <c r="P2361">
        <v>2</v>
      </c>
      <c r="Q2361">
        <v>5</v>
      </c>
      <c r="R2361">
        <v>2003</v>
      </c>
      <c r="S2361" t="s">
        <v>83</v>
      </c>
    </row>
    <row r="2362" spans="1:19" x14ac:dyDescent="0.25">
      <c r="A2362">
        <v>10287</v>
      </c>
      <c r="B2362" t="s">
        <v>293</v>
      </c>
      <c r="C2362" t="s">
        <v>181</v>
      </c>
      <c r="D2362" t="s">
        <v>182</v>
      </c>
      <c r="E2362" t="s">
        <v>183</v>
      </c>
      <c r="F2362" t="s">
        <v>30</v>
      </c>
      <c r="G2362" t="s">
        <v>24</v>
      </c>
      <c r="H2362">
        <v>11</v>
      </c>
      <c r="I2362">
        <v>20</v>
      </c>
      <c r="J2362">
        <v>67.97</v>
      </c>
      <c r="K2362">
        <v>61</v>
      </c>
      <c r="L2362">
        <v>1359.4</v>
      </c>
      <c r="M2362">
        <v>139.4</v>
      </c>
      <c r="N2362" s="1">
        <v>38229</v>
      </c>
      <c r="O2362" t="s">
        <v>25</v>
      </c>
      <c r="P2362">
        <v>3</v>
      </c>
      <c r="Q2362">
        <v>8</v>
      </c>
      <c r="R2362">
        <v>2004</v>
      </c>
      <c r="S2362" t="s">
        <v>83</v>
      </c>
    </row>
    <row r="2363" spans="1:19" x14ac:dyDescent="0.25">
      <c r="A2363">
        <v>10262</v>
      </c>
      <c r="B2363" t="s">
        <v>294</v>
      </c>
      <c r="C2363" t="s">
        <v>78</v>
      </c>
      <c r="D2363" t="s">
        <v>79</v>
      </c>
      <c r="E2363" t="s">
        <v>80</v>
      </c>
      <c r="F2363" t="s">
        <v>30</v>
      </c>
      <c r="G2363" t="s">
        <v>33</v>
      </c>
      <c r="H2363">
        <v>11</v>
      </c>
      <c r="I2363">
        <v>46</v>
      </c>
      <c r="J2363">
        <v>70.349999999999994</v>
      </c>
      <c r="K2363">
        <v>65</v>
      </c>
      <c r="L2363">
        <v>3236.1</v>
      </c>
      <c r="M2363">
        <v>246.1</v>
      </c>
      <c r="N2363" s="1">
        <v>38162</v>
      </c>
      <c r="O2363" t="s">
        <v>141</v>
      </c>
      <c r="P2363">
        <v>2</v>
      </c>
      <c r="Q2363">
        <v>6</v>
      </c>
      <c r="R2363">
        <v>2004</v>
      </c>
      <c r="S2363" t="s">
        <v>226</v>
      </c>
    </row>
    <row r="2364" spans="1:19" x14ac:dyDescent="0.25">
      <c r="A2364">
        <v>10316</v>
      </c>
      <c r="B2364" t="s">
        <v>294</v>
      </c>
      <c r="C2364" t="s">
        <v>158</v>
      </c>
      <c r="D2364" t="s">
        <v>159</v>
      </c>
      <c r="E2364" t="s">
        <v>77</v>
      </c>
      <c r="F2364" t="s">
        <v>30</v>
      </c>
      <c r="G2364" t="s">
        <v>33</v>
      </c>
      <c r="H2364">
        <v>11</v>
      </c>
      <c r="I2364">
        <v>47</v>
      </c>
      <c r="J2364">
        <v>76.930000000000007</v>
      </c>
      <c r="K2364">
        <v>65</v>
      </c>
      <c r="L2364">
        <v>3615.71</v>
      </c>
      <c r="M2364">
        <v>560.71</v>
      </c>
      <c r="N2364" s="1">
        <v>38292</v>
      </c>
      <c r="O2364" t="s">
        <v>25</v>
      </c>
      <c r="P2364">
        <v>4</v>
      </c>
      <c r="Q2364">
        <v>11</v>
      </c>
      <c r="R2364">
        <v>2004</v>
      </c>
      <c r="S2364" t="s">
        <v>226</v>
      </c>
    </row>
    <row r="2365" spans="1:19" x14ac:dyDescent="0.25">
      <c r="A2365">
        <v>10373</v>
      </c>
      <c r="B2365" t="s">
        <v>294</v>
      </c>
      <c r="C2365" t="s">
        <v>160</v>
      </c>
      <c r="D2365" t="s">
        <v>161</v>
      </c>
      <c r="E2365" t="s">
        <v>62</v>
      </c>
      <c r="F2365" t="s">
        <v>30</v>
      </c>
      <c r="G2365" t="s">
        <v>33</v>
      </c>
      <c r="H2365">
        <v>11</v>
      </c>
      <c r="I2365">
        <v>46</v>
      </c>
      <c r="J2365">
        <v>66</v>
      </c>
      <c r="K2365">
        <v>65</v>
      </c>
      <c r="L2365">
        <v>3036</v>
      </c>
      <c r="M2365">
        <v>46</v>
      </c>
      <c r="N2365" s="1">
        <v>38383</v>
      </c>
      <c r="O2365" t="s">
        <v>25</v>
      </c>
      <c r="P2365">
        <v>1</v>
      </c>
      <c r="Q2365">
        <v>1</v>
      </c>
      <c r="R2365">
        <v>2005</v>
      </c>
      <c r="S2365" t="s">
        <v>226</v>
      </c>
    </row>
    <row r="2366" spans="1:19" x14ac:dyDescent="0.25">
      <c r="A2366">
        <v>10204</v>
      </c>
      <c r="B2366" t="s">
        <v>295</v>
      </c>
      <c r="C2366" t="s">
        <v>192</v>
      </c>
      <c r="D2366" t="s">
        <v>21</v>
      </c>
      <c r="E2366" t="s">
        <v>22</v>
      </c>
      <c r="F2366" t="s">
        <v>23</v>
      </c>
      <c r="G2366" t="s">
        <v>33</v>
      </c>
      <c r="H2366">
        <v>11</v>
      </c>
      <c r="I2366">
        <v>48</v>
      </c>
      <c r="J2366">
        <v>91.02</v>
      </c>
      <c r="K2366">
        <v>107</v>
      </c>
      <c r="L2366">
        <v>4368.96</v>
      </c>
      <c r="M2366">
        <v>-767.04</v>
      </c>
      <c r="N2366" s="1">
        <v>37957</v>
      </c>
      <c r="O2366" t="s">
        <v>25</v>
      </c>
      <c r="P2366">
        <v>4</v>
      </c>
      <c r="Q2366">
        <v>12</v>
      </c>
      <c r="R2366">
        <v>2003</v>
      </c>
      <c r="S2366" t="s">
        <v>83</v>
      </c>
    </row>
    <row r="2367" spans="1:19" x14ac:dyDescent="0.25">
      <c r="A2367">
        <v>10380</v>
      </c>
      <c r="B2367" t="s">
        <v>295</v>
      </c>
      <c r="C2367" t="s">
        <v>78</v>
      </c>
      <c r="D2367" t="s">
        <v>79</v>
      </c>
      <c r="E2367" t="s">
        <v>80</v>
      </c>
      <c r="F2367" t="s">
        <v>30</v>
      </c>
      <c r="G2367" t="s">
        <v>33</v>
      </c>
      <c r="H2367">
        <v>11</v>
      </c>
      <c r="I2367">
        <v>34</v>
      </c>
      <c r="J2367">
        <v>100</v>
      </c>
      <c r="K2367">
        <v>107</v>
      </c>
      <c r="L2367">
        <v>3953.18</v>
      </c>
      <c r="M2367">
        <v>315.18</v>
      </c>
      <c r="N2367" s="1">
        <v>38399</v>
      </c>
      <c r="O2367" t="s">
        <v>25</v>
      </c>
      <c r="P2367">
        <v>1</v>
      </c>
      <c r="Q2367">
        <v>2</v>
      </c>
      <c r="R2367">
        <v>2005</v>
      </c>
      <c r="S2367" t="s">
        <v>83</v>
      </c>
    </row>
    <row r="2368" spans="1:19" x14ac:dyDescent="0.25">
      <c r="A2368">
        <v>10178</v>
      </c>
      <c r="B2368" t="s">
        <v>296</v>
      </c>
      <c r="C2368" t="s">
        <v>142</v>
      </c>
      <c r="D2368" t="s">
        <v>143</v>
      </c>
      <c r="E2368" t="s">
        <v>29</v>
      </c>
      <c r="F2368" t="s">
        <v>30</v>
      </c>
      <c r="G2368" t="s">
        <v>24</v>
      </c>
      <c r="H2368">
        <v>11</v>
      </c>
      <c r="I2368">
        <v>21</v>
      </c>
      <c r="J2368">
        <v>72.12</v>
      </c>
      <c r="K2368">
        <v>83</v>
      </c>
      <c r="L2368">
        <v>1514.52</v>
      </c>
      <c r="M2368">
        <v>-228.48</v>
      </c>
      <c r="N2368" s="1">
        <v>37933</v>
      </c>
      <c r="O2368" t="s">
        <v>25</v>
      </c>
      <c r="P2368">
        <v>4</v>
      </c>
      <c r="Q2368">
        <v>11</v>
      </c>
      <c r="R2368">
        <v>2003</v>
      </c>
      <c r="S2368" t="s">
        <v>226</v>
      </c>
    </row>
    <row r="2369" spans="1:19" x14ac:dyDescent="0.25">
      <c r="A2369">
        <v>10222</v>
      </c>
      <c r="B2369" t="s">
        <v>296</v>
      </c>
      <c r="C2369" t="s">
        <v>149</v>
      </c>
      <c r="D2369" t="s">
        <v>150</v>
      </c>
      <c r="E2369" t="s">
        <v>22</v>
      </c>
      <c r="F2369" t="s">
        <v>23</v>
      </c>
      <c r="G2369" t="s">
        <v>33</v>
      </c>
      <c r="H2369">
        <v>11</v>
      </c>
      <c r="I2369">
        <v>46</v>
      </c>
      <c r="J2369">
        <v>80.510000000000005</v>
      </c>
      <c r="K2369">
        <v>83</v>
      </c>
      <c r="L2369">
        <v>3703.46</v>
      </c>
      <c r="M2369">
        <v>-114.54</v>
      </c>
      <c r="N2369" s="1">
        <v>38036</v>
      </c>
      <c r="O2369" t="s">
        <v>25</v>
      </c>
      <c r="P2369">
        <v>1</v>
      </c>
      <c r="Q2369">
        <v>2</v>
      </c>
      <c r="R2369">
        <v>2004</v>
      </c>
      <c r="S2369" t="s">
        <v>226</v>
      </c>
    </row>
    <row r="2370" spans="1:19" x14ac:dyDescent="0.25">
      <c r="A2370">
        <v>10301</v>
      </c>
      <c r="B2370" t="s">
        <v>297</v>
      </c>
      <c r="C2370" t="s">
        <v>223</v>
      </c>
      <c r="D2370" t="s">
        <v>224</v>
      </c>
      <c r="E2370" t="s">
        <v>44</v>
      </c>
      <c r="F2370" t="s">
        <v>30</v>
      </c>
      <c r="G2370" t="s">
        <v>70</v>
      </c>
      <c r="H2370">
        <v>11</v>
      </c>
      <c r="I2370">
        <v>50</v>
      </c>
      <c r="J2370">
        <v>100</v>
      </c>
      <c r="K2370">
        <v>140</v>
      </c>
      <c r="L2370">
        <v>7723.5</v>
      </c>
      <c r="M2370">
        <v>723.5</v>
      </c>
      <c r="N2370" s="1">
        <v>37899</v>
      </c>
      <c r="O2370" t="s">
        <v>25</v>
      </c>
      <c r="P2370">
        <v>4</v>
      </c>
      <c r="Q2370">
        <v>10</v>
      </c>
      <c r="R2370">
        <v>2003</v>
      </c>
      <c r="S2370" t="s">
        <v>83</v>
      </c>
    </row>
    <row r="2371" spans="1:19" x14ac:dyDescent="0.25">
      <c r="A2371">
        <v>10106</v>
      </c>
      <c r="B2371" t="s">
        <v>298</v>
      </c>
      <c r="C2371" t="s">
        <v>227</v>
      </c>
      <c r="D2371" t="s">
        <v>228</v>
      </c>
      <c r="E2371" t="s">
        <v>110</v>
      </c>
      <c r="F2371" t="s">
        <v>30</v>
      </c>
      <c r="G2371" t="s">
        <v>33</v>
      </c>
      <c r="H2371">
        <v>11</v>
      </c>
      <c r="I2371">
        <v>50</v>
      </c>
      <c r="J2371">
        <v>64.83</v>
      </c>
      <c r="K2371">
        <v>68</v>
      </c>
      <c r="L2371">
        <v>3241.5</v>
      </c>
      <c r="M2371">
        <v>-158.5</v>
      </c>
      <c r="N2371" s="1">
        <v>37669</v>
      </c>
      <c r="O2371" t="s">
        <v>25</v>
      </c>
      <c r="P2371">
        <v>1</v>
      </c>
      <c r="Q2371">
        <v>2</v>
      </c>
      <c r="R2371">
        <v>2003</v>
      </c>
      <c r="S2371" t="s">
        <v>234</v>
      </c>
    </row>
    <row r="2372" spans="1:19" x14ac:dyDescent="0.25">
      <c r="A2372">
        <v>10339</v>
      </c>
      <c r="B2372" t="s">
        <v>298</v>
      </c>
      <c r="C2372" t="s">
        <v>105</v>
      </c>
      <c r="D2372" t="s">
        <v>106</v>
      </c>
      <c r="E2372" t="s">
        <v>107</v>
      </c>
      <c r="F2372" t="s">
        <v>50</v>
      </c>
      <c r="G2372" t="s">
        <v>33</v>
      </c>
      <c r="H2372">
        <v>11</v>
      </c>
      <c r="I2372">
        <v>45</v>
      </c>
      <c r="J2372">
        <v>96.92</v>
      </c>
      <c r="K2372">
        <v>68</v>
      </c>
      <c r="L2372">
        <v>4361.3999999999996</v>
      </c>
      <c r="M2372">
        <v>1301.4000000000001</v>
      </c>
      <c r="N2372" s="1">
        <v>38314</v>
      </c>
      <c r="O2372" t="s">
        <v>25</v>
      </c>
      <c r="P2372">
        <v>4</v>
      </c>
      <c r="Q2372">
        <v>11</v>
      </c>
      <c r="R2372">
        <v>2004</v>
      </c>
      <c r="S2372" t="s">
        <v>234</v>
      </c>
    </row>
    <row r="2373" spans="1:19" x14ac:dyDescent="0.25">
      <c r="A2373">
        <v>10173</v>
      </c>
      <c r="B2373" t="s">
        <v>299</v>
      </c>
      <c r="C2373" t="s">
        <v>227</v>
      </c>
      <c r="D2373" t="s">
        <v>228</v>
      </c>
      <c r="E2373" t="s">
        <v>110</v>
      </c>
      <c r="F2373" t="s">
        <v>30</v>
      </c>
      <c r="G2373" t="s">
        <v>24</v>
      </c>
      <c r="H2373">
        <v>11</v>
      </c>
      <c r="I2373">
        <v>35</v>
      </c>
      <c r="J2373">
        <v>33.229999999999997</v>
      </c>
      <c r="K2373">
        <v>41</v>
      </c>
      <c r="L2373">
        <v>1163.05</v>
      </c>
      <c r="M2373">
        <v>-271.95</v>
      </c>
      <c r="N2373" s="1">
        <v>37930</v>
      </c>
      <c r="O2373" t="s">
        <v>25</v>
      </c>
      <c r="P2373">
        <v>4</v>
      </c>
      <c r="Q2373">
        <v>11</v>
      </c>
      <c r="R2373">
        <v>2003</v>
      </c>
      <c r="S2373" t="s">
        <v>226</v>
      </c>
    </row>
    <row r="2374" spans="1:19" x14ac:dyDescent="0.25">
      <c r="A2374">
        <v>10263</v>
      </c>
      <c r="B2374" t="s">
        <v>302</v>
      </c>
      <c r="C2374" t="s">
        <v>54</v>
      </c>
      <c r="D2374" t="s">
        <v>55</v>
      </c>
      <c r="E2374" t="s">
        <v>22</v>
      </c>
      <c r="F2374" t="s">
        <v>23</v>
      </c>
      <c r="G2374" t="s">
        <v>24</v>
      </c>
      <c r="H2374">
        <v>11</v>
      </c>
      <c r="I2374">
        <v>24</v>
      </c>
      <c r="J2374">
        <v>75.349999999999994</v>
      </c>
      <c r="K2374">
        <v>72</v>
      </c>
      <c r="L2374">
        <v>1808.4</v>
      </c>
      <c r="M2374">
        <v>80.400000000000006</v>
      </c>
      <c r="N2374" s="1">
        <v>38166</v>
      </c>
      <c r="O2374" t="s">
        <v>25</v>
      </c>
      <c r="P2374">
        <v>2</v>
      </c>
      <c r="Q2374">
        <v>6</v>
      </c>
      <c r="R2374">
        <v>2004</v>
      </c>
      <c r="S2374" t="s">
        <v>234</v>
      </c>
    </row>
    <row r="2375" spans="1:19" x14ac:dyDescent="0.25">
      <c r="A2375">
        <v>10135</v>
      </c>
      <c r="B2375" t="s">
        <v>303</v>
      </c>
      <c r="C2375" t="s">
        <v>115</v>
      </c>
      <c r="D2375" t="s">
        <v>116</v>
      </c>
      <c r="E2375" t="s">
        <v>22</v>
      </c>
      <c r="F2375" t="s">
        <v>23</v>
      </c>
      <c r="G2375" t="s">
        <v>24</v>
      </c>
      <c r="H2375">
        <v>11</v>
      </c>
      <c r="I2375">
        <v>23</v>
      </c>
      <c r="J2375">
        <v>87.31</v>
      </c>
      <c r="K2375">
        <v>80</v>
      </c>
      <c r="L2375">
        <v>2008.13</v>
      </c>
      <c r="M2375">
        <v>168.13</v>
      </c>
      <c r="N2375" s="1">
        <v>37804</v>
      </c>
      <c r="O2375" t="s">
        <v>25</v>
      </c>
      <c r="P2375">
        <v>3</v>
      </c>
      <c r="Q2375">
        <v>7</v>
      </c>
      <c r="R2375">
        <v>2003</v>
      </c>
      <c r="S2375" t="s">
        <v>83</v>
      </c>
    </row>
    <row r="2376" spans="1:19" x14ac:dyDescent="0.25">
      <c r="A2376">
        <v>10147</v>
      </c>
      <c r="B2376" t="s">
        <v>303</v>
      </c>
      <c r="C2376" t="s">
        <v>119</v>
      </c>
      <c r="D2376" t="s">
        <v>120</v>
      </c>
      <c r="E2376" t="s">
        <v>22</v>
      </c>
      <c r="F2376" t="s">
        <v>23</v>
      </c>
      <c r="G2376" t="s">
        <v>24</v>
      </c>
      <c r="H2376">
        <v>11</v>
      </c>
      <c r="I2376">
        <v>31</v>
      </c>
      <c r="J2376">
        <v>64.67</v>
      </c>
      <c r="K2376">
        <v>80</v>
      </c>
      <c r="L2376">
        <v>2004.77</v>
      </c>
      <c r="M2376">
        <v>-475.23</v>
      </c>
      <c r="N2376" s="1">
        <v>37869</v>
      </c>
      <c r="O2376" t="s">
        <v>25</v>
      </c>
      <c r="P2376">
        <v>3</v>
      </c>
      <c r="Q2376">
        <v>9</v>
      </c>
      <c r="R2376">
        <v>2003</v>
      </c>
      <c r="S2376" t="s">
        <v>83</v>
      </c>
    </row>
    <row r="2377" spans="1:19" x14ac:dyDescent="0.25">
      <c r="A2377">
        <v>10259</v>
      </c>
      <c r="B2377" t="s">
        <v>304</v>
      </c>
      <c r="C2377" t="s">
        <v>171</v>
      </c>
      <c r="D2377" t="s">
        <v>89</v>
      </c>
      <c r="E2377" t="s">
        <v>89</v>
      </c>
      <c r="F2377" t="s">
        <v>50</v>
      </c>
      <c r="G2377" t="s">
        <v>33</v>
      </c>
      <c r="H2377">
        <v>11</v>
      </c>
      <c r="I2377">
        <v>45</v>
      </c>
      <c r="J2377">
        <v>86.68</v>
      </c>
      <c r="K2377">
        <v>96</v>
      </c>
      <c r="L2377">
        <v>3900.6</v>
      </c>
      <c r="M2377">
        <v>-419.4</v>
      </c>
      <c r="N2377" s="1">
        <v>38153</v>
      </c>
      <c r="O2377" t="s">
        <v>25</v>
      </c>
      <c r="P2377">
        <v>2</v>
      </c>
      <c r="Q2377">
        <v>6</v>
      </c>
      <c r="R2377">
        <v>2004</v>
      </c>
      <c r="S2377" t="s">
        <v>202</v>
      </c>
    </row>
    <row r="2378" spans="1:19" x14ac:dyDescent="0.25">
      <c r="A2378">
        <v>10324</v>
      </c>
      <c r="B2378" t="s">
        <v>304</v>
      </c>
      <c r="C2378" t="s">
        <v>51</v>
      </c>
      <c r="D2378" t="s">
        <v>21</v>
      </c>
      <c r="E2378" t="s">
        <v>22</v>
      </c>
      <c r="F2378" t="s">
        <v>23</v>
      </c>
      <c r="G2378" t="s">
        <v>24</v>
      </c>
      <c r="H2378">
        <v>11</v>
      </c>
      <c r="I2378">
        <v>20</v>
      </c>
      <c r="J2378">
        <v>98.18</v>
      </c>
      <c r="K2378">
        <v>96</v>
      </c>
      <c r="L2378">
        <v>1963.6</v>
      </c>
      <c r="M2378">
        <v>43.6</v>
      </c>
      <c r="N2378" s="1">
        <v>38296</v>
      </c>
      <c r="O2378" t="s">
        <v>25</v>
      </c>
      <c r="P2378">
        <v>4</v>
      </c>
      <c r="Q2378">
        <v>11</v>
      </c>
      <c r="R2378">
        <v>2004</v>
      </c>
      <c r="S2378" t="s">
        <v>202</v>
      </c>
    </row>
    <row r="2379" spans="1:19" x14ac:dyDescent="0.25">
      <c r="A2379">
        <v>10425</v>
      </c>
      <c r="B2379" t="s">
        <v>304</v>
      </c>
      <c r="C2379" t="s">
        <v>56</v>
      </c>
      <c r="D2379" t="s">
        <v>57</v>
      </c>
      <c r="E2379" t="s">
        <v>29</v>
      </c>
      <c r="F2379" t="s">
        <v>30</v>
      </c>
      <c r="G2379" t="s">
        <v>33</v>
      </c>
      <c r="H2379">
        <v>11</v>
      </c>
      <c r="I2379">
        <v>41</v>
      </c>
      <c r="J2379">
        <v>86.68</v>
      </c>
      <c r="K2379">
        <v>96</v>
      </c>
      <c r="L2379">
        <v>3553.88</v>
      </c>
      <c r="M2379">
        <v>-382.12</v>
      </c>
      <c r="N2379" s="1">
        <v>38503</v>
      </c>
      <c r="O2379" t="s">
        <v>125</v>
      </c>
      <c r="P2379">
        <v>2</v>
      </c>
      <c r="Q2379">
        <v>5</v>
      </c>
      <c r="R2379">
        <v>2005</v>
      </c>
      <c r="S2379" t="s">
        <v>202</v>
      </c>
    </row>
    <row r="2380" spans="1:19" x14ac:dyDescent="0.25">
      <c r="A2380">
        <v>10329</v>
      </c>
      <c r="B2380" t="s">
        <v>305</v>
      </c>
      <c r="C2380" t="s">
        <v>20</v>
      </c>
      <c r="D2380" t="s">
        <v>21</v>
      </c>
      <c r="E2380" t="s">
        <v>22</v>
      </c>
      <c r="F2380" t="s">
        <v>23</v>
      </c>
      <c r="G2380" t="s">
        <v>24</v>
      </c>
      <c r="H2380">
        <v>11</v>
      </c>
      <c r="I2380">
        <v>45</v>
      </c>
      <c r="J2380">
        <v>63.91</v>
      </c>
      <c r="K2380">
        <v>99</v>
      </c>
      <c r="L2380">
        <v>2875.95</v>
      </c>
      <c r="M2380">
        <v>-1579.05</v>
      </c>
      <c r="N2380" s="1">
        <v>38306</v>
      </c>
      <c r="O2380" t="s">
        <v>25</v>
      </c>
      <c r="P2380">
        <v>4</v>
      </c>
      <c r="Q2380">
        <v>11</v>
      </c>
      <c r="R2380">
        <v>2004</v>
      </c>
      <c r="S2380" t="s">
        <v>26</v>
      </c>
    </row>
    <row r="2381" spans="1:19" x14ac:dyDescent="0.25">
      <c r="A2381">
        <v>10390</v>
      </c>
      <c r="B2381" t="s">
        <v>306</v>
      </c>
      <c r="C2381" t="s">
        <v>115</v>
      </c>
      <c r="D2381" t="s">
        <v>116</v>
      </c>
      <c r="E2381" t="s">
        <v>22</v>
      </c>
      <c r="F2381" t="s">
        <v>23</v>
      </c>
      <c r="G2381" t="s">
        <v>24</v>
      </c>
      <c r="H2381">
        <v>11</v>
      </c>
      <c r="I2381">
        <v>41</v>
      </c>
      <c r="J2381">
        <v>44.56</v>
      </c>
      <c r="K2381">
        <v>40</v>
      </c>
      <c r="L2381">
        <v>1826.96</v>
      </c>
      <c r="M2381">
        <v>186.96</v>
      </c>
      <c r="N2381" s="1">
        <v>38415</v>
      </c>
      <c r="O2381" t="s">
        <v>25</v>
      </c>
      <c r="P2381">
        <v>1</v>
      </c>
      <c r="Q2381">
        <v>3</v>
      </c>
      <c r="R2381">
        <v>2005</v>
      </c>
      <c r="S2381" t="s">
        <v>26</v>
      </c>
    </row>
    <row r="2382" spans="1:19" x14ac:dyDescent="0.25">
      <c r="A2382">
        <v>10104</v>
      </c>
      <c r="B2382" t="s">
        <v>307</v>
      </c>
      <c r="C2382" t="s">
        <v>78</v>
      </c>
      <c r="D2382" t="s">
        <v>79</v>
      </c>
      <c r="E2382" t="s">
        <v>80</v>
      </c>
      <c r="F2382" t="s">
        <v>30</v>
      </c>
      <c r="G2382" t="s">
        <v>24</v>
      </c>
      <c r="H2382">
        <v>11</v>
      </c>
      <c r="I2382">
        <v>35</v>
      </c>
      <c r="J2382">
        <v>47.62</v>
      </c>
      <c r="K2382">
        <v>54</v>
      </c>
      <c r="L2382">
        <v>1666.7</v>
      </c>
      <c r="M2382">
        <v>-223.3</v>
      </c>
      <c r="N2382" s="1">
        <v>37652</v>
      </c>
      <c r="O2382" t="s">
        <v>25</v>
      </c>
      <c r="P2382">
        <v>1</v>
      </c>
      <c r="Q2382">
        <v>1</v>
      </c>
      <c r="R2382">
        <v>2003</v>
      </c>
      <c r="S2382" t="s">
        <v>202</v>
      </c>
    </row>
    <row r="2383" spans="1:19" x14ac:dyDescent="0.25">
      <c r="A2383">
        <v>10371</v>
      </c>
      <c r="B2383" t="s">
        <v>308</v>
      </c>
      <c r="C2383" t="s">
        <v>115</v>
      </c>
      <c r="D2383" t="s">
        <v>116</v>
      </c>
      <c r="E2383" t="s">
        <v>22</v>
      </c>
      <c r="F2383" t="s">
        <v>23</v>
      </c>
      <c r="G2383" t="s">
        <v>24</v>
      </c>
      <c r="H2383">
        <v>11</v>
      </c>
      <c r="I2383">
        <v>30</v>
      </c>
      <c r="J2383">
        <v>99.55</v>
      </c>
      <c r="K2383">
        <v>62</v>
      </c>
      <c r="L2383">
        <v>2986.5</v>
      </c>
      <c r="M2383">
        <v>1126.5</v>
      </c>
      <c r="N2383" s="1">
        <v>38375</v>
      </c>
      <c r="O2383" t="s">
        <v>25</v>
      </c>
      <c r="P2383">
        <v>1</v>
      </c>
      <c r="Q2383">
        <v>1</v>
      </c>
      <c r="R2383">
        <v>2005</v>
      </c>
      <c r="S2383" t="s">
        <v>261</v>
      </c>
    </row>
    <row r="2384" spans="1:19" x14ac:dyDescent="0.25">
      <c r="A2384">
        <v>10120</v>
      </c>
      <c r="B2384" t="s">
        <v>310</v>
      </c>
      <c r="C2384" t="s">
        <v>47</v>
      </c>
      <c r="D2384" t="s">
        <v>48</v>
      </c>
      <c r="E2384" t="s">
        <v>49</v>
      </c>
      <c r="F2384" t="s">
        <v>50</v>
      </c>
      <c r="G2384" t="s">
        <v>24</v>
      </c>
      <c r="H2384">
        <v>11</v>
      </c>
      <c r="I2384">
        <v>29</v>
      </c>
      <c r="J2384">
        <v>72.23</v>
      </c>
      <c r="K2384">
        <v>68</v>
      </c>
      <c r="L2384">
        <v>2094.67</v>
      </c>
      <c r="M2384">
        <v>122.67</v>
      </c>
      <c r="N2384" s="1">
        <v>37740</v>
      </c>
      <c r="O2384" t="s">
        <v>25</v>
      </c>
      <c r="P2384">
        <v>2</v>
      </c>
      <c r="Q2384">
        <v>4</v>
      </c>
      <c r="R2384">
        <v>2003</v>
      </c>
      <c r="S2384" t="s">
        <v>226</v>
      </c>
    </row>
    <row r="2385" spans="1:19" x14ac:dyDescent="0.25">
      <c r="A2385">
        <v>10210</v>
      </c>
      <c r="B2385" t="s">
        <v>312</v>
      </c>
      <c r="C2385" t="s">
        <v>127</v>
      </c>
      <c r="D2385" t="s">
        <v>128</v>
      </c>
      <c r="E2385" t="s">
        <v>107</v>
      </c>
      <c r="F2385" t="s">
        <v>50</v>
      </c>
      <c r="G2385" t="s">
        <v>24</v>
      </c>
      <c r="H2385">
        <v>11</v>
      </c>
      <c r="I2385">
        <v>43</v>
      </c>
      <c r="J2385">
        <v>41.02</v>
      </c>
      <c r="K2385">
        <v>43</v>
      </c>
      <c r="L2385">
        <v>1763.86</v>
      </c>
      <c r="M2385">
        <v>-85.14</v>
      </c>
      <c r="N2385" s="1">
        <v>37998</v>
      </c>
      <c r="O2385" t="s">
        <v>25</v>
      </c>
      <c r="P2385">
        <v>1</v>
      </c>
      <c r="Q2385">
        <v>1</v>
      </c>
      <c r="R2385">
        <v>2004</v>
      </c>
      <c r="S2385" t="s">
        <v>226</v>
      </c>
    </row>
    <row r="2386" spans="1:19" x14ac:dyDescent="0.25">
      <c r="A2386">
        <v>10308</v>
      </c>
      <c r="B2386" t="s">
        <v>312</v>
      </c>
      <c r="C2386" t="s">
        <v>131</v>
      </c>
      <c r="D2386" t="s">
        <v>132</v>
      </c>
      <c r="E2386" t="s">
        <v>22</v>
      </c>
      <c r="F2386" t="s">
        <v>23</v>
      </c>
      <c r="G2386" t="s">
        <v>24</v>
      </c>
      <c r="H2386">
        <v>11</v>
      </c>
      <c r="I2386">
        <v>47</v>
      </c>
      <c r="J2386">
        <v>43.64</v>
      </c>
      <c r="K2386">
        <v>43</v>
      </c>
      <c r="L2386">
        <v>2051.08</v>
      </c>
      <c r="M2386">
        <v>30.08</v>
      </c>
      <c r="N2386" s="1">
        <v>38275</v>
      </c>
      <c r="O2386" t="s">
        <v>25</v>
      </c>
      <c r="P2386">
        <v>4</v>
      </c>
      <c r="Q2386">
        <v>10</v>
      </c>
      <c r="R2386">
        <v>2004</v>
      </c>
      <c r="S2386" t="s">
        <v>226</v>
      </c>
    </row>
    <row r="2387" spans="1:19" x14ac:dyDescent="0.25">
      <c r="A2387">
        <v>10117</v>
      </c>
      <c r="B2387" t="s">
        <v>314</v>
      </c>
      <c r="C2387" t="s">
        <v>88</v>
      </c>
      <c r="D2387" t="s">
        <v>89</v>
      </c>
      <c r="E2387" t="s">
        <v>89</v>
      </c>
      <c r="F2387" t="s">
        <v>50</v>
      </c>
      <c r="G2387" t="s">
        <v>24</v>
      </c>
      <c r="H2387">
        <v>11</v>
      </c>
      <c r="I2387">
        <v>21</v>
      </c>
      <c r="J2387">
        <v>49.21</v>
      </c>
      <c r="K2387">
        <v>58</v>
      </c>
      <c r="L2387">
        <v>1033.4100000000001</v>
      </c>
      <c r="M2387">
        <v>-184.59</v>
      </c>
      <c r="N2387" s="1">
        <v>37727</v>
      </c>
      <c r="O2387" t="s">
        <v>25</v>
      </c>
      <c r="P2387">
        <v>2</v>
      </c>
      <c r="Q2387">
        <v>4</v>
      </c>
      <c r="R2387">
        <v>2003</v>
      </c>
      <c r="S2387" t="s">
        <v>261</v>
      </c>
    </row>
    <row r="2388" spans="1:19" x14ac:dyDescent="0.25">
      <c r="A2388">
        <v>10276</v>
      </c>
      <c r="B2388" t="s">
        <v>315</v>
      </c>
      <c r="C2388" t="s">
        <v>186</v>
      </c>
      <c r="D2388" t="s">
        <v>120</v>
      </c>
      <c r="E2388" t="s">
        <v>22</v>
      </c>
      <c r="F2388" t="s">
        <v>23</v>
      </c>
      <c r="G2388" t="s">
        <v>24</v>
      </c>
      <c r="H2388">
        <v>11</v>
      </c>
      <c r="I2388">
        <v>21</v>
      </c>
      <c r="J2388">
        <v>70.78</v>
      </c>
      <c r="K2388">
        <v>81</v>
      </c>
      <c r="L2388">
        <v>1486.38</v>
      </c>
      <c r="M2388">
        <v>-214.62</v>
      </c>
      <c r="N2388" s="1">
        <v>38201</v>
      </c>
      <c r="O2388" t="s">
        <v>25</v>
      </c>
      <c r="P2388">
        <v>3</v>
      </c>
      <c r="Q2388">
        <v>8</v>
      </c>
      <c r="R2388">
        <v>2004</v>
      </c>
      <c r="S2388" t="s">
        <v>26</v>
      </c>
    </row>
    <row r="2389" spans="1:19" x14ac:dyDescent="0.25">
      <c r="A2389">
        <v>10350</v>
      </c>
      <c r="B2389" t="s">
        <v>316</v>
      </c>
      <c r="C2389" t="s">
        <v>78</v>
      </c>
      <c r="D2389" t="s">
        <v>79</v>
      </c>
      <c r="E2389" t="s">
        <v>80</v>
      </c>
      <c r="F2389" t="s">
        <v>30</v>
      </c>
      <c r="G2389" t="s">
        <v>33</v>
      </c>
      <c r="H2389">
        <v>11</v>
      </c>
      <c r="I2389">
        <v>46</v>
      </c>
      <c r="J2389">
        <v>76.67</v>
      </c>
      <c r="K2389">
        <v>66</v>
      </c>
      <c r="L2389">
        <v>3526.82</v>
      </c>
      <c r="M2389">
        <v>490.82</v>
      </c>
      <c r="N2389" s="1">
        <v>38323</v>
      </c>
      <c r="O2389" t="s">
        <v>25</v>
      </c>
      <c r="P2389">
        <v>4</v>
      </c>
      <c r="Q2389">
        <v>12</v>
      </c>
      <c r="R2389">
        <v>2004</v>
      </c>
      <c r="S2389" t="s">
        <v>255</v>
      </c>
    </row>
    <row r="2390" spans="1:19" x14ac:dyDescent="0.25">
      <c r="A2390">
        <v>10143</v>
      </c>
      <c r="B2390" t="s">
        <v>319</v>
      </c>
      <c r="C2390" t="s">
        <v>140</v>
      </c>
      <c r="D2390" t="s">
        <v>74</v>
      </c>
      <c r="E2390" t="s">
        <v>22</v>
      </c>
      <c r="F2390" t="s">
        <v>23</v>
      </c>
      <c r="G2390" t="s">
        <v>24</v>
      </c>
      <c r="H2390">
        <v>11</v>
      </c>
      <c r="I2390">
        <v>26</v>
      </c>
      <c r="J2390">
        <v>100</v>
      </c>
      <c r="K2390">
        <v>90</v>
      </c>
      <c r="L2390">
        <v>2612.48</v>
      </c>
      <c r="M2390">
        <v>272.48</v>
      </c>
      <c r="N2390" s="1">
        <v>37843</v>
      </c>
      <c r="O2390" t="s">
        <v>25</v>
      </c>
      <c r="P2390">
        <v>3</v>
      </c>
      <c r="Q2390">
        <v>8</v>
      </c>
      <c r="R2390">
        <v>2003</v>
      </c>
      <c r="S2390" t="s">
        <v>255</v>
      </c>
    </row>
    <row r="2391" spans="1:19" x14ac:dyDescent="0.25">
      <c r="A2391">
        <v>10296</v>
      </c>
      <c r="B2391" t="s">
        <v>319</v>
      </c>
      <c r="C2391" t="s">
        <v>236</v>
      </c>
      <c r="D2391" t="s">
        <v>237</v>
      </c>
      <c r="E2391" t="s">
        <v>180</v>
      </c>
      <c r="F2391" t="s">
        <v>30</v>
      </c>
      <c r="G2391" t="s">
        <v>33</v>
      </c>
      <c r="H2391">
        <v>11</v>
      </c>
      <c r="I2391">
        <v>34</v>
      </c>
      <c r="J2391">
        <v>100</v>
      </c>
      <c r="K2391">
        <v>90</v>
      </c>
      <c r="L2391">
        <v>3477.86</v>
      </c>
      <c r="M2391">
        <v>417.86</v>
      </c>
      <c r="N2391" s="1">
        <v>38245</v>
      </c>
      <c r="O2391" t="s">
        <v>25</v>
      </c>
      <c r="P2391">
        <v>3</v>
      </c>
      <c r="Q2391">
        <v>9</v>
      </c>
      <c r="R2391">
        <v>2004</v>
      </c>
      <c r="S2391" t="s">
        <v>255</v>
      </c>
    </row>
    <row r="2392" spans="1:19" x14ac:dyDescent="0.25">
      <c r="A2392">
        <v>10250</v>
      </c>
      <c r="B2392" t="s">
        <v>320</v>
      </c>
      <c r="C2392" t="s">
        <v>162</v>
      </c>
      <c r="D2392" t="s">
        <v>163</v>
      </c>
      <c r="E2392" t="s">
        <v>22</v>
      </c>
      <c r="F2392" t="s">
        <v>23</v>
      </c>
      <c r="G2392" t="s">
        <v>33</v>
      </c>
      <c r="H2392">
        <v>11</v>
      </c>
      <c r="I2392">
        <v>35</v>
      </c>
      <c r="J2392">
        <v>100</v>
      </c>
      <c r="K2392">
        <v>99</v>
      </c>
      <c r="L2392">
        <v>3909.15</v>
      </c>
      <c r="M2392">
        <v>444.15</v>
      </c>
      <c r="N2392" s="1">
        <v>38118</v>
      </c>
      <c r="O2392" t="s">
        <v>25</v>
      </c>
      <c r="P2392">
        <v>2</v>
      </c>
      <c r="Q2392">
        <v>5</v>
      </c>
      <c r="R2392">
        <v>2004</v>
      </c>
      <c r="S2392" t="s">
        <v>234</v>
      </c>
    </row>
    <row r="2393" spans="1:19" x14ac:dyDescent="0.25">
      <c r="A2393">
        <v>10416</v>
      </c>
      <c r="B2393" t="s">
        <v>320</v>
      </c>
      <c r="C2393" t="s">
        <v>184</v>
      </c>
      <c r="D2393" t="s">
        <v>185</v>
      </c>
      <c r="E2393" t="s">
        <v>110</v>
      </c>
      <c r="F2393" t="s">
        <v>30</v>
      </c>
      <c r="G2393" t="s">
        <v>24</v>
      </c>
      <c r="H2393">
        <v>11</v>
      </c>
      <c r="I2393">
        <v>22</v>
      </c>
      <c r="J2393">
        <v>100</v>
      </c>
      <c r="K2393">
        <v>99</v>
      </c>
      <c r="L2393">
        <v>2457.1799999999998</v>
      </c>
      <c r="M2393">
        <v>279.18</v>
      </c>
      <c r="N2393" s="1">
        <v>38482</v>
      </c>
      <c r="O2393" t="s">
        <v>25</v>
      </c>
      <c r="P2393">
        <v>2</v>
      </c>
      <c r="Q2393">
        <v>5</v>
      </c>
      <c r="R2393">
        <v>2005</v>
      </c>
      <c r="S2393" t="s">
        <v>234</v>
      </c>
    </row>
    <row r="2394" spans="1:19" x14ac:dyDescent="0.25">
      <c r="A2394">
        <v>10175</v>
      </c>
      <c r="B2394" t="s">
        <v>322</v>
      </c>
      <c r="C2394" t="s">
        <v>138</v>
      </c>
      <c r="D2394" t="s">
        <v>139</v>
      </c>
      <c r="E2394" t="s">
        <v>77</v>
      </c>
      <c r="F2394" t="s">
        <v>30</v>
      </c>
      <c r="G2394" t="s">
        <v>33</v>
      </c>
      <c r="H2394">
        <v>11</v>
      </c>
      <c r="I2394">
        <v>42</v>
      </c>
      <c r="J2394">
        <v>85.98</v>
      </c>
      <c r="K2394">
        <v>101</v>
      </c>
      <c r="L2394">
        <v>3611.16</v>
      </c>
      <c r="M2394">
        <v>-630.84</v>
      </c>
      <c r="N2394" s="1">
        <v>37931</v>
      </c>
      <c r="O2394" t="s">
        <v>25</v>
      </c>
      <c r="P2394">
        <v>4</v>
      </c>
      <c r="Q2394">
        <v>11</v>
      </c>
      <c r="R2394">
        <v>2003</v>
      </c>
      <c r="S2394" t="s">
        <v>83</v>
      </c>
    </row>
    <row r="2395" spans="1:19" x14ac:dyDescent="0.25">
      <c r="A2395">
        <v>10229</v>
      </c>
      <c r="B2395" t="s">
        <v>322</v>
      </c>
      <c r="C2395" t="s">
        <v>115</v>
      </c>
      <c r="D2395" t="s">
        <v>116</v>
      </c>
      <c r="E2395" t="s">
        <v>22</v>
      </c>
      <c r="F2395" t="s">
        <v>23</v>
      </c>
      <c r="G2395" t="s">
        <v>33</v>
      </c>
      <c r="H2395">
        <v>11</v>
      </c>
      <c r="I2395">
        <v>50</v>
      </c>
      <c r="J2395">
        <v>100</v>
      </c>
      <c r="K2395">
        <v>101</v>
      </c>
      <c r="L2395">
        <v>5614</v>
      </c>
      <c r="M2395">
        <v>564</v>
      </c>
      <c r="N2395" s="1">
        <v>38057</v>
      </c>
      <c r="O2395" t="s">
        <v>25</v>
      </c>
      <c r="P2395">
        <v>1</v>
      </c>
      <c r="Q2395">
        <v>3</v>
      </c>
      <c r="R2395">
        <v>2004</v>
      </c>
      <c r="S2395" t="s">
        <v>83</v>
      </c>
    </row>
    <row r="2396" spans="1:19" x14ac:dyDescent="0.25">
      <c r="A2396">
        <v>10281</v>
      </c>
      <c r="B2396" t="s">
        <v>322</v>
      </c>
      <c r="C2396" t="s">
        <v>65</v>
      </c>
      <c r="D2396" t="s">
        <v>66</v>
      </c>
      <c r="E2396" t="s">
        <v>22</v>
      </c>
      <c r="F2396" t="s">
        <v>23</v>
      </c>
      <c r="G2396" t="s">
        <v>24</v>
      </c>
      <c r="H2396">
        <v>11</v>
      </c>
      <c r="I2396">
        <v>27</v>
      </c>
      <c r="J2396">
        <v>85.98</v>
      </c>
      <c r="K2396">
        <v>101</v>
      </c>
      <c r="L2396">
        <v>2321.46</v>
      </c>
      <c r="M2396">
        <v>-405.54</v>
      </c>
      <c r="N2396" s="1">
        <v>38218</v>
      </c>
      <c r="O2396" t="s">
        <v>25</v>
      </c>
      <c r="P2396">
        <v>3</v>
      </c>
      <c r="Q2396">
        <v>8</v>
      </c>
      <c r="R2396">
        <v>2004</v>
      </c>
      <c r="S2396" t="s">
        <v>83</v>
      </c>
    </row>
    <row r="2397" spans="1:19" x14ac:dyDescent="0.25">
      <c r="A2397">
        <v>10328</v>
      </c>
      <c r="B2397" t="s">
        <v>323</v>
      </c>
      <c r="C2397" t="s">
        <v>227</v>
      </c>
      <c r="D2397" t="s">
        <v>228</v>
      </c>
      <c r="E2397" t="s">
        <v>110</v>
      </c>
      <c r="F2397" t="s">
        <v>30</v>
      </c>
      <c r="G2397" t="s">
        <v>33</v>
      </c>
      <c r="H2397">
        <v>11</v>
      </c>
      <c r="I2397">
        <v>33</v>
      </c>
      <c r="J2397">
        <v>100</v>
      </c>
      <c r="K2397">
        <v>118</v>
      </c>
      <c r="L2397">
        <v>4072.2</v>
      </c>
      <c r="M2397">
        <v>178.2</v>
      </c>
      <c r="N2397" s="1">
        <v>38303</v>
      </c>
      <c r="O2397" t="s">
        <v>25</v>
      </c>
      <c r="P2397">
        <v>4</v>
      </c>
      <c r="Q2397">
        <v>11</v>
      </c>
      <c r="R2397">
        <v>2004</v>
      </c>
      <c r="S2397" t="s">
        <v>234</v>
      </c>
    </row>
    <row r="2398" spans="1:19" x14ac:dyDescent="0.25">
      <c r="A2398">
        <v>10375</v>
      </c>
      <c r="B2398" t="s">
        <v>324</v>
      </c>
      <c r="C2398" t="s">
        <v>56</v>
      </c>
      <c r="D2398" t="s">
        <v>57</v>
      </c>
      <c r="E2398" t="s">
        <v>29</v>
      </c>
      <c r="F2398" t="s">
        <v>30</v>
      </c>
      <c r="G2398" t="s">
        <v>33</v>
      </c>
      <c r="H2398">
        <v>11</v>
      </c>
      <c r="I2398">
        <v>44</v>
      </c>
      <c r="J2398">
        <v>100</v>
      </c>
      <c r="K2398">
        <v>80</v>
      </c>
      <c r="L2398">
        <v>5208.72</v>
      </c>
      <c r="M2398">
        <v>1688.72</v>
      </c>
      <c r="N2398" s="1">
        <v>38386</v>
      </c>
      <c r="O2398" t="s">
        <v>25</v>
      </c>
      <c r="P2398">
        <v>1</v>
      </c>
      <c r="Q2398">
        <v>2</v>
      </c>
      <c r="R2398">
        <v>2005</v>
      </c>
      <c r="S2398" t="s">
        <v>234</v>
      </c>
    </row>
    <row r="2399" spans="1:19" x14ac:dyDescent="0.25">
      <c r="A2399">
        <v>10197</v>
      </c>
      <c r="B2399" t="s">
        <v>326</v>
      </c>
      <c r="C2399" t="s">
        <v>145</v>
      </c>
      <c r="D2399" t="s">
        <v>146</v>
      </c>
      <c r="E2399" t="s">
        <v>80</v>
      </c>
      <c r="F2399" t="s">
        <v>30</v>
      </c>
      <c r="G2399" t="s">
        <v>33</v>
      </c>
      <c r="H2399">
        <v>11</v>
      </c>
      <c r="I2399">
        <v>35</v>
      </c>
      <c r="J2399">
        <v>93.35</v>
      </c>
      <c r="K2399">
        <v>99</v>
      </c>
      <c r="L2399">
        <v>3267.25</v>
      </c>
      <c r="M2399">
        <v>-197.75</v>
      </c>
      <c r="N2399" s="1">
        <v>37951</v>
      </c>
      <c r="O2399" t="s">
        <v>25</v>
      </c>
      <c r="P2399">
        <v>4</v>
      </c>
      <c r="Q2399">
        <v>11</v>
      </c>
      <c r="R2399">
        <v>2003</v>
      </c>
      <c r="S2399" t="s">
        <v>255</v>
      </c>
    </row>
    <row r="2400" spans="1:19" x14ac:dyDescent="0.25">
      <c r="A2400">
        <v>10283</v>
      </c>
      <c r="B2400" t="s">
        <v>326</v>
      </c>
      <c r="C2400" t="s">
        <v>154</v>
      </c>
      <c r="D2400" t="s">
        <v>155</v>
      </c>
      <c r="E2400" t="s">
        <v>99</v>
      </c>
      <c r="F2400" t="s">
        <v>23</v>
      </c>
      <c r="G2400" t="s">
        <v>33</v>
      </c>
      <c r="H2400">
        <v>11</v>
      </c>
      <c r="I2400">
        <v>38</v>
      </c>
      <c r="J2400">
        <v>89.38</v>
      </c>
      <c r="K2400">
        <v>99</v>
      </c>
      <c r="L2400">
        <v>3396.44</v>
      </c>
      <c r="M2400">
        <v>-365.56</v>
      </c>
      <c r="N2400" s="1">
        <v>38219</v>
      </c>
      <c r="O2400" t="s">
        <v>25</v>
      </c>
      <c r="P2400">
        <v>3</v>
      </c>
      <c r="Q2400">
        <v>8</v>
      </c>
      <c r="R2400">
        <v>2004</v>
      </c>
      <c r="S2400" t="s">
        <v>255</v>
      </c>
    </row>
    <row r="2401" spans="1:19" x14ac:dyDescent="0.25">
      <c r="A2401">
        <v>10235</v>
      </c>
      <c r="B2401" t="s">
        <v>327</v>
      </c>
      <c r="C2401" t="s">
        <v>154</v>
      </c>
      <c r="D2401" t="s">
        <v>155</v>
      </c>
      <c r="E2401" t="s">
        <v>99</v>
      </c>
      <c r="F2401" t="s">
        <v>23</v>
      </c>
      <c r="G2401" t="s">
        <v>24</v>
      </c>
      <c r="H2401">
        <v>11</v>
      </c>
      <c r="I2401">
        <v>34</v>
      </c>
      <c r="J2401">
        <v>72.55</v>
      </c>
      <c r="K2401">
        <v>74</v>
      </c>
      <c r="L2401">
        <v>2466.6999999999998</v>
      </c>
      <c r="M2401">
        <v>-49.3</v>
      </c>
      <c r="N2401" s="1">
        <v>38079</v>
      </c>
      <c r="O2401" t="s">
        <v>25</v>
      </c>
      <c r="P2401">
        <v>2</v>
      </c>
      <c r="Q2401">
        <v>4</v>
      </c>
      <c r="R2401">
        <v>2004</v>
      </c>
      <c r="S2401" t="s">
        <v>234</v>
      </c>
    </row>
    <row r="2402" spans="1:19" x14ac:dyDescent="0.25">
      <c r="A2402">
        <v>10361</v>
      </c>
      <c r="B2402" t="s">
        <v>327</v>
      </c>
      <c r="C2402" t="s">
        <v>71</v>
      </c>
      <c r="D2402" t="s">
        <v>72</v>
      </c>
      <c r="E2402" t="s">
        <v>49</v>
      </c>
      <c r="F2402" t="s">
        <v>50</v>
      </c>
      <c r="G2402" t="s">
        <v>33</v>
      </c>
      <c r="H2402">
        <v>11</v>
      </c>
      <c r="I2402">
        <v>35</v>
      </c>
      <c r="J2402">
        <v>100</v>
      </c>
      <c r="K2402">
        <v>74</v>
      </c>
      <c r="L2402">
        <v>4277.3500000000004</v>
      </c>
      <c r="M2402">
        <v>1687.35</v>
      </c>
      <c r="N2402" s="1">
        <v>38338</v>
      </c>
      <c r="O2402" t="s">
        <v>25</v>
      </c>
      <c r="P2402">
        <v>4</v>
      </c>
      <c r="Q2402">
        <v>12</v>
      </c>
      <c r="R2402">
        <v>2004</v>
      </c>
      <c r="S2402" t="s">
        <v>234</v>
      </c>
    </row>
    <row r="2403" spans="1:19" x14ac:dyDescent="0.25">
      <c r="A2403">
        <v>10401</v>
      </c>
      <c r="B2403" t="s">
        <v>327</v>
      </c>
      <c r="C2403" t="s">
        <v>52</v>
      </c>
      <c r="D2403" t="s">
        <v>53</v>
      </c>
      <c r="E2403" t="s">
        <v>22</v>
      </c>
      <c r="F2403" t="s">
        <v>23</v>
      </c>
      <c r="G2403" t="s">
        <v>24</v>
      </c>
      <c r="H2403">
        <v>11</v>
      </c>
      <c r="I2403">
        <v>28</v>
      </c>
      <c r="J2403">
        <v>72.55</v>
      </c>
      <c r="K2403">
        <v>74</v>
      </c>
      <c r="L2403">
        <v>2031.4</v>
      </c>
      <c r="M2403">
        <v>-40.6</v>
      </c>
      <c r="N2403" s="1">
        <v>38445</v>
      </c>
      <c r="O2403" t="s">
        <v>164</v>
      </c>
      <c r="P2403">
        <v>2</v>
      </c>
      <c r="Q2403">
        <v>4</v>
      </c>
      <c r="R2403">
        <v>2005</v>
      </c>
      <c r="S2403" t="s">
        <v>234</v>
      </c>
    </row>
    <row r="2404" spans="1:19" x14ac:dyDescent="0.25">
      <c r="A2404">
        <v>10375</v>
      </c>
      <c r="B2404" t="s">
        <v>19</v>
      </c>
      <c r="C2404" t="s">
        <v>56</v>
      </c>
      <c r="D2404" t="s">
        <v>57</v>
      </c>
      <c r="E2404" t="s">
        <v>29</v>
      </c>
      <c r="F2404" t="s">
        <v>30</v>
      </c>
      <c r="G2404" t="s">
        <v>24</v>
      </c>
      <c r="H2404">
        <v>12</v>
      </c>
      <c r="I2404">
        <v>21</v>
      </c>
      <c r="J2404">
        <v>34.909999999999997</v>
      </c>
      <c r="K2404">
        <v>95</v>
      </c>
      <c r="L2404">
        <v>733.11</v>
      </c>
      <c r="M2404">
        <v>-1261.8900000000001</v>
      </c>
      <c r="N2404" s="1">
        <v>38386</v>
      </c>
      <c r="O2404" t="s">
        <v>25</v>
      </c>
      <c r="P2404">
        <v>1</v>
      </c>
      <c r="Q2404">
        <v>2</v>
      </c>
      <c r="R2404">
        <v>2005</v>
      </c>
      <c r="S2404" t="s">
        <v>26</v>
      </c>
    </row>
    <row r="2405" spans="1:19" x14ac:dyDescent="0.25">
      <c r="A2405">
        <v>10180</v>
      </c>
      <c r="B2405" t="s">
        <v>126</v>
      </c>
      <c r="C2405" t="s">
        <v>40</v>
      </c>
      <c r="D2405" t="s">
        <v>41</v>
      </c>
      <c r="E2405" t="s">
        <v>29</v>
      </c>
      <c r="F2405" t="s">
        <v>30</v>
      </c>
      <c r="G2405" t="s">
        <v>33</v>
      </c>
      <c r="H2405">
        <v>12</v>
      </c>
      <c r="I2405">
        <v>42</v>
      </c>
      <c r="J2405">
        <v>100</v>
      </c>
      <c r="K2405">
        <v>118</v>
      </c>
      <c r="L2405">
        <v>4695.6000000000004</v>
      </c>
      <c r="M2405">
        <v>-260.39999999999998</v>
      </c>
      <c r="N2405" s="1">
        <v>37936</v>
      </c>
      <c r="O2405" t="s">
        <v>25</v>
      </c>
      <c r="P2405">
        <v>4</v>
      </c>
      <c r="Q2405">
        <v>11</v>
      </c>
      <c r="R2405">
        <v>2003</v>
      </c>
      <c r="S2405" t="s">
        <v>26</v>
      </c>
    </row>
    <row r="2406" spans="1:19" x14ac:dyDescent="0.25">
      <c r="A2406">
        <v>10178</v>
      </c>
      <c r="B2406" t="s">
        <v>134</v>
      </c>
      <c r="C2406" t="s">
        <v>142</v>
      </c>
      <c r="D2406" t="s">
        <v>143</v>
      </c>
      <c r="E2406" t="s">
        <v>29</v>
      </c>
      <c r="F2406" t="s">
        <v>30</v>
      </c>
      <c r="G2406" t="s">
        <v>33</v>
      </c>
      <c r="H2406">
        <v>12</v>
      </c>
      <c r="I2406">
        <v>24</v>
      </c>
      <c r="J2406">
        <v>100</v>
      </c>
      <c r="K2406">
        <v>136</v>
      </c>
      <c r="L2406">
        <v>3492.48</v>
      </c>
      <c r="M2406">
        <v>228.48</v>
      </c>
      <c r="N2406" s="1">
        <v>37933</v>
      </c>
      <c r="O2406" t="s">
        <v>25</v>
      </c>
      <c r="P2406">
        <v>4</v>
      </c>
      <c r="Q2406">
        <v>11</v>
      </c>
      <c r="R2406">
        <v>2003</v>
      </c>
      <c r="S2406" t="s">
        <v>83</v>
      </c>
    </row>
    <row r="2407" spans="1:19" x14ac:dyDescent="0.25">
      <c r="A2407">
        <v>10222</v>
      </c>
      <c r="B2407" t="s">
        <v>134</v>
      </c>
      <c r="C2407" t="s">
        <v>149</v>
      </c>
      <c r="D2407" t="s">
        <v>150</v>
      </c>
      <c r="E2407" t="s">
        <v>22</v>
      </c>
      <c r="F2407" t="s">
        <v>23</v>
      </c>
      <c r="G2407" t="s">
        <v>33</v>
      </c>
      <c r="H2407">
        <v>12</v>
      </c>
      <c r="I2407">
        <v>49</v>
      </c>
      <c r="J2407">
        <v>100</v>
      </c>
      <c r="K2407">
        <v>136</v>
      </c>
      <c r="L2407">
        <v>5997.6</v>
      </c>
      <c r="M2407">
        <v>-666.4</v>
      </c>
      <c r="N2407" s="1">
        <v>38036</v>
      </c>
      <c r="O2407" t="s">
        <v>25</v>
      </c>
      <c r="P2407">
        <v>1</v>
      </c>
      <c r="Q2407">
        <v>2</v>
      </c>
      <c r="R2407">
        <v>2004</v>
      </c>
      <c r="S2407" t="s">
        <v>83</v>
      </c>
    </row>
    <row r="2408" spans="1:19" x14ac:dyDescent="0.25">
      <c r="A2408">
        <v>10259</v>
      </c>
      <c r="B2408" t="s">
        <v>165</v>
      </c>
      <c r="C2408" t="s">
        <v>171</v>
      </c>
      <c r="D2408" t="s">
        <v>89</v>
      </c>
      <c r="E2408" t="s">
        <v>89</v>
      </c>
      <c r="F2408" t="s">
        <v>50</v>
      </c>
      <c r="G2408" t="s">
        <v>33</v>
      </c>
      <c r="H2408">
        <v>12</v>
      </c>
      <c r="I2408">
        <v>26</v>
      </c>
      <c r="J2408">
        <v>100</v>
      </c>
      <c r="K2408">
        <v>147</v>
      </c>
      <c r="L2408">
        <v>4033.38</v>
      </c>
      <c r="M2408">
        <v>211.38</v>
      </c>
      <c r="N2408" s="1">
        <v>38153</v>
      </c>
      <c r="O2408" t="s">
        <v>25</v>
      </c>
      <c r="P2408">
        <v>2</v>
      </c>
      <c r="Q2408">
        <v>6</v>
      </c>
      <c r="R2408">
        <v>2004</v>
      </c>
      <c r="S2408" t="s">
        <v>83</v>
      </c>
    </row>
    <row r="2409" spans="1:19" x14ac:dyDescent="0.25">
      <c r="A2409">
        <v>10425</v>
      </c>
      <c r="B2409" t="s">
        <v>165</v>
      </c>
      <c r="C2409" t="s">
        <v>56</v>
      </c>
      <c r="D2409" t="s">
        <v>57</v>
      </c>
      <c r="E2409" t="s">
        <v>29</v>
      </c>
      <c r="F2409" t="s">
        <v>30</v>
      </c>
      <c r="G2409" t="s">
        <v>33</v>
      </c>
      <c r="H2409">
        <v>12</v>
      </c>
      <c r="I2409">
        <v>38</v>
      </c>
      <c r="J2409">
        <v>100</v>
      </c>
      <c r="K2409">
        <v>147</v>
      </c>
      <c r="L2409">
        <v>5894.94</v>
      </c>
      <c r="M2409">
        <v>308.94</v>
      </c>
      <c r="N2409" s="1">
        <v>38503</v>
      </c>
      <c r="O2409" t="s">
        <v>125</v>
      </c>
      <c r="P2409">
        <v>2</v>
      </c>
      <c r="Q2409">
        <v>5</v>
      </c>
      <c r="R2409">
        <v>2005</v>
      </c>
      <c r="S2409" t="s">
        <v>83</v>
      </c>
    </row>
    <row r="2410" spans="1:19" x14ac:dyDescent="0.25">
      <c r="A2410">
        <v>10287</v>
      </c>
      <c r="B2410" t="s">
        <v>172</v>
      </c>
      <c r="C2410" t="s">
        <v>181</v>
      </c>
      <c r="D2410" t="s">
        <v>182</v>
      </c>
      <c r="E2410" t="s">
        <v>183</v>
      </c>
      <c r="F2410" t="s">
        <v>30</v>
      </c>
      <c r="G2410" t="s">
        <v>33</v>
      </c>
      <c r="H2410">
        <v>12</v>
      </c>
      <c r="I2410">
        <v>21</v>
      </c>
      <c r="J2410">
        <v>100</v>
      </c>
      <c r="K2410">
        <v>194</v>
      </c>
      <c r="L2410">
        <v>3432.24</v>
      </c>
      <c r="M2410">
        <v>-641.76</v>
      </c>
      <c r="N2410" s="1">
        <v>38229</v>
      </c>
      <c r="O2410" t="s">
        <v>25</v>
      </c>
      <c r="P2410">
        <v>3</v>
      </c>
      <c r="Q2410">
        <v>8</v>
      </c>
      <c r="R2410">
        <v>2004</v>
      </c>
      <c r="S2410" t="s">
        <v>83</v>
      </c>
    </row>
    <row r="2411" spans="1:19" x14ac:dyDescent="0.25">
      <c r="A2411">
        <v>10142</v>
      </c>
      <c r="B2411" t="s">
        <v>191</v>
      </c>
      <c r="C2411" t="s">
        <v>115</v>
      </c>
      <c r="D2411" t="s">
        <v>116</v>
      </c>
      <c r="E2411" t="s">
        <v>22</v>
      </c>
      <c r="F2411" t="s">
        <v>23</v>
      </c>
      <c r="G2411" t="s">
        <v>70</v>
      </c>
      <c r="H2411">
        <v>12</v>
      </c>
      <c r="I2411">
        <v>33</v>
      </c>
      <c r="J2411">
        <v>100</v>
      </c>
      <c r="K2411">
        <v>207</v>
      </c>
      <c r="L2411">
        <v>8023.29</v>
      </c>
      <c r="M2411">
        <v>1192.29</v>
      </c>
      <c r="N2411" s="1">
        <v>37841</v>
      </c>
      <c r="O2411" t="s">
        <v>25</v>
      </c>
      <c r="P2411">
        <v>3</v>
      </c>
      <c r="Q2411">
        <v>8</v>
      </c>
      <c r="R2411">
        <v>2003</v>
      </c>
      <c r="S2411" t="s">
        <v>83</v>
      </c>
    </row>
    <row r="2412" spans="1:19" x14ac:dyDescent="0.25">
      <c r="A2412">
        <v>10153</v>
      </c>
      <c r="B2412" t="s">
        <v>205</v>
      </c>
      <c r="C2412" t="s">
        <v>78</v>
      </c>
      <c r="D2412" t="s">
        <v>79</v>
      </c>
      <c r="E2412" t="s">
        <v>80</v>
      </c>
      <c r="F2412" t="s">
        <v>30</v>
      </c>
      <c r="G2412" t="s">
        <v>33</v>
      </c>
      <c r="H2412">
        <v>12</v>
      </c>
      <c r="I2412">
        <v>42</v>
      </c>
      <c r="J2412">
        <v>100</v>
      </c>
      <c r="K2412">
        <v>151</v>
      </c>
      <c r="L2412">
        <v>5393.64</v>
      </c>
      <c r="M2412">
        <v>-948.36</v>
      </c>
      <c r="N2412" s="1">
        <v>37892</v>
      </c>
      <c r="O2412" t="s">
        <v>25</v>
      </c>
      <c r="P2412">
        <v>3</v>
      </c>
      <c r="Q2412">
        <v>9</v>
      </c>
      <c r="R2412">
        <v>2003</v>
      </c>
      <c r="S2412" t="s">
        <v>83</v>
      </c>
    </row>
    <row r="2413" spans="1:19" x14ac:dyDescent="0.25">
      <c r="A2413">
        <v>10181</v>
      </c>
      <c r="B2413" t="s">
        <v>206</v>
      </c>
      <c r="C2413" t="s">
        <v>42</v>
      </c>
      <c r="D2413" t="s">
        <v>43</v>
      </c>
      <c r="E2413" t="s">
        <v>44</v>
      </c>
      <c r="F2413" t="s">
        <v>30</v>
      </c>
      <c r="G2413" t="s">
        <v>24</v>
      </c>
      <c r="H2413">
        <v>12</v>
      </c>
      <c r="I2413">
        <v>28</v>
      </c>
      <c r="J2413">
        <v>100</v>
      </c>
      <c r="K2413">
        <v>117</v>
      </c>
      <c r="L2413">
        <v>2860.76</v>
      </c>
      <c r="M2413">
        <v>-415.24</v>
      </c>
      <c r="N2413" s="1">
        <v>37937</v>
      </c>
      <c r="O2413" t="s">
        <v>25</v>
      </c>
      <c r="P2413">
        <v>4</v>
      </c>
      <c r="Q2413">
        <v>11</v>
      </c>
      <c r="R2413">
        <v>2003</v>
      </c>
      <c r="S2413" t="s">
        <v>83</v>
      </c>
    </row>
    <row r="2414" spans="1:19" x14ac:dyDescent="0.25">
      <c r="A2414">
        <v>10266</v>
      </c>
      <c r="B2414" t="s">
        <v>206</v>
      </c>
      <c r="C2414" t="s">
        <v>184</v>
      </c>
      <c r="D2414" t="s">
        <v>185</v>
      </c>
      <c r="E2414" t="s">
        <v>110</v>
      </c>
      <c r="F2414" t="s">
        <v>30</v>
      </c>
      <c r="G2414" t="s">
        <v>24</v>
      </c>
      <c r="H2414">
        <v>12</v>
      </c>
      <c r="I2414">
        <v>22</v>
      </c>
      <c r="J2414">
        <v>100</v>
      </c>
      <c r="K2414">
        <v>117</v>
      </c>
      <c r="L2414">
        <v>2454.54</v>
      </c>
      <c r="M2414">
        <v>-119.46</v>
      </c>
      <c r="N2414" s="1">
        <v>38174</v>
      </c>
      <c r="O2414" t="s">
        <v>25</v>
      </c>
      <c r="P2414">
        <v>3</v>
      </c>
      <c r="Q2414">
        <v>7</v>
      </c>
      <c r="R2414">
        <v>2004</v>
      </c>
      <c r="S2414" t="s">
        <v>83</v>
      </c>
    </row>
    <row r="2415" spans="1:19" x14ac:dyDescent="0.25">
      <c r="A2415">
        <v>10185</v>
      </c>
      <c r="B2415" t="s">
        <v>209</v>
      </c>
      <c r="C2415" t="s">
        <v>140</v>
      </c>
      <c r="D2415" t="s">
        <v>74</v>
      </c>
      <c r="E2415" t="s">
        <v>22</v>
      </c>
      <c r="F2415" t="s">
        <v>23</v>
      </c>
      <c r="G2415" t="s">
        <v>70</v>
      </c>
      <c r="H2415">
        <v>12</v>
      </c>
      <c r="I2415">
        <v>43</v>
      </c>
      <c r="J2415">
        <v>100</v>
      </c>
      <c r="K2415">
        <v>173</v>
      </c>
      <c r="L2415">
        <v>7886.2</v>
      </c>
      <c r="M2415">
        <v>447.2</v>
      </c>
      <c r="N2415" s="1">
        <v>37939</v>
      </c>
      <c r="O2415" t="s">
        <v>25</v>
      </c>
      <c r="P2415">
        <v>4</v>
      </c>
      <c r="Q2415">
        <v>11</v>
      </c>
      <c r="R2415">
        <v>2003</v>
      </c>
      <c r="S2415" t="s">
        <v>83</v>
      </c>
    </row>
    <row r="2416" spans="1:19" x14ac:dyDescent="0.25">
      <c r="A2416">
        <v>10208</v>
      </c>
      <c r="B2416" t="s">
        <v>209</v>
      </c>
      <c r="C2416" t="s">
        <v>95</v>
      </c>
      <c r="D2416" t="s">
        <v>96</v>
      </c>
      <c r="E2416" t="s">
        <v>29</v>
      </c>
      <c r="F2416" t="s">
        <v>30</v>
      </c>
      <c r="G2416" t="s">
        <v>33</v>
      </c>
      <c r="H2416">
        <v>12</v>
      </c>
      <c r="I2416">
        <v>20</v>
      </c>
      <c r="J2416">
        <v>100</v>
      </c>
      <c r="K2416">
        <v>173</v>
      </c>
      <c r="L2416">
        <v>3114.4</v>
      </c>
      <c r="M2416">
        <v>-345.6</v>
      </c>
      <c r="N2416" s="1">
        <v>37988</v>
      </c>
      <c r="O2416" t="s">
        <v>25</v>
      </c>
      <c r="P2416">
        <v>1</v>
      </c>
      <c r="Q2416">
        <v>1</v>
      </c>
      <c r="R2416">
        <v>2004</v>
      </c>
      <c r="S2416" t="s">
        <v>83</v>
      </c>
    </row>
    <row r="2417" spans="1:19" x14ac:dyDescent="0.25">
      <c r="A2417">
        <v>10306</v>
      </c>
      <c r="B2417" t="s">
        <v>209</v>
      </c>
      <c r="C2417" t="s">
        <v>197</v>
      </c>
      <c r="D2417" t="s">
        <v>198</v>
      </c>
      <c r="E2417" t="s">
        <v>77</v>
      </c>
      <c r="F2417" t="s">
        <v>30</v>
      </c>
      <c r="G2417" t="s">
        <v>33</v>
      </c>
      <c r="H2417">
        <v>12</v>
      </c>
      <c r="I2417">
        <v>20</v>
      </c>
      <c r="J2417">
        <v>100</v>
      </c>
      <c r="K2417">
        <v>173</v>
      </c>
      <c r="L2417">
        <v>3633.4</v>
      </c>
      <c r="M2417">
        <v>173.4</v>
      </c>
      <c r="N2417" s="1">
        <v>38274</v>
      </c>
      <c r="O2417" t="s">
        <v>25</v>
      </c>
      <c r="P2417">
        <v>4</v>
      </c>
      <c r="Q2417">
        <v>10</v>
      </c>
      <c r="R2417">
        <v>2004</v>
      </c>
      <c r="S2417" t="s">
        <v>83</v>
      </c>
    </row>
    <row r="2418" spans="1:19" x14ac:dyDescent="0.25">
      <c r="A2418">
        <v>10382</v>
      </c>
      <c r="B2418" t="s">
        <v>209</v>
      </c>
      <c r="C2418" t="s">
        <v>115</v>
      </c>
      <c r="D2418" t="s">
        <v>116</v>
      </c>
      <c r="E2418" t="s">
        <v>22</v>
      </c>
      <c r="F2418" t="s">
        <v>23</v>
      </c>
      <c r="G2418" t="s">
        <v>33</v>
      </c>
      <c r="H2418">
        <v>12</v>
      </c>
      <c r="I2418">
        <v>34</v>
      </c>
      <c r="J2418">
        <v>95.35</v>
      </c>
      <c r="K2418">
        <v>173</v>
      </c>
      <c r="L2418">
        <v>3241.9</v>
      </c>
      <c r="M2418">
        <v>-2640.1</v>
      </c>
      <c r="N2418" s="1">
        <v>38400</v>
      </c>
      <c r="O2418" t="s">
        <v>25</v>
      </c>
      <c r="P2418">
        <v>1</v>
      </c>
      <c r="Q2418">
        <v>2</v>
      </c>
      <c r="R2418">
        <v>2005</v>
      </c>
      <c r="S2418" t="s">
        <v>83</v>
      </c>
    </row>
    <row r="2419" spans="1:19" x14ac:dyDescent="0.25">
      <c r="A2419">
        <v>10165</v>
      </c>
      <c r="B2419" t="s">
        <v>211</v>
      </c>
      <c r="C2419" t="s">
        <v>88</v>
      </c>
      <c r="D2419" t="s">
        <v>89</v>
      </c>
      <c r="E2419" t="s">
        <v>89</v>
      </c>
      <c r="F2419" t="s">
        <v>50</v>
      </c>
      <c r="G2419" t="s">
        <v>33</v>
      </c>
      <c r="H2419">
        <v>12</v>
      </c>
      <c r="I2419">
        <v>48</v>
      </c>
      <c r="J2419">
        <v>100</v>
      </c>
      <c r="K2419">
        <v>118</v>
      </c>
      <c r="L2419">
        <v>6825.6</v>
      </c>
      <c r="M2419">
        <v>1161.5999999999999</v>
      </c>
      <c r="N2419" s="1">
        <v>37916</v>
      </c>
      <c r="O2419" t="s">
        <v>25</v>
      </c>
      <c r="P2419">
        <v>4</v>
      </c>
      <c r="Q2419">
        <v>10</v>
      </c>
      <c r="R2419">
        <v>2003</v>
      </c>
      <c r="S2419" t="s">
        <v>202</v>
      </c>
    </row>
    <row r="2420" spans="1:19" x14ac:dyDescent="0.25">
      <c r="A2420">
        <v>10161</v>
      </c>
      <c r="B2420" t="s">
        <v>220</v>
      </c>
      <c r="C2420" t="s">
        <v>199</v>
      </c>
      <c r="D2420" t="s">
        <v>200</v>
      </c>
      <c r="E2420" t="s">
        <v>137</v>
      </c>
      <c r="F2420" t="s">
        <v>30</v>
      </c>
      <c r="G2420" t="s">
        <v>33</v>
      </c>
      <c r="H2420">
        <v>12</v>
      </c>
      <c r="I2420">
        <v>28</v>
      </c>
      <c r="J2420">
        <v>100</v>
      </c>
      <c r="K2420">
        <v>141</v>
      </c>
      <c r="L2420">
        <v>3764.88</v>
      </c>
      <c r="M2420">
        <v>-183.12</v>
      </c>
      <c r="N2420" s="1">
        <v>37911</v>
      </c>
      <c r="O2420" t="s">
        <v>25</v>
      </c>
      <c r="P2420">
        <v>4</v>
      </c>
      <c r="Q2420">
        <v>10</v>
      </c>
      <c r="R2420">
        <v>2003</v>
      </c>
      <c r="S2420" t="s">
        <v>83</v>
      </c>
    </row>
    <row r="2421" spans="1:19" x14ac:dyDescent="0.25">
      <c r="A2421">
        <v>10304</v>
      </c>
      <c r="B2421" t="s">
        <v>231</v>
      </c>
      <c r="C2421" t="s">
        <v>113</v>
      </c>
      <c r="D2421" t="s">
        <v>114</v>
      </c>
      <c r="E2421" t="s">
        <v>29</v>
      </c>
      <c r="F2421" t="s">
        <v>30</v>
      </c>
      <c r="G2421" t="s">
        <v>24</v>
      </c>
      <c r="H2421">
        <v>12</v>
      </c>
      <c r="I2421">
        <v>37</v>
      </c>
      <c r="J2421">
        <v>48.52</v>
      </c>
      <c r="K2421">
        <v>53</v>
      </c>
      <c r="L2421">
        <v>1795.24</v>
      </c>
      <c r="M2421">
        <v>-165.76</v>
      </c>
      <c r="N2421" s="1">
        <v>38271</v>
      </c>
      <c r="O2421" t="s">
        <v>25</v>
      </c>
      <c r="P2421">
        <v>4</v>
      </c>
      <c r="Q2421">
        <v>10</v>
      </c>
      <c r="R2421">
        <v>2004</v>
      </c>
      <c r="S2421" t="s">
        <v>226</v>
      </c>
    </row>
    <row r="2422" spans="1:19" x14ac:dyDescent="0.25">
      <c r="A2422">
        <v>10106</v>
      </c>
      <c r="B2422" t="s">
        <v>233</v>
      </c>
      <c r="C2422" t="s">
        <v>227</v>
      </c>
      <c r="D2422" t="s">
        <v>228</v>
      </c>
      <c r="E2422" t="s">
        <v>110</v>
      </c>
      <c r="F2422" t="s">
        <v>30</v>
      </c>
      <c r="G2422" t="s">
        <v>33</v>
      </c>
      <c r="H2422">
        <v>12</v>
      </c>
      <c r="I2422">
        <v>36</v>
      </c>
      <c r="J2422">
        <v>100</v>
      </c>
      <c r="K2422">
        <v>157</v>
      </c>
      <c r="L2422">
        <v>5279.4</v>
      </c>
      <c r="M2422">
        <v>-372.6</v>
      </c>
      <c r="N2422" s="1">
        <v>37669</v>
      </c>
      <c r="O2422" t="s">
        <v>25</v>
      </c>
      <c r="P2422">
        <v>1</v>
      </c>
      <c r="Q2422">
        <v>2</v>
      </c>
      <c r="R2422">
        <v>2003</v>
      </c>
      <c r="S2422" t="s">
        <v>234</v>
      </c>
    </row>
    <row r="2423" spans="1:19" x14ac:dyDescent="0.25">
      <c r="A2423">
        <v>10148</v>
      </c>
      <c r="B2423" t="s">
        <v>242</v>
      </c>
      <c r="C2423" t="s">
        <v>121</v>
      </c>
      <c r="D2423" t="s">
        <v>122</v>
      </c>
      <c r="E2423" t="s">
        <v>49</v>
      </c>
      <c r="F2423" t="s">
        <v>50</v>
      </c>
      <c r="G2423" t="s">
        <v>33</v>
      </c>
      <c r="H2423">
        <v>12</v>
      </c>
      <c r="I2423">
        <v>25</v>
      </c>
      <c r="J2423">
        <v>100</v>
      </c>
      <c r="K2423">
        <v>142</v>
      </c>
      <c r="L2423">
        <v>4232</v>
      </c>
      <c r="M2423">
        <v>682</v>
      </c>
      <c r="N2423" s="1">
        <v>37875</v>
      </c>
      <c r="O2423" t="s">
        <v>25</v>
      </c>
      <c r="P2423">
        <v>3</v>
      </c>
      <c r="Q2423">
        <v>9</v>
      </c>
      <c r="R2423">
        <v>2003</v>
      </c>
      <c r="S2423" t="s">
        <v>83</v>
      </c>
    </row>
    <row r="2424" spans="1:19" x14ac:dyDescent="0.25">
      <c r="A2424">
        <v>10173</v>
      </c>
      <c r="B2424" t="s">
        <v>244</v>
      </c>
      <c r="C2424" t="s">
        <v>227</v>
      </c>
      <c r="D2424" t="s">
        <v>228</v>
      </c>
      <c r="E2424" t="s">
        <v>110</v>
      </c>
      <c r="F2424" t="s">
        <v>30</v>
      </c>
      <c r="G2424" t="s">
        <v>24</v>
      </c>
      <c r="H2424">
        <v>12</v>
      </c>
      <c r="I2424">
        <v>26</v>
      </c>
      <c r="J2424">
        <v>57.51</v>
      </c>
      <c r="K2424">
        <v>60</v>
      </c>
      <c r="L2424">
        <v>1495.26</v>
      </c>
      <c r="M2424">
        <v>-64.739999999999995</v>
      </c>
      <c r="N2424" s="1">
        <v>37930</v>
      </c>
      <c r="O2424" t="s">
        <v>25</v>
      </c>
      <c r="P2424">
        <v>4</v>
      </c>
      <c r="Q2424">
        <v>11</v>
      </c>
      <c r="R2424">
        <v>2003</v>
      </c>
      <c r="S2424" t="s">
        <v>226</v>
      </c>
    </row>
    <row r="2425" spans="1:19" x14ac:dyDescent="0.25">
      <c r="A2425">
        <v>10104</v>
      </c>
      <c r="B2425" t="s">
        <v>245</v>
      </c>
      <c r="C2425" t="s">
        <v>78</v>
      </c>
      <c r="D2425" t="s">
        <v>79</v>
      </c>
      <c r="E2425" t="s">
        <v>80</v>
      </c>
      <c r="F2425" t="s">
        <v>30</v>
      </c>
      <c r="G2425" t="s">
        <v>33</v>
      </c>
      <c r="H2425">
        <v>12</v>
      </c>
      <c r="I2425">
        <v>29</v>
      </c>
      <c r="J2425">
        <v>100</v>
      </c>
      <c r="K2425">
        <v>122</v>
      </c>
      <c r="L2425">
        <v>3772.61</v>
      </c>
      <c r="M2425">
        <v>234.61</v>
      </c>
      <c r="N2425" s="1">
        <v>37652</v>
      </c>
      <c r="O2425" t="s">
        <v>25</v>
      </c>
      <c r="P2425">
        <v>1</v>
      </c>
      <c r="Q2425">
        <v>1</v>
      </c>
      <c r="R2425">
        <v>2003</v>
      </c>
      <c r="S2425" t="s">
        <v>202</v>
      </c>
    </row>
    <row r="2426" spans="1:19" x14ac:dyDescent="0.25">
      <c r="A2426">
        <v>10184</v>
      </c>
      <c r="B2426" t="s">
        <v>247</v>
      </c>
      <c r="C2426" t="s">
        <v>212</v>
      </c>
      <c r="D2426" t="s">
        <v>213</v>
      </c>
      <c r="E2426" t="s">
        <v>80</v>
      </c>
      <c r="F2426" t="s">
        <v>30</v>
      </c>
      <c r="G2426" t="s">
        <v>24</v>
      </c>
      <c r="H2426">
        <v>12</v>
      </c>
      <c r="I2426">
        <v>44</v>
      </c>
      <c r="J2426">
        <v>60.16</v>
      </c>
      <c r="K2426">
        <v>60</v>
      </c>
      <c r="L2426">
        <v>2647.04</v>
      </c>
      <c r="M2426">
        <v>7.04</v>
      </c>
      <c r="N2426" s="1">
        <v>37939</v>
      </c>
      <c r="O2426" t="s">
        <v>25</v>
      </c>
      <c r="P2426">
        <v>4</v>
      </c>
      <c r="Q2426">
        <v>11</v>
      </c>
      <c r="R2426">
        <v>2003</v>
      </c>
      <c r="S2426" t="s">
        <v>202</v>
      </c>
    </row>
    <row r="2427" spans="1:19" x14ac:dyDescent="0.25">
      <c r="A2427">
        <v>10329</v>
      </c>
      <c r="B2427" t="s">
        <v>249</v>
      </c>
      <c r="C2427" t="s">
        <v>20</v>
      </c>
      <c r="D2427" t="s">
        <v>21</v>
      </c>
      <c r="E2427" t="s">
        <v>22</v>
      </c>
      <c r="F2427" t="s">
        <v>23</v>
      </c>
      <c r="G2427" t="s">
        <v>33</v>
      </c>
      <c r="H2427">
        <v>12</v>
      </c>
      <c r="I2427">
        <v>38</v>
      </c>
      <c r="J2427">
        <v>100</v>
      </c>
      <c r="K2427">
        <v>60</v>
      </c>
      <c r="L2427">
        <v>5266.04</v>
      </c>
      <c r="M2427">
        <v>2986.04</v>
      </c>
      <c r="N2427" s="1">
        <v>38306</v>
      </c>
      <c r="O2427" t="s">
        <v>25</v>
      </c>
      <c r="P2427">
        <v>4</v>
      </c>
      <c r="Q2427">
        <v>11</v>
      </c>
      <c r="R2427">
        <v>2004</v>
      </c>
      <c r="S2427" t="s">
        <v>26</v>
      </c>
    </row>
    <row r="2428" spans="1:19" x14ac:dyDescent="0.25">
      <c r="A2428">
        <v>10241</v>
      </c>
      <c r="B2428" t="s">
        <v>251</v>
      </c>
      <c r="C2428" t="s">
        <v>217</v>
      </c>
      <c r="D2428" t="s">
        <v>218</v>
      </c>
      <c r="E2428" t="s">
        <v>29</v>
      </c>
      <c r="F2428" t="s">
        <v>30</v>
      </c>
      <c r="G2428" t="s">
        <v>33</v>
      </c>
      <c r="H2428">
        <v>12</v>
      </c>
      <c r="I2428">
        <v>44</v>
      </c>
      <c r="J2428">
        <v>100</v>
      </c>
      <c r="K2428">
        <v>132</v>
      </c>
      <c r="L2428">
        <v>6853.44</v>
      </c>
      <c r="M2428">
        <v>1045.44</v>
      </c>
      <c r="N2428" s="1">
        <v>38090</v>
      </c>
      <c r="O2428" t="s">
        <v>25</v>
      </c>
      <c r="P2428">
        <v>2</v>
      </c>
      <c r="Q2428">
        <v>4</v>
      </c>
      <c r="R2428">
        <v>2004</v>
      </c>
      <c r="S2428" t="s">
        <v>83</v>
      </c>
    </row>
    <row r="2429" spans="1:19" x14ac:dyDescent="0.25">
      <c r="A2429">
        <v>10407</v>
      </c>
      <c r="B2429" t="s">
        <v>251</v>
      </c>
      <c r="C2429" t="s">
        <v>162</v>
      </c>
      <c r="D2429" t="s">
        <v>163</v>
      </c>
      <c r="E2429" t="s">
        <v>22</v>
      </c>
      <c r="F2429" t="s">
        <v>23</v>
      </c>
      <c r="G2429" t="s">
        <v>33</v>
      </c>
      <c r="H2429">
        <v>12</v>
      </c>
      <c r="I2429">
        <v>41</v>
      </c>
      <c r="J2429">
        <v>100</v>
      </c>
      <c r="K2429">
        <v>132</v>
      </c>
      <c r="L2429">
        <v>6386.16</v>
      </c>
      <c r="M2429">
        <v>974.16</v>
      </c>
      <c r="N2429" s="1">
        <v>38464</v>
      </c>
      <c r="O2429" t="s">
        <v>164</v>
      </c>
      <c r="P2429">
        <v>2</v>
      </c>
      <c r="Q2429">
        <v>4</v>
      </c>
      <c r="R2429">
        <v>2005</v>
      </c>
      <c r="S2429" t="s">
        <v>83</v>
      </c>
    </row>
    <row r="2430" spans="1:19" x14ac:dyDescent="0.25">
      <c r="A2430">
        <v>10103</v>
      </c>
      <c r="B2430" t="s">
        <v>252</v>
      </c>
      <c r="C2430" t="s">
        <v>63</v>
      </c>
      <c r="D2430" t="s">
        <v>64</v>
      </c>
      <c r="E2430" t="s">
        <v>44</v>
      </c>
      <c r="F2430" t="s">
        <v>30</v>
      </c>
      <c r="G2430" t="s">
        <v>24</v>
      </c>
      <c r="H2430">
        <v>12</v>
      </c>
      <c r="I2430">
        <v>27</v>
      </c>
      <c r="J2430">
        <v>83.07</v>
      </c>
      <c r="K2430">
        <v>101</v>
      </c>
      <c r="L2430">
        <v>2242.89</v>
      </c>
      <c r="M2430">
        <v>-484.11</v>
      </c>
      <c r="N2430" s="1">
        <v>37650</v>
      </c>
      <c r="O2430" t="s">
        <v>25</v>
      </c>
      <c r="P2430">
        <v>1</v>
      </c>
      <c r="Q2430">
        <v>1</v>
      </c>
      <c r="R2430">
        <v>2003</v>
      </c>
      <c r="S2430" t="s">
        <v>226</v>
      </c>
    </row>
    <row r="2431" spans="1:19" x14ac:dyDescent="0.25">
      <c r="A2431">
        <v>10126</v>
      </c>
      <c r="B2431" t="s">
        <v>252</v>
      </c>
      <c r="C2431" t="s">
        <v>87</v>
      </c>
      <c r="D2431" t="s">
        <v>79</v>
      </c>
      <c r="E2431" t="s">
        <v>80</v>
      </c>
      <c r="F2431" t="s">
        <v>30</v>
      </c>
      <c r="G2431" t="s">
        <v>24</v>
      </c>
      <c r="H2431">
        <v>12</v>
      </c>
      <c r="I2431">
        <v>31</v>
      </c>
      <c r="J2431">
        <v>90.17</v>
      </c>
      <c r="K2431">
        <v>101</v>
      </c>
      <c r="L2431">
        <v>2795.27</v>
      </c>
      <c r="M2431">
        <v>-335.73</v>
      </c>
      <c r="N2431" s="1">
        <v>37769</v>
      </c>
      <c r="O2431" t="s">
        <v>25</v>
      </c>
      <c r="P2431">
        <v>2</v>
      </c>
      <c r="Q2431">
        <v>5</v>
      </c>
      <c r="R2431">
        <v>2003</v>
      </c>
      <c r="S2431" t="s">
        <v>226</v>
      </c>
    </row>
    <row r="2432" spans="1:19" x14ac:dyDescent="0.25">
      <c r="A2432">
        <v>10291</v>
      </c>
      <c r="B2432" t="s">
        <v>252</v>
      </c>
      <c r="C2432" t="s">
        <v>111</v>
      </c>
      <c r="D2432" t="s">
        <v>112</v>
      </c>
      <c r="E2432" t="s">
        <v>86</v>
      </c>
      <c r="F2432" t="s">
        <v>30</v>
      </c>
      <c r="G2432" t="s">
        <v>33</v>
      </c>
      <c r="H2432">
        <v>12</v>
      </c>
      <c r="I2432">
        <v>47</v>
      </c>
      <c r="J2432">
        <v>100</v>
      </c>
      <c r="K2432">
        <v>101</v>
      </c>
      <c r="L2432">
        <v>5713.79</v>
      </c>
      <c r="M2432">
        <v>966.79</v>
      </c>
      <c r="N2432" s="1">
        <v>38238</v>
      </c>
      <c r="O2432" t="s">
        <v>25</v>
      </c>
      <c r="P2432">
        <v>3</v>
      </c>
      <c r="Q2432">
        <v>9</v>
      </c>
      <c r="R2432">
        <v>2004</v>
      </c>
      <c r="S2432" t="s">
        <v>226</v>
      </c>
    </row>
    <row r="2433" spans="1:19" x14ac:dyDescent="0.25">
      <c r="A2433">
        <v>10322</v>
      </c>
      <c r="B2433" t="s">
        <v>252</v>
      </c>
      <c r="C2433" t="s">
        <v>117</v>
      </c>
      <c r="D2433" t="s">
        <v>118</v>
      </c>
      <c r="E2433" t="s">
        <v>22</v>
      </c>
      <c r="F2433" t="s">
        <v>23</v>
      </c>
      <c r="G2433" t="s">
        <v>33</v>
      </c>
      <c r="H2433">
        <v>12</v>
      </c>
      <c r="I2433">
        <v>33</v>
      </c>
      <c r="J2433">
        <v>100</v>
      </c>
      <c r="K2433">
        <v>101</v>
      </c>
      <c r="L2433">
        <v>3524.73</v>
      </c>
      <c r="M2433">
        <v>191.73</v>
      </c>
      <c r="N2433" s="1">
        <v>38295</v>
      </c>
      <c r="O2433" t="s">
        <v>25</v>
      </c>
      <c r="P2433">
        <v>4</v>
      </c>
      <c r="Q2433">
        <v>11</v>
      </c>
      <c r="R2433">
        <v>2004</v>
      </c>
      <c r="S2433" t="s">
        <v>226</v>
      </c>
    </row>
    <row r="2434" spans="1:19" x14ac:dyDescent="0.25">
      <c r="A2434">
        <v>10248</v>
      </c>
      <c r="B2434" t="s">
        <v>258</v>
      </c>
      <c r="C2434" t="s">
        <v>20</v>
      </c>
      <c r="D2434" t="s">
        <v>21</v>
      </c>
      <c r="E2434" t="s">
        <v>22</v>
      </c>
      <c r="F2434" t="s">
        <v>23</v>
      </c>
      <c r="G2434" t="s">
        <v>33</v>
      </c>
      <c r="H2434">
        <v>12</v>
      </c>
      <c r="I2434">
        <v>32</v>
      </c>
      <c r="J2434">
        <v>100</v>
      </c>
      <c r="K2434">
        <v>136</v>
      </c>
      <c r="L2434">
        <v>3802.56</v>
      </c>
      <c r="M2434">
        <v>-549.44000000000005</v>
      </c>
      <c r="N2434" s="1">
        <v>38114</v>
      </c>
      <c r="O2434" t="s">
        <v>141</v>
      </c>
      <c r="P2434">
        <v>2</v>
      </c>
      <c r="Q2434">
        <v>5</v>
      </c>
      <c r="R2434">
        <v>2004</v>
      </c>
      <c r="S2434" t="s">
        <v>226</v>
      </c>
    </row>
    <row r="2435" spans="1:19" x14ac:dyDescent="0.25">
      <c r="A2435">
        <v>10336</v>
      </c>
      <c r="B2435" t="s">
        <v>258</v>
      </c>
      <c r="C2435" t="s">
        <v>166</v>
      </c>
      <c r="D2435" t="s">
        <v>32</v>
      </c>
      <c r="E2435" t="s">
        <v>29</v>
      </c>
      <c r="F2435" t="s">
        <v>30</v>
      </c>
      <c r="G2435" t="s">
        <v>33</v>
      </c>
      <c r="H2435">
        <v>12</v>
      </c>
      <c r="I2435">
        <v>48</v>
      </c>
      <c r="J2435">
        <v>100</v>
      </c>
      <c r="K2435">
        <v>136</v>
      </c>
      <c r="L2435">
        <v>5778.24</v>
      </c>
      <c r="M2435">
        <v>-749.76</v>
      </c>
      <c r="N2435" s="1">
        <v>38311</v>
      </c>
      <c r="O2435" t="s">
        <v>25</v>
      </c>
      <c r="P2435">
        <v>4</v>
      </c>
      <c r="Q2435">
        <v>11</v>
      </c>
      <c r="R2435">
        <v>2004</v>
      </c>
      <c r="S2435" t="s">
        <v>226</v>
      </c>
    </row>
    <row r="2436" spans="1:19" x14ac:dyDescent="0.25">
      <c r="A2436">
        <v>10414</v>
      </c>
      <c r="B2436" t="s">
        <v>258</v>
      </c>
      <c r="C2436" t="s">
        <v>156</v>
      </c>
      <c r="D2436" t="s">
        <v>157</v>
      </c>
      <c r="E2436" t="s">
        <v>22</v>
      </c>
      <c r="F2436" t="s">
        <v>23</v>
      </c>
      <c r="G2436" t="s">
        <v>33</v>
      </c>
      <c r="H2436">
        <v>12</v>
      </c>
      <c r="I2436">
        <v>41</v>
      </c>
      <c r="J2436">
        <v>100</v>
      </c>
      <c r="K2436">
        <v>136</v>
      </c>
      <c r="L2436">
        <v>4872.03</v>
      </c>
      <c r="M2436">
        <v>-703.97</v>
      </c>
      <c r="N2436" s="1">
        <v>38478</v>
      </c>
      <c r="O2436" t="s">
        <v>164</v>
      </c>
      <c r="P2436">
        <v>2</v>
      </c>
      <c r="Q2436">
        <v>5</v>
      </c>
      <c r="R2436">
        <v>2005</v>
      </c>
      <c r="S2436" t="s">
        <v>226</v>
      </c>
    </row>
    <row r="2437" spans="1:19" x14ac:dyDescent="0.25">
      <c r="A2437">
        <v>10192</v>
      </c>
      <c r="B2437" t="s">
        <v>259</v>
      </c>
      <c r="C2437" t="s">
        <v>117</v>
      </c>
      <c r="D2437" t="s">
        <v>118</v>
      </c>
      <c r="E2437" t="s">
        <v>22</v>
      </c>
      <c r="F2437" t="s">
        <v>23</v>
      </c>
      <c r="G2437" t="s">
        <v>33</v>
      </c>
      <c r="H2437">
        <v>12</v>
      </c>
      <c r="I2437">
        <v>26</v>
      </c>
      <c r="J2437">
        <v>100</v>
      </c>
      <c r="K2437">
        <v>169</v>
      </c>
      <c r="L2437">
        <v>3918.46</v>
      </c>
      <c r="M2437">
        <v>-475.54</v>
      </c>
      <c r="N2437" s="1">
        <v>37945</v>
      </c>
      <c r="O2437" t="s">
        <v>25</v>
      </c>
      <c r="P2437">
        <v>4</v>
      </c>
      <c r="Q2437">
        <v>11</v>
      </c>
      <c r="R2437">
        <v>2003</v>
      </c>
      <c r="S2437" t="s">
        <v>83</v>
      </c>
    </row>
    <row r="2438" spans="1:19" x14ac:dyDescent="0.25">
      <c r="A2438">
        <v>10292</v>
      </c>
      <c r="B2438" t="s">
        <v>259</v>
      </c>
      <c r="C2438" t="s">
        <v>20</v>
      </c>
      <c r="D2438" t="s">
        <v>21</v>
      </c>
      <c r="E2438" t="s">
        <v>22</v>
      </c>
      <c r="F2438" t="s">
        <v>23</v>
      </c>
      <c r="G2438" t="s">
        <v>24</v>
      </c>
      <c r="H2438">
        <v>12</v>
      </c>
      <c r="I2438">
        <v>21</v>
      </c>
      <c r="J2438">
        <v>100</v>
      </c>
      <c r="K2438">
        <v>169</v>
      </c>
      <c r="L2438">
        <v>2844.87</v>
      </c>
      <c r="M2438">
        <v>-704.13</v>
      </c>
      <c r="N2438" s="1">
        <v>38238</v>
      </c>
      <c r="O2438" t="s">
        <v>25</v>
      </c>
      <c r="P2438">
        <v>3</v>
      </c>
      <c r="Q2438">
        <v>9</v>
      </c>
      <c r="R2438">
        <v>2004</v>
      </c>
      <c r="S2438" t="s">
        <v>83</v>
      </c>
    </row>
    <row r="2439" spans="1:19" x14ac:dyDescent="0.25">
      <c r="A2439">
        <v>10324</v>
      </c>
      <c r="B2439" t="s">
        <v>259</v>
      </c>
      <c r="C2439" t="s">
        <v>51</v>
      </c>
      <c r="D2439" t="s">
        <v>21</v>
      </c>
      <c r="E2439" t="s">
        <v>22</v>
      </c>
      <c r="F2439" t="s">
        <v>23</v>
      </c>
      <c r="G2439" t="s">
        <v>33</v>
      </c>
      <c r="H2439">
        <v>12</v>
      </c>
      <c r="I2439">
        <v>27</v>
      </c>
      <c r="J2439">
        <v>100</v>
      </c>
      <c r="K2439">
        <v>169</v>
      </c>
      <c r="L2439">
        <v>3155.49</v>
      </c>
      <c r="M2439">
        <v>-1407.51</v>
      </c>
      <c r="N2439" s="1">
        <v>38296</v>
      </c>
      <c r="O2439" t="s">
        <v>25</v>
      </c>
      <c r="P2439">
        <v>4</v>
      </c>
      <c r="Q2439">
        <v>11</v>
      </c>
      <c r="R2439">
        <v>2004</v>
      </c>
      <c r="S2439" t="s">
        <v>83</v>
      </c>
    </row>
    <row r="2440" spans="1:19" x14ac:dyDescent="0.25">
      <c r="A2440">
        <v>10358</v>
      </c>
      <c r="B2440" t="s">
        <v>259</v>
      </c>
      <c r="C2440" t="s">
        <v>78</v>
      </c>
      <c r="D2440" t="s">
        <v>79</v>
      </c>
      <c r="E2440" t="s">
        <v>80</v>
      </c>
      <c r="F2440" t="s">
        <v>30</v>
      </c>
      <c r="G2440" t="s">
        <v>24</v>
      </c>
      <c r="H2440">
        <v>12</v>
      </c>
      <c r="I2440">
        <v>32</v>
      </c>
      <c r="J2440">
        <v>93.49</v>
      </c>
      <c r="K2440">
        <v>169</v>
      </c>
      <c r="L2440">
        <v>2991.68</v>
      </c>
      <c r="M2440">
        <v>-2416.3200000000002</v>
      </c>
      <c r="N2440" s="1">
        <v>38331</v>
      </c>
      <c r="O2440" t="s">
        <v>25</v>
      </c>
      <c r="P2440">
        <v>4</v>
      </c>
      <c r="Q2440">
        <v>12</v>
      </c>
      <c r="R2440">
        <v>2004</v>
      </c>
      <c r="S2440" t="s">
        <v>83</v>
      </c>
    </row>
    <row r="2441" spans="1:19" x14ac:dyDescent="0.25">
      <c r="A2441">
        <v>10383</v>
      </c>
      <c r="B2441" t="s">
        <v>260</v>
      </c>
      <c r="C2441" t="s">
        <v>78</v>
      </c>
      <c r="D2441" t="s">
        <v>79</v>
      </c>
      <c r="E2441" t="s">
        <v>80</v>
      </c>
      <c r="F2441" t="s">
        <v>30</v>
      </c>
      <c r="G2441" t="s">
        <v>33</v>
      </c>
      <c r="H2441">
        <v>12</v>
      </c>
      <c r="I2441">
        <v>26</v>
      </c>
      <c r="J2441">
        <v>100</v>
      </c>
      <c r="K2441">
        <v>100</v>
      </c>
      <c r="L2441">
        <v>3340.48</v>
      </c>
      <c r="M2441">
        <v>740.48</v>
      </c>
      <c r="N2441" s="1">
        <v>38405</v>
      </c>
      <c r="O2441" t="s">
        <v>25</v>
      </c>
      <c r="P2441">
        <v>1</v>
      </c>
      <c r="Q2441">
        <v>2</v>
      </c>
      <c r="R2441">
        <v>2005</v>
      </c>
      <c r="S2441" t="s">
        <v>261</v>
      </c>
    </row>
    <row r="2442" spans="1:19" x14ac:dyDescent="0.25">
      <c r="A2442">
        <v>10225</v>
      </c>
      <c r="B2442" t="s">
        <v>262</v>
      </c>
      <c r="C2442" t="s">
        <v>181</v>
      </c>
      <c r="D2442" t="s">
        <v>182</v>
      </c>
      <c r="E2442" t="s">
        <v>183</v>
      </c>
      <c r="F2442" t="s">
        <v>30</v>
      </c>
      <c r="G2442" t="s">
        <v>33</v>
      </c>
      <c r="H2442">
        <v>12</v>
      </c>
      <c r="I2442">
        <v>37</v>
      </c>
      <c r="J2442">
        <v>95.69</v>
      </c>
      <c r="K2442">
        <v>80</v>
      </c>
      <c r="L2442">
        <v>3540.53</v>
      </c>
      <c r="M2442">
        <v>580.53</v>
      </c>
      <c r="N2442" s="1">
        <v>38039</v>
      </c>
      <c r="O2442" t="s">
        <v>25</v>
      </c>
      <c r="P2442">
        <v>1</v>
      </c>
      <c r="Q2442">
        <v>2</v>
      </c>
      <c r="R2442">
        <v>2004</v>
      </c>
      <c r="S2442" t="s">
        <v>83</v>
      </c>
    </row>
    <row r="2443" spans="1:19" x14ac:dyDescent="0.25">
      <c r="A2443">
        <v>10347</v>
      </c>
      <c r="B2443" t="s">
        <v>263</v>
      </c>
      <c r="C2443" t="s">
        <v>47</v>
      </c>
      <c r="D2443" t="s">
        <v>48</v>
      </c>
      <c r="E2443" t="s">
        <v>49</v>
      </c>
      <c r="F2443" t="s">
        <v>50</v>
      </c>
      <c r="G2443" t="s">
        <v>24</v>
      </c>
      <c r="H2443">
        <v>12</v>
      </c>
      <c r="I2443">
        <v>26</v>
      </c>
      <c r="J2443">
        <v>100</v>
      </c>
      <c r="K2443">
        <v>99</v>
      </c>
      <c r="L2443">
        <v>2656.94</v>
      </c>
      <c r="M2443">
        <v>82.94</v>
      </c>
      <c r="N2443" s="1">
        <v>38320</v>
      </c>
      <c r="O2443" t="s">
        <v>25</v>
      </c>
      <c r="P2443">
        <v>4</v>
      </c>
      <c r="Q2443">
        <v>11</v>
      </c>
      <c r="R2443">
        <v>2004</v>
      </c>
      <c r="S2443" t="s">
        <v>226</v>
      </c>
    </row>
    <row r="2444" spans="1:19" x14ac:dyDescent="0.25">
      <c r="A2444">
        <v>10122</v>
      </c>
      <c r="B2444" t="s">
        <v>264</v>
      </c>
      <c r="C2444" t="s">
        <v>176</v>
      </c>
      <c r="D2444" t="s">
        <v>177</v>
      </c>
      <c r="E2444" t="s">
        <v>29</v>
      </c>
      <c r="F2444" t="s">
        <v>30</v>
      </c>
      <c r="G2444" t="s">
        <v>24</v>
      </c>
      <c r="H2444">
        <v>12</v>
      </c>
      <c r="I2444">
        <v>21</v>
      </c>
      <c r="J2444">
        <v>100</v>
      </c>
      <c r="K2444">
        <v>146</v>
      </c>
      <c r="L2444">
        <v>2469.39</v>
      </c>
      <c r="M2444">
        <v>-596.61</v>
      </c>
      <c r="N2444" s="1">
        <v>37749</v>
      </c>
      <c r="O2444" t="s">
        <v>25</v>
      </c>
      <c r="P2444">
        <v>2</v>
      </c>
      <c r="Q2444">
        <v>5</v>
      </c>
      <c r="R2444">
        <v>2003</v>
      </c>
      <c r="S2444" t="s">
        <v>83</v>
      </c>
    </row>
    <row r="2445" spans="1:19" x14ac:dyDescent="0.25">
      <c r="A2445">
        <v>10310</v>
      </c>
      <c r="B2445" t="s">
        <v>264</v>
      </c>
      <c r="C2445" t="s">
        <v>178</v>
      </c>
      <c r="D2445" t="s">
        <v>179</v>
      </c>
      <c r="E2445" t="s">
        <v>180</v>
      </c>
      <c r="F2445" t="s">
        <v>30</v>
      </c>
      <c r="G2445" t="s">
        <v>33</v>
      </c>
      <c r="H2445">
        <v>12</v>
      </c>
      <c r="I2445">
        <v>49</v>
      </c>
      <c r="J2445">
        <v>100</v>
      </c>
      <c r="K2445">
        <v>146</v>
      </c>
      <c r="L2445">
        <v>6266.12</v>
      </c>
      <c r="M2445">
        <v>-887.88</v>
      </c>
      <c r="N2445" s="1">
        <v>38276</v>
      </c>
      <c r="O2445" t="s">
        <v>25</v>
      </c>
      <c r="P2445">
        <v>4</v>
      </c>
      <c r="Q2445">
        <v>10</v>
      </c>
      <c r="R2445">
        <v>2004</v>
      </c>
      <c r="S2445" t="s">
        <v>83</v>
      </c>
    </row>
    <row r="2446" spans="1:19" x14ac:dyDescent="0.25">
      <c r="A2446">
        <v>10331</v>
      </c>
      <c r="B2446" t="s">
        <v>265</v>
      </c>
      <c r="C2446" t="s">
        <v>129</v>
      </c>
      <c r="D2446" t="s">
        <v>94</v>
      </c>
      <c r="E2446" t="s">
        <v>22</v>
      </c>
      <c r="F2446" t="s">
        <v>23</v>
      </c>
      <c r="G2446" t="s">
        <v>24</v>
      </c>
      <c r="H2446">
        <v>12</v>
      </c>
      <c r="I2446">
        <v>26</v>
      </c>
      <c r="J2446">
        <v>67.91</v>
      </c>
      <c r="K2446">
        <v>141</v>
      </c>
      <c r="L2446">
        <v>1765.66</v>
      </c>
      <c r="M2446">
        <v>-1900.34</v>
      </c>
      <c r="N2446" s="1">
        <v>38308</v>
      </c>
      <c r="O2446" t="s">
        <v>25</v>
      </c>
      <c r="P2446">
        <v>4</v>
      </c>
      <c r="Q2446">
        <v>11</v>
      </c>
      <c r="R2446">
        <v>2004</v>
      </c>
      <c r="S2446" t="s">
        <v>83</v>
      </c>
    </row>
    <row r="2447" spans="1:19" x14ac:dyDescent="0.25">
      <c r="A2447">
        <v>10108</v>
      </c>
      <c r="B2447" t="s">
        <v>266</v>
      </c>
      <c r="C2447" t="s">
        <v>173</v>
      </c>
      <c r="D2447" t="s">
        <v>174</v>
      </c>
      <c r="E2447" t="s">
        <v>175</v>
      </c>
      <c r="F2447" t="s">
        <v>50</v>
      </c>
      <c r="G2447" t="s">
        <v>24</v>
      </c>
      <c r="H2447">
        <v>12</v>
      </c>
      <c r="I2447">
        <v>43</v>
      </c>
      <c r="J2447">
        <v>67.77</v>
      </c>
      <c r="K2447">
        <v>62</v>
      </c>
      <c r="L2447">
        <v>2914.11</v>
      </c>
      <c r="M2447">
        <v>248.11</v>
      </c>
      <c r="N2447" s="1">
        <v>37683</v>
      </c>
      <c r="O2447" t="s">
        <v>25</v>
      </c>
      <c r="P2447">
        <v>1</v>
      </c>
      <c r="Q2447">
        <v>3</v>
      </c>
      <c r="R2447">
        <v>2003</v>
      </c>
      <c r="S2447" t="s">
        <v>26</v>
      </c>
    </row>
    <row r="2448" spans="1:19" x14ac:dyDescent="0.25">
      <c r="A2448">
        <v>10363</v>
      </c>
      <c r="B2448" t="s">
        <v>266</v>
      </c>
      <c r="C2448" t="s">
        <v>189</v>
      </c>
      <c r="D2448" t="s">
        <v>190</v>
      </c>
      <c r="E2448" t="s">
        <v>62</v>
      </c>
      <c r="F2448" t="s">
        <v>30</v>
      </c>
      <c r="G2448" t="s">
        <v>24</v>
      </c>
      <c r="H2448">
        <v>12</v>
      </c>
      <c r="I2448">
        <v>32</v>
      </c>
      <c r="J2448">
        <v>89.12</v>
      </c>
      <c r="K2448">
        <v>62</v>
      </c>
      <c r="L2448">
        <v>2851.84</v>
      </c>
      <c r="M2448">
        <v>867.84</v>
      </c>
      <c r="N2448" s="1">
        <v>38358</v>
      </c>
      <c r="O2448" t="s">
        <v>25</v>
      </c>
      <c r="P2448">
        <v>1</v>
      </c>
      <c r="Q2448">
        <v>1</v>
      </c>
      <c r="R2448">
        <v>2005</v>
      </c>
      <c r="S2448" t="s">
        <v>26</v>
      </c>
    </row>
    <row r="2449" spans="1:19" x14ac:dyDescent="0.25">
      <c r="A2449">
        <v>10143</v>
      </c>
      <c r="B2449" t="s">
        <v>267</v>
      </c>
      <c r="C2449" t="s">
        <v>140</v>
      </c>
      <c r="D2449" t="s">
        <v>74</v>
      </c>
      <c r="E2449" t="s">
        <v>22</v>
      </c>
      <c r="F2449" t="s">
        <v>23</v>
      </c>
      <c r="G2449" t="s">
        <v>33</v>
      </c>
      <c r="H2449">
        <v>12</v>
      </c>
      <c r="I2449">
        <v>34</v>
      </c>
      <c r="J2449">
        <v>100</v>
      </c>
      <c r="K2449">
        <v>105</v>
      </c>
      <c r="L2449">
        <v>3455.76</v>
      </c>
      <c r="M2449">
        <v>-114.24</v>
      </c>
      <c r="N2449" s="1">
        <v>37843</v>
      </c>
      <c r="O2449" t="s">
        <v>25</v>
      </c>
      <c r="P2449">
        <v>3</v>
      </c>
      <c r="Q2449">
        <v>8</v>
      </c>
      <c r="R2449">
        <v>2003</v>
      </c>
      <c r="S2449" t="s">
        <v>226</v>
      </c>
    </row>
    <row r="2450" spans="1:19" x14ac:dyDescent="0.25">
      <c r="A2450">
        <v>10296</v>
      </c>
      <c r="B2450" t="s">
        <v>267</v>
      </c>
      <c r="C2450" t="s">
        <v>236</v>
      </c>
      <c r="D2450" t="s">
        <v>237</v>
      </c>
      <c r="E2450" t="s">
        <v>180</v>
      </c>
      <c r="F2450" t="s">
        <v>30</v>
      </c>
      <c r="G2450" t="s">
        <v>24</v>
      </c>
      <c r="H2450">
        <v>12</v>
      </c>
      <c r="I2450">
        <v>22</v>
      </c>
      <c r="J2450">
        <v>84.7</v>
      </c>
      <c r="K2450">
        <v>105</v>
      </c>
      <c r="L2450">
        <v>1863.4</v>
      </c>
      <c r="M2450">
        <v>-446.6</v>
      </c>
      <c r="N2450" s="1">
        <v>38245</v>
      </c>
      <c r="O2450" t="s">
        <v>25</v>
      </c>
      <c r="P2450">
        <v>3</v>
      </c>
      <c r="Q2450">
        <v>9</v>
      </c>
      <c r="R2450">
        <v>2004</v>
      </c>
      <c r="S2450" t="s">
        <v>226</v>
      </c>
    </row>
    <row r="2451" spans="1:19" x14ac:dyDescent="0.25">
      <c r="A2451">
        <v>10117</v>
      </c>
      <c r="B2451" t="s">
        <v>268</v>
      </c>
      <c r="C2451" t="s">
        <v>88</v>
      </c>
      <c r="D2451" t="s">
        <v>89</v>
      </c>
      <c r="E2451" t="s">
        <v>89</v>
      </c>
      <c r="F2451" t="s">
        <v>50</v>
      </c>
      <c r="G2451" t="s">
        <v>24</v>
      </c>
      <c r="H2451">
        <v>12</v>
      </c>
      <c r="I2451">
        <v>22</v>
      </c>
      <c r="J2451">
        <v>100</v>
      </c>
      <c r="K2451">
        <v>143</v>
      </c>
      <c r="L2451">
        <v>2780.58</v>
      </c>
      <c r="M2451">
        <v>-365.42</v>
      </c>
      <c r="N2451" s="1">
        <v>37727</v>
      </c>
      <c r="O2451" t="s">
        <v>25</v>
      </c>
      <c r="P2451">
        <v>2</v>
      </c>
      <c r="Q2451">
        <v>4</v>
      </c>
      <c r="R2451">
        <v>2003</v>
      </c>
      <c r="S2451" t="s">
        <v>83</v>
      </c>
    </row>
    <row r="2452" spans="1:19" x14ac:dyDescent="0.25">
      <c r="A2452">
        <v>10273</v>
      </c>
      <c r="B2452" t="s">
        <v>270</v>
      </c>
      <c r="C2452" t="s">
        <v>151</v>
      </c>
      <c r="D2452" t="s">
        <v>152</v>
      </c>
      <c r="E2452" t="s">
        <v>153</v>
      </c>
      <c r="F2452" t="s">
        <v>30</v>
      </c>
      <c r="G2452" t="s">
        <v>24</v>
      </c>
      <c r="H2452">
        <v>12</v>
      </c>
      <c r="I2452">
        <v>33</v>
      </c>
      <c r="J2452">
        <v>71.09</v>
      </c>
      <c r="K2452">
        <v>87</v>
      </c>
      <c r="L2452">
        <v>2345.9699999999998</v>
      </c>
      <c r="M2452">
        <v>-525.03</v>
      </c>
      <c r="N2452" s="1">
        <v>38189</v>
      </c>
      <c r="O2452" t="s">
        <v>25</v>
      </c>
      <c r="P2452">
        <v>3</v>
      </c>
      <c r="Q2452">
        <v>7</v>
      </c>
      <c r="R2452">
        <v>2004</v>
      </c>
      <c r="S2452" t="s">
        <v>226</v>
      </c>
    </row>
    <row r="2453" spans="1:19" x14ac:dyDescent="0.25">
      <c r="A2453">
        <v>10135</v>
      </c>
      <c r="B2453" t="s">
        <v>273</v>
      </c>
      <c r="C2453" t="s">
        <v>115</v>
      </c>
      <c r="D2453" t="s">
        <v>116</v>
      </c>
      <c r="E2453" t="s">
        <v>22</v>
      </c>
      <c r="F2453" t="s">
        <v>23</v>
      </c>
      <c r="G2453" t="s">
        <v>33</v>
      </c>
      <c r="H2453">
        <v>12</v>
      </c>
      <c r="I2453">
        <v>31</v>
      </c>
      <c r="J2453">
        <v>100</v>
      </c>
      <c r="K2453">
        <v>148</v>
      </c>
      <c r="L2453">
        <v>4705.18</v>
      </c>
      <c r="M2453">
        <v>117.18</v>
      </c>
      <c r="N2453" s="1">
        <v>37804</v>
      </c>
      <c r="O2453" t="s">
        <v>25</v>
      </c>
      <c r="P2453">
        <v>3</v>
      </c>
      <c r="Q2453">
        <v>7</v>
      </c>
      <c r="R2453">
        <v>2003</v>
      </c>
      <c r="S2453" t="s">
        <v>83</v>
      </c>
    </row>
    <row r="2454" spans="1:19" x14ac:dyDescent="0.25">
      <c r="A2454">
        <v>10182</v>
      </c>
      <c r="B2454" t="s">
        <v>274</v>
      </c>
      <c r="C2454" t="s">
        <v>115</v>
      </c>
      <c r="D2454" t="s">
        <v>116</v>
      </c>
      <c r="E2454" t="s">
        <v>22</v>
      </c>
      <c r="F2454" t="s">
        <v>23</v>
      </c>
      <c r="G2454" t="s">
        <v>33</v>
      </c>
      <c r="H2454">
        <v>12</v>
      </c>
      <c r="I2454">
        <v>44</v>
      </c>
      <c r="J2454">
        <v>69.84</v>
      </c>
      <c r="K2454">
        <v>71</v>
      </c>
      <c r="L2454">
        <v>3072.96</v>
      </c>
      <c r="M2454">
        <v>-51.04</v>
      </c>
      <c r="N2454" s="1">
        <v>37937</v>
      </c>
      <c r="O2454" t="s">
        <v>25</v>
      </c>
      <c r="P2454">
        <v>4</v>
      </c>
      <c r="Q2454">
        <v>11</v>
      </c>
      <c r="R2454">
        <v>2003</v>
      </c>
      <c r="S2454" t="s">
        <v>83</v>
      </c>
    </row>
    <row r="2455" spans="1:19" x14ac:dyDescent="0.25">
      <c r="A2455">
        <v>10227</v>
      </c>
      <c r="B2455" t="s">
        <v>274</v>
      </c>
      <c r="C2455" t="s">
        <v>95</v>
      </c>
      <c r="D2455" t="s">
        <v>96</v>
      </c>
      <c r="E2455" t="s">
        <v>29</v>
      </c>
      <c r="F2455" t="s">
        <v>30</v>
      </c>
      <c r="G2455" t="s">
        <v>24</v>
      </c>
      <c r="H2455">
        <v>12</v>
      </c>
      <c r="I2455">
        <v>37</v>
      </c>
      <c r="J2455">
        <v>57.73</v>
      </c>
      <c r="K2455">
        <v>71</v>
      </c>
      <c r="L2455">
        <v>2136.0100000000002</v>
      </c>
      <c r="M2455">
        <v>-490.99</v>
      </c>
      <c r="N2455" s="1">
        <v>38048</v>
      </c>
      <c r="O2455" t="s">
        <v>25</v>
      </c>
      <c r="P2455">
        <v>1</v>
      </c>
      <c r="Q2455">
        <v>3</v>
      </c>
      <c r="R2455">
        <v>2004</v>
      </c>
      <c r="S2455" t="s">
        <v>83</v>
      </c>
    </row>
    <row r="2456" spans="1:19" x14ac:dyDescent="0.25">
      <c r="A2456">
        <v>10124</v>
      </c>
      <c r="B2456" t="s">
        <v>275</v>
      </c>
      <c r="C2456" t="s">
        <v>221</v>
      </c>
      <c r="D2456" t="s">
        <v>222</v>
      </c>
      <c r="E2456" t="s">
        <v>22</v>
      </c>
      <c r="F2456" t="s">
        <v>23</v>
      </c>
      <c r="G2456" t="s">
        <v>24</v>
      </c>
      <c r="H2456">
        <v>12</v>
      </c>
      <c r="I2456">
        <v>22</v>
      </c>
      <c r="J2456">
        <v>77.900000000000006</v>
      </c>
      <c r="K2456">
        <v>73</v>
      </c>
      <c r="L2456">
        <v>1713.8</v>
      </c>
      <c r="M2456">
        <v>107.8</v>
      </c>
      <c r="N2456" s="1">
        <v>37762</v>
      </c>
      <c r="O2456" t="s">
        <v>25</v>
      </c>
      <c r="P2456">
        <v>2</v>
      </c>
      <c r="Q2456">
        <v>5</v>
      </c>
      <c r="R2456">
        <v>2003</v>
      </c>
      <c r="S2456" t="s">
        <v>83</v>
      </c>
    </row>
    <row r="2457" spans="1:19" x14ac:dyDescent="0.25">
      <c r="A2457">
        <v>10371</v>
      </c>
      <c r="B2457" t="s">
        <v>276</v>
      </c>
      <c r="C2457" t="s">
        <v>115</v>
      </c>
      <c r="D2457" t="s">
        <v>116</v>
      </c>
      <c r="E2457" t="s">
        <v>22</v>
      </c>
      <c r="F2457" t="s">
        <v>23</v>
      </c>
      <c r="G2457" t="s">
        <v>24</v>
      </c>
      <c r="H2457">
        <v>12</v>
      </c>
      <c r="I2457">
        <v>25</v>
      </c>
      <c r="J2457">
        <v>97.27</v>
      </c>
      <c r="K2457">
        <v>57</v>
      </c>
      <c r="L2457">
        <v>2431.75</v>
      </c>
      <c r="M2457">
        <v>1006.75</v>
      </c>
      <c r="N2457" s="1">
        <v>38375</v>
      </c>
      <c r="O2457" t="s">
        <v>25</v>
      </c>
      <c r="P2457">
        <v>1</v>
      </c>
      <c r="Q2457">
        <v>1</v>
      </c>
      <c r="R2457">
        <v>2005</v>
      </c>
      <c r="S2457" t="s">
        <v>83</v>
      </c>
    </row>
    <row r="2458" spans="1:19" x14ac:dyDescent="0.25">
      <c r="A2458">
        <v>10204</v>
      </c>
      <c r="B2458" t="s">
        <v>278</v>
      </c>
      <c r="C2458" t="s">
        <v>192</v>
      </c>
      <c r="D2458" t="s">
        <v>21</v>
      </c>
      <c r="E2458" t="s">
        <v>22</v>
      </c>
      <c r="F2458" t="s">
        <v>23</v>
      </c>
      <c r="G2458" t="s">
        <v>24</v>
      </c>
      <c r="H2458">
        <v>12</v>
      </c>
      <c r="I2458">
        <v>45</v>
      </c>
      <c r="J2458">
        <v>49.81</v>
      </c>
      <c r="K2458">
        <v>50</v>
      </c>
      <c r="L2458">
        <v>2241.4499999999998</v>
      </c>
      <c r="M2458">
        <v>-8.5500000000000007</v>
      </c>
      <c r="N2458" s="1">
        <v>37957</v>
      </c>
      <c r="O2458" t="s">
        <v>25</v>
      </c>
      <c r="P2458">
        <v>4</v>
      </c>
      <c r="Q2458">
        <v>12</v>
      </c>
      <c r="R2458">
        <v>2003</v>
      </c>
      <c r="S2458" t="s">
        <v>83</v>
      </c>
    </row>
    <row r="2459" spans="1:19" x14ac:dyDescent="0.25">
      <c r="A2459">
        <v>10280</v>
      </c>
      <c r="B2459" t="s">
        <v>280</v>
      </c>
      <c r="C2459" t="s">
        <v>108</v>
      </c>
      <c r="D2459" t="s">
        <v>109</v>
      </c>
      <c r="E2459" t="s">
        <v>110</v>
      </c>
      <c r="F2459" t="s">
        <v>30</v>
      </c>
      <c r="G2459" t="s">
        <v>24</v>
      </c>
      <c r="H2459">
        <v>12</v>
      </c>
      <c r="I2459">
        <v>20</v>
      </c>
      <c r="J2459">
        <v>28.88</v>
      </c>
      <c r="K2459">
        <v>33</v>
      </c>
      <c r="L2459">
        <v>577.6</v>
      </c>
      <c r="M2459">
        <v>-82.4</v>
      </c>
      <c r="N2459" s="1">
        <v>38216</v>
      </c>
      <c r="O2459" t="s">
        <v>25</v>
      </c>
      <c r="P2459">
        <v>3</v>
      </c>
      <c r="Q2459">
        <v>8</v>
      </c>
      <c r="R2459">
        <v>2004</v>
      </c>
      <c r="S2459" t="s">
        <v>226</v>
      </c>
    </row>
    <row r="2460" spans="1:19" x14ac:dyDescent="0.25">
      <c r="A2460">
        <v>10312</v>
      </c>
      <c r="B2460" t="s">
        <v>283</v>
      </c>
      <c r="C2460" t="s">
        <v>115</v>
      </c>
      <c r="D2460" t="s">
        <v>116</v>
      </c>
      <c r="E2460" t="s">
        <v>22</v>
      </c>
      <c r="F2460" t="s">
        <v>23</v>
      </c>
      <c r="G2460" t="s">
        <v>24</v>
      </c>
      <c r="H2460">
        <v>12</v>
      </c>
      <c r="I2460">
        <v>23</v>
      </c>
      <c r="J2460">
        <v>37.630000000000003</v>
      </c>
      <c r="K2460">
        <v>44</v>
      </c>
      <c r="L2460">
        <v>865.49</v>
      </c>
      <c r="M2460">
        <v>-146.51</v>
      </c>
      <c r="N2460" s="1">
        <v>38281</v>
      </c>
      <c r="O2460" t="s">
        <v>25</v>
      </c>
      <c r="P2460">
        <v>4</v>
      </c>
      <c r="Q2460">
        <v>10</v>
      </c>
      <c r="R2460">
        <v>2004</v>
      </c>
      <c r="S2460" t="s">
        <v>226</v>
      </c>
    </row>
    <row r="2461" spans="1:19" x14ac:dyDescent="0.25">
      <c r="A2461">
        <v>10367</v>
      </c>
      <c r="B2461" t="s">
        <v>283</v>
      </c>
      <c r="C2461" t="s">
        <v>34</v>
      </c>
      <c r="D2461" t="s">
        <v>35</v>
      </c>
      <c r="E2461" t="s">
        <v>22</v>
      </c>
      <c r="F2461" t="s">
        <v>23</v>
      </c>
      <c r="G2461" t="s">
        <v>24</v>
      </c>
      <c r="H2461">
        <v>12</v>
      </c>
      <c r="I2461">
        <v>28</v>
      </c>
      <c r="J2461">
        <v>30.59</v>
      </c>
      <c r="K2461">
        <v>44</v>
      </c>
      <c r="L2461">
        <v>856.52</v>
      </c>
      <c r="M2461">
        <v>-375.48</v>
      </c>
      <c r="N2461" s="1">
        <v>38364</v>
      </c>
      <c r="O2461" t="s">
        <v>169</v>
      </c>
      <c r="P2461">
        <v>1</v>
      </c>
      <c r="Q2461">
        <v>1</v>
      </c>
      <c r="R2461">
        <v>2005</v>
      </c>
      <c r="S2461" t="s">
        <v>226</v>
      </c>
    </row>
    <row r="2462" spans="1:19" x14ac:dyDescent="0.25">
      <c r="A2462">
        <v>10207</v>
      </c>
      <c r="B2462" t="s">
        <v>284</v>
      </c>
      <c r="C2462" t="s">
        <v>170</v>
      </c>
      <c r="D2462" t="s">
        <v>157</v>
      </c>
      <c r="E2462" t="s">
        <v>22</v>
      </c>
      <c r="F2462" t="s">
        <v>23</v>
      </c>
      <c r="G2462" t="s">
        <v>33</v>
      </c>
      <c r="H2462">
        <v>12</v>
      </c>
      <c r="I2462">
        <v>46</v>
      </c>
      <c r="J2462">
        <v>100</v>
      </c>
      <c r="K2462">
        <v>127</v>
      </c>
      <c r="L2462">
        <v>6819.04</v>
      </c>
      <c r="M2462">
        <v>977.04</v>
      </c>
      <c r="N2462" s="1">
        <v>37964</v>
      </c>
      <c r="O2462" t="s">
        <v>25</v>
      </c>
      <c r="P2462">
        <v>4</v>
      </c>
      <c r="Q2462">
        <v>12</v>
      </c>
      <c r="R2462">
        <v>2003</v>
      </c>
      <c r="S2462" t="s">
        <v>202</v>
      </c>
    </row>
    <row r="2463" spans="1:19" x14ac:dyDescent="0.25">
      <c r="A2463">
        <v>10276</v>
      </c>
      <c r="B2463" t="s">
        <v>285</v>
      </c>
      <c r="C2463" t="s">
        <v>186</v>
      </c>
      <c r="D2463" t="s">
        <v>120</v>
      </c>
      <c r="E2463" t="s">
        <v>22</v>
      </c>
      <c r="F2463" t="s">
        <v>23</v>
      </c>
      <c r="G2463" t="s">
        <v>33</v>
      </c>
      <c r="H2463">
        <v>12</v>
      </c>
      <c r="I2463">
        <v>46</v>
      </c>
      <c r="J2463">
        <v>75.489999999999995</v>
      </c>
      <c r="K2463">
        <v>69</v>
      </c>
      <c r="L2463">
        <v>3472.54</v>
      </c>
      <c r="M2463">
        <v>298.54000000000002</v>
      </c>
      <c r="N2463" s="1">
        <v>38201</v>
      </c>
      <c r="O2463" t="s">
        <v>25</v>
      </c>
      <c r="P2463">
        <v>3</v>
      </c>
      <c r="Q2463">
        <v>8</v>
      </c>
      <c r="R2463">
        <v>2004</v>
      </c>
      <c r="S2463" t="s">
        <v>26</v>
      </c>
    </row>
    <row r="2464" spans="1:19" x14ac:dyDescent="0.25">
      <c r="A2464">
        <v>10127</v>
      </c>
      <c r="B2464" t="s">
        <v>287</v>
      </c>
      <c r="C2464" t="s">
        <v>192</v>
      </c>
      <c r="D2464" t="s">
        <v>21</v>
      </c>
      <c r="E2464" t="s">
        <v>22</v>
      </c>
      <c r="F2464" t="s">
        <v>23</v>
      </c>
      <c r="G2464" t="s">
        <v>24</v>
      </c>
      <c r="H2464">
        <v>12</v>
      </c>
      <c r="I2464">
        <v>39</v>
      </c>
      <c r="J2464">
        <v>38.19</v>
      </c>
      <c r="K2464">
        <v>35</v>
      </c>
      <c r="L2464">
        <v>1489.41</v>
      </c>
      <c r="M2464">
        <v>124.41</v>
      </c>
      <c r="N2464" s="1">
        <v>37775</v>
      </c>
      <c r="O2464" t="s">
        <v>25</v>
      </c>
      <c r="P2464">
        <v>2</v>
      </c>
      <c r="Q2464">
        <v>6</v>
      </c>
      <c r="R2464">
        <v>2003</v>
      </c>
      <c r="S2464" t="s">
        <v>83</v>
      </c>
    </row>
    <row r="2465" spans="1:19" x14ac:dyDescent="0.25">
      <c r="A2465">
        <v>10284</v>
      </c>
      <c r="B2465" t="s">
        <v>288</v>
      </c>
      <c r="C2465" t="s">
        <v>223</v>
      </c>
      <c r="D2465" t="s">
        <v>224</v>
      </c>
      <c r="E2465" t="s">
        <v>44</v>
      </c>
      <c r="F2465" t="s">
        <v>30</v>
      </c>
      <c r="G2465" t="s">
        <v>24</v>
      </c>
      <c r="H2465">
        <v>12</v>
      </c>
      <c r="I2465">
        <v>30</v>
      </c>
      <c r="J2465">
        <v>73.989999999999995</v>
      </c>
      <c r="K2465">
        <v>68</v>
      </c>
      <c r="L2465">
        <v>2219.6999999999998</v>
      </c>
      <c r="M2465">
        <v>179.7</v>
      </c>
      <c r="N2465" s="1">
        <v>38220</v>
      </c>
      <c r="O2465" t="s">
        <v>25</v>
      </c>
      <c r="P2465">
        <v>3</v>
      </c>
      <c r="Q2465">
        <v>8</v>
      </c>
      <c r="R2465">
        <v>2004</v>
      </c>
      <c r="S2465" t="s">
        <v>234</v>
      </c>
    </row>
    <row r="2466" spans="1:19" x14ac:dyDescent="0.25">
      <c r="A2466">
        <v>10339</v>
      </c>
      <c r="B2466" t="s">
        <v>288</v>
      </c>
      <c r="C2466" t="s">
        <v>105</v>
      </c>
      <c r="D2466" t="s">
        <v>106</v>
      </c>
      <c r="E2466" t="s">
        <v>107</v>
      </c>
      <c r="F2466" t="s">
        <v>50</v>
      </c>
      <c r="G2466" t="s">
        <v>33</v>
      </c>
      <c r="H2466">
        <v>12</v>
      </c>
      <c r="I2466">
        <v>55</v>
      </c>
      <c r="J2466">
        <v>100</v>
      </c>
      <c r="K2466">
        <v>68</v>
      </c>
      <c r="L2466">
        <v>6214.45</v>
      </c>
      <c r="M2466">
        <v>2474.4499999999998</v>
      </c>
      <c r="N2466" s="1">
        <v>38314</v>
      </c>
      <c r="O2466" t="s">
        <v>25</v>
      </c>
      <c r="P2466">
        <v>4</v>
      </c>
      <c r="Q2466">
        <v>11</v>
      </c>
      <c r="R2466">
        <v>2004</v>
      </c>
      <c r="S2466" t="s">
        <v>234</v>
      </c>
    </row>
    <row r="2467" spans="1:19" x14ac:dyDescent="0.25">
      <c r="A2467">
        <v>10212</v>
      </c>
      <c r="B2467" t="s">
        <v>290</v>
      </c>
      <c r="C2467" t="s">
        <v>78</v>
      </c>
      <c r="D2467" t="s">
        <v>79</v>
      </c>
      <c r="E2467" t="s">
        <v>80</v>
      </c>
      <c r="F2467" t="s">
        <v>30</v>
      </c>
      <c r="G2467" t="s">
        <v>24</v>
      </c>
      <c r="H2467">
        <v>12</v>
      </c>
      <c r="I2467">
        <v>34</v>
      </c>
      <c r="J2467">
        <v>43.42</v>
      </c>
      <c r="K2467">
        <v>37</v>
      </c>
      <c r="L2467">
        <v>1476.28</v>
      </c>
      <c r="M2467">
        <v>218.28</v>
      </c>
      <c r="N2467" s="1">
        <v>38002</v>
      </c>
      <c r="O2467" t="s">
        <v>25</v>
      </c>
      <c r="P2467">
        <v>1</v>
      </c>
      <c r="Q2467">
        <v>1</v>
      </c>
      <c r="R2467">
        <v>2004</v>
      </c>
      <c r="S2467" t="s">
        <v>83</v>
      </c>
    </row>
    <row r="2468" spans="1:19" x14ac:dyDescent="0.25">
      <c r="A2468">
        <v>10321</v>
      </c>
      <c r="B2468" t="s">
        <v>290</v>
      </c>
      <c r="C2468" t="s">
        <v>73</v>
      </c>
      <c r="D2468" t="s">
        <v>74</v>
      </c>
      <c r="E2468" t="s">
        <v>22</v>
      </c>
      <c r="F2468" t="s">
        <v>23</v>
      </c>
      <c r="G2468" t="s">
        <v>24</v>
      </c>
      <c r="H2468">
        <v>12</v>
      </c>
      <c r="I2468">
        <v>37</v>
      </c>
      <c r="J2468">
        <v>33.229999999999997</v>
      </c>
      <c r="K2468">
        <v>37</v>
      </c>
      <c r="L2468">
        <v>1229.51</v>
      </c>
      <c r="M2468">
        <v>-139.49</v>
      </c>
      <c r="N2468" s="1">
        <v>38295</v>
      </c>
      <c r="O2468" t="s">
        <v>25</v>
      </c>
      <c r="P2468">
        <v>4</v>
      </c>
      <c r="Q2468">
        <v>11</v>
      </c>
      <c r="R2468">
        <v>2004</v>
      </c>
      <c r="S2468" t="s">
        <v>83</v>
      </c>
    </row>
    <row r="2469" spans="1:19" x14ac:dyDescent="0.25">
      <c r="A2469">
        <v>10373</v>
      </c>
      <c r="B2469" t="s">
        <v>291</v>
      </c>
      <c r="C2469" t="s">
        <v>160</v>
      </c>
      <c r="D2469" t="s">
        <v>161</v>
      </c>
      <c r="E2469" t="s">
        <v>62</v>
      </c>
      <c r="F2469" t="s">
        <v>30</v>
      </c>
      <c r="G2469" t="s">
        <v>24</v>
      </c>
      <c r="H2469">
        <v>12</v>
      </c>
      <c r="I2469">
        <v>33</v>
      </c>
      <c r="J2469">
        <v>57.32</v>
      </c>
      <c r="K2469">
        <v>88</v>
      </c>
      <c r="L2469">
        <v>1891.56</v>
      </c>
      <c r="M2469">
        <v>-1012.44</v>
      </c>
      <c r="N2469" s="1">
        <v>38383</v>
      </c>
      <c r="O2469" t="s">
        <v>25</v>
      </c>
      <c r="P2469">
        <v>1</v>
      </c>
      <c r="Q2469">
        <v>1</v>
      </c>
      <c r="R2469">
        <v>2005</v>
      </c>
      <c r="S2469" t="s">
        <v>226</v>
      </c>
    </row>
    <row r="2470" spans="1:19" x14ac:dyDescent="0.25">
      <c r="A2470">
        <v>10110</v>
      </c>
      <c r="B2470" t="s">
        <v>292</v>
      </c>
      <c r="C2470" t="s">
        <v>197</v>
      </c>
      <c r="D2470" t="s">
        <v>198</v>
      </c>
      <c r="E2470" t="s">
        <v>77</v>
      </c>
      <c r="F2470" t="s">
        <v>30</v>
      </c>
      <c r="G2470" t="s">
        <v>24</v>
      </c>
      <c r="H2470">
        <v>12</v>
      </c>
      <c r="I2470">
        <v>27</v>
      </c>
      <c r="J2470">
        <v>73.62</v>
      </c>
      <c r="K2470">
        <v>85</v>
      </c>
      <c r="L2470">
        <v>1987.74</v>
      </c>
      <c r="M2470">
        <v>-307.26</v>
      </c>
      <c r="N2470" s="1">
        <v>37698</v>
      </c>
      <c r="O2470" t="s">
        <v>25</v>
      </c>
      <c r="P2470">
        <v>1</v>
      </c>
      <c r="Q2470">
        <v>3</v>
      </c>
      <c r="R2470">
        <v>2003</v>
      </c>
      <c r="S2470" t="s">
        <v>83</v>
      </c>
    </row>
    <row r="2471" spans="1:19" x14ac:dyDescent="0.25">
      <c r="A2471">
        <v>10332</v>
      </c>
      <c r="B2471" t="s">
        <v>292</v>
      </c>
      <c r="C2471" t="s">
        <v>197</v>
      </c>
      <c r="D2471" t="s">
        <v>198</v>
      </c>
      <c r="E2471" t="s">
        <v>77</v>
      </c>
      <c r="F2471" t="s">
        <v>30</v>
      </c>
      <c r="G2471" t="s">
        <v>24</v>
      </c>
      <c r="H2471">
        <v>12</v>
      </c>
      <c r="I2471">
        <v>45</v>
      </c>
      <c r="J2471">
        <v>34.19</v>
      </c>
      <c r="K2471">
        <v>85</v>
      </c>
      <c r="L2471">
        <v>1538.55</v>
      </c>
      <c r="M2471">
        <v>-2286.4499999999998</v>
      </c>
      <c r="N2471" s="1">
        <v>38308</v>
      </c>
      <c r="O2471" t="s">
        <v>25</v>
      </c>
      <c r="P2471">
        <v>4</v>
      </c>
      <c r="Q2471">
        <v>11</v>
      </c>
      <c r="R2471">
        <v>2004</v>
      </c>
      <c r="S2471" t="s">
        <v>83</v>
      </c>
    </row>
    <row r="2472" spans="1:19" x14ac:dyDescent="0.25">
      <c r="A2472">
        <v>10253</v>
      </c>
      <c r="B2472" t="s">
        <v>293</v>
      </c>
      <c r="C2472" t="s">
        <v>75</v>
      </c>
      <c r="D2472" t="s">
        <v>76</v>
      </c>
      <c r="E2472" t="s">
        <v>77</v>
      </c>
      <c r="F2472" t="s">
        <v>30</v>
      </c>
      <c r="G2472" t="s">
        <v>24</v>
      </c>
      <c r="H2472">
        <v>12</v>
      </c>
      <c r="I2472">
        <v>24</v>
      </c>
      <c r="J2472">
        <v>52.66</v>
      </c>
      <c r="K2472">
        <v>61</v>
      </c>
      <c r="L2472">
        <v>1263.8399999999999</v>
      </c>
      <c r="M2472">
        <v>-200.16</v>
      </c>
      <c r="N2472" s="1">
        <v>38139</v>
      </c>
      <c r="O2472" t="s">
        <v>141</v>
      </c>
      <c r="P2472">
        <v>2</v>
      </c>
      <c r="Q2472">
        <v>6</v>
      </c>
      <c r="R2472">
        <v>2004</v>
      </c>
      <c r="S2472" t="s">
        <v>83</v>
      </c>
    </row>
    <row r="2473" spans="1:19" x14ac:dyDescent="0.25">
      <c r="A2473">
        <v>10419</v>
      </c>
      <c r="B2473" t="s">
        <v>293</v>
      </c>
      <c r="C2473" t="s">
        <v>67</v>
      </c>
      <c r="D2473" t="s">
        <v>68</v>
      </c>
      <c r="E2473" t="s">
        <v>69</v>
      </c>
      <c r="F2473" t="s">
        <v>30</v>
      </c>
      <c r="G2473" t="s">
        <v>24</v>
      </c>
      <c r="H2473">
        <v>12</v>
      </c>
      <c r="I2473">
        <v>55</v>
      </c>
      <c r="J2473">
        <v>52.66</v>
      </c>
      <c r="K2473">
        <v>61</v>
      </c>
      <c r="L2473">
        <v>2896.3</v>
      </c>
      <c r="M2473">
        <v>-458.7</v>
      </c>
      <c r="N2473" s="1">
        <v>38489</v>
      </c>
      <c r="O2473" t="s">
        <v>25</v>
      </c>
      <c r="P2473">
        <v>2</v>
      </c>
      <c r="Q2473">
        <v>5</v>
      </c>
      <c r="R2473">
        <v>2005</v>
      </c>
      <c r="S2473" t="s">
        <v>83</v>
      </c>
    </row>
    <row r="2474" spans="1:19" x14ac:dyDescent="0.25">
      <c r="A2474">
        <v>10288</v>
      </c>
      <c r="B2474" t="s">
        <v>295</v>
      </c>
      <c r="C2474" t="s">
        <v>171</v>
      </c>
      <c r="D2474" t="s">
        <v>89</v>
      </c>
      <c r="E2474" t="s">
        <v>89</v>
      </c>
      <c r="F2474" t="s">
        <v>50</v>
      </c>
      <c r="G2474" t="s">
        <v>33</v>
      </c>
      <c r="H2474">
        <v>12</v>
      </c>
      <c r="I2474">
        <v>41</v>
      </c>
      <c r="J2474">
        <v>100</v>
      </c>
      <c r="K2474">
        <v>107</v>
      </c>
      <c r="L2474">
        <v>4873.26</v>
      </c>
      <c r="M2474">
        <v>486.26</v>
      </c>
      <c r="N2474" s="1">
        <v>38231</v>
      </c>
      <c r="O2474" t="s">
        <v>25</v>
      </c>
      <c r="P2474">
        <v>3</v>
      </c>
      <c r="Q2474">
        <v>9</v>
      </c>
      <c r="R2474">
        <v>2004</v>
      </c>
      <c r="S2474" t="s">
        <v>83</v>
      </c>
    </row>
    <row r="2475" spans="1:19" x14ac:dyDescent="0.25">
      <c r="A2475">
        <v>10420</v>
      </c>
      <c r="B2475" t="s">
        <v>295</v>
      </c>
      <c r="C2475" t="s">
        <v>71</v>
      </c>
      <c r="D2475" t="s">
        <v>72</v>
      </c>
      <c r="E2475" t="s">
        <v>49</v>
      </c>
      <c r="F2475" t="s">
        <v>50</v>
      </c>
      <c r="G2475" t="s">
        <v>24</v>
      </c>
      <c r="H2475">
        <v>12</v>
      </c>
      <c r="I2475">
        <v>26</v>
      </c>
      <c r="J2475">
        <v>100</v>
      </c>
      <c r="K2475">
        <v>107</v>
      </c>
      <c r="L2475">
        <v>2617.16</v>
      </c>
      <c r="M2475">
        <v>-164.84</v>
      </c>
      <c r="N2475" s="1">
        <v>38501</v>
      </c>
      <c r="O2475" t="s">
        <v>125</v>
      </c>
      <c r="P2475">
        <v>2</v>
      </c>
      <c r="Q2475">
        <v>5</v>
      </c>
      <c r="R2475">
        <v>2005</v>
      </c>
      <c r="S2475" t="s">
        <v>83</v>
      </c>
    </row>
    <row r="2476" spans="1:19" x14ac:dyDescent="0.25">
      <c r="A2476">
        <v>10155</v>
      </c>
      <c r="B2476" t="s">
        <v>296</v>
      </c>
      <c r="C2476" t="s">
        <v>60</v>
      </c>
      <c r="D2476" t="s">
        <v>61</v>
      </c>
      <c r="E2476" t="s">
        <v>62</v>
      </c>
      <c r="F2476" t="s">
        <v>30</v>
      </c>
      <c r="G2476" t="s">
        <v>24</v>
      </c>
      <c r="H2476">
        <v>12</v>
      </c>
      <c r="I2476">
        <v>37</v>
      </c>
      <c r="J2476">
        <v>67.930000000000007</v>
      </c>
      <c r="K2476">
        <v>83</v>
      </c>
      <c r="L2476">
        <v>2513.41</v>
      </c>
      <c r="M2476">
        <v>-557.59</v>
      </c>
      <c r="N2476" s="1">
        <v>37900</v>
      </c>
      <c r="O2476" t="s">
        <v>25</v>
      </c>
      <c r="P2476">
        <v>4</v>
      </c>
      <c r="Q2476">
        <v>10</v>
      </c>
      <c r="R2476">
        <v>2003</v>
      </c>
      <c r="S2476" t="s">
        <v>226</v>
      </c>
    </row>
    <row r="2477" spans="1:19" x14ac:dyDescent="0.25">
      <c r="A2477">
        <v>10235</v>
      </c>
      <c r="B2477" t="s">
        <v>298</v>
      </c>
      <c r="C2477" t="s">
        <v>154</v>
      </c>
      <c r="D2477" t="s">
        <v>155</v>
      </c>
      <c r="E2477" t="s">
        <v>99</v>
      </c>
      <c r="F2477" t="s">
        <v>23</v>
      </c>
      <c r="G2477" t="s">
        <v>24</v>
      </c>
      <c r="H2477">
        <v>12</v>
      </c>
      <c r="I2477">
        <v>33</v>
      </c>
      <c r="J2477">
        <v>60.05</v>
      </c>
      <c r="K2477">
        <v>68</v>
      </c>
      <c r="L2477">
        <v>1981.65</v>
      </c>
      <c r="M2477">
        <v>-262.35000000000002</v>
      </c>
      <c r="N2477" s="1">
        <v>38079</v>
      </c>
      <c r="O2477" t="s">
        <v>25</v>
      </c>
      <c r="P2477">
        <v>2</v>
      </c>
      <c r="Q2477">
        <v>4</v>
      </c>
      <c r="R2477">
        <v>2004</v>
      </c>
      <c r="S2477" t="s">
        <v>234</v>
      </c>
    </row>
    <row r="2478" spans="1:19" x14ac:dyDescent="0.25">
      <c r="A2478">
        <v>10386</v>
      </c>
      <c r="B2478" t="s">
        <v>298</v>
      </c>
      <c r="C2478" t="s">
        <v>78</v>
      </c>
      <c r="D2478" t="s">
        <v>79</v>
      </c>
      <c r="E2478" t="s">
        <v>80</v>
      </c>
      <c r="F2478" t="s">
        <v>30</v>
      </c>
      <c r="G2478" t="s">
        <v>33</v>
      </c>
      <c r="H2478">
        <v>12</v>
      </c>
      <c r="I2478">
        <v>41</v>
      </c>
      <c r="J2478">
        <v>73.319999999999993</v>
      </c>
      <c r="K2478">
        <v>68</v>
      </c>
      <c r="L2478">
        <v>3006.12</v>
      </c>
      <c r="M2478">
        <v>218.12</v>
      </c>
      <c r="N2478" s="1">
        <v>38412</v>
      </c>
      <c r="O2478" t="s">
        <v>169</v>
      </c>
      <c r="P2478">
        <v>1</v>
      </c>
      <c r="Q2478">
        <v>3</v>
      </c>
      <c r="R2478">
        <v>2005</v>
      </c>
      <c r="S2478" t="s">
        <v>234</v>
      </c>
    </row>
    <row r="2479" spans="1:19" x14ac:dyDescent="0.25">
      <c r="A2479">
        <v>10401</v>
      </c>
      <c r="B2479" t="s">
        <v>298</v>
      </c>
      <c r="C2479" t="s">
        <v>52</v>
      </c>
      <c r="D2479" t="s">
        <v>53</v>
      </c>
      <c r="E2479" t="s">
        <v>22</v>
      </c>
      <c r="F2479" t="s">
        <v>23</v>
      </c>
      <c r="G2479" t="s">
        <v>33</v>
      </c>
      <c r="H2479">
        <v>12</v>
      </c>
      <c r="I2479">
        <v>64</v>
      </c>
      <c r="J2479">
        <v>60.05</v>
      </c>
      <c r="K2479">
        <v>68</v>
      </c>
      <c r="L2479">
        <v>3843.2</v>
      </c>
      <c r="M2479">
        <v>-508.8</v>
      </c>
      <c r="N2479" s="1">
        <v>38445</v>
      </c>
      <c r="O2479" t="s">
        <v>164</v>
      </c>
      <c r="P2479">
        <v>2</v>
      </c>
      <c r="Q2479">
        <v>4</v>
      </c>
      <c r="R2479">
        <v>2005</v>
      </c>
      <c r="S2479" t="s">
        <v>234</v>
      </c>
    </row>
    <row r="2480" spans="1:19" x14ac:dyDescent="0.25">
      <c r="A2480">
        <v>10193</v>
      </c>
      <c r="B2480" t="s">
        <v>299</v>
      </c>
      <c r="C2480" t="s">
        <v>229</v>
      </c>
      <c r="D2480" t="s">
        <v>230</v>
      </c>
      <c r="E2480" t="s">
        <v>49</v>
      </c>
      <c r="F2480" t="s">
        <v>50</v>
      </c>
      <c r="G2480" t="s">
        <v>24</v>
      </c>
      <c r="H2480">
        <v>12</v>
      </c>
      <c r="I2480">
        <v>22</v>
      </c>
      <c r="J2480">
        <v>41.03</v>
      </c>
      <c r="K2480">
        <v>41</v>
      </c>
      <c r="L2480">
        <v>902.66</v>
      </c>
      <c r="M2480">
        <v>0.66</v>
      </c>
      <c r="N2480" s="1">
        <v>37946</v>
      </c>
      <c r="O2480" t="s">
        <v>25</v>
      </c>
      <c r="P2480">
        <v>4</v>
      </c>
      <c r="Q2480">
        <v>11</v>
      </c>
      <c r="R2480">
        <v>2003</v>
      </c>
      <c r="S2480" t="s">
        <v>226</v>
      </c>
    </row>
    <row r="2481" spans="1:19" x14ac:dyDescent="0.25">
      <c r="A2481">
        <v>10380</v>
      </c>
      <c r="B2481" t="s">
        <v>299</v>
      </c>
      <c r="C2481" t="s">
        <v>78</v>
      </c>
      <c r="D2481" t="s">
        <v>79</v>
      </c>
      <c r="E2481" t="s">
        <v>80</v>
      </c>
      <c r="F2481" t="s">
        <v>30</v>
      </c>
      <c r="G2481" t="s">
        <v>33</v>
      </c>
      <c r="H2481">
        <v>12</v>
      </c>
      <c r="I2481">
        <v>43</v>
      </c>
      <c r="J2481">
        <v>95.03</v>
      </c>
      <c r="K2481">
        <v>41</v>
      </c>
      <c r="L2481">
        <v>4086.29</v>
      </c>
      <c r="M2481">
        <v>2323.29</v>
      </c>
      <c r="N2481" s="1">
        <v>38399</v>
      </c>
      <c r="O2481" t="s">
        <v>25</v>
      </c>
      <c r="P2481">
        <v>1</v>
      </c>
      <c r="Q2481">
        <v>2</v>
      </c>
      <c r="R2481">
        <v>2005</v>
      </c>
      <c r="S2481" t="s">
        <v>226</v>
      </c>
    </row>
    <row r="2482" spans="1:19" x14ac:dyDescent="0.25">
      <c r="A2482">
        <v>10183</v>
      </c>
      <c r="B2482" t="s">
        <v>301</v>
      </c>
      <c r="C2482" t="s">
        <v>93</v>
      </c>
      <c r="D2482" t="s">
        <v>94</v>
      </c>
      <c r="E2482" t="s">
        <v>22</v>
      </c>
      <c r="F2482" t="s">
        <v>23</v>
      </c>
      <c r="G2482" t="s">
        <v>33</v>
      </c>
      <c r="H2482">
        <v>12</v>
      </c>
      <c r="I2482">
        <v>47</v>
      </c>
      <c r="J2482">
        <v>100</v>
      </c>
      <c r="K2482">
        <v>97</v>
      </c>
      <c r="L2482">
        <v>5035.1099999999997</v>
      </c>
      <c r="M2482">
        <v>476.11</v>
      </c>
      <c r="N2482" s="1">
        <v>37938</v>
      </c>
      <c r="O2482" t="s">
        <v>25</v>
      </c>
      <c r="P2482">
        <v>4</v>
      </c>
      <c r="Q2482">
        <v>11</v>
      </c>
      <c r="R2482">
        <v>2003</v>
      </c>
      <c r="S2482" t="s">
        <v>226</v>
      </c>
    </row>
    <row r="2483" spans="1:19" x14ac:dyDescent="0.25">
      <c r="A2483">
        <v>10305</v>
      </c>
      <c r="B2483" t="s">
        <v>304</v>
      </c>
      <c r="C2483" t="s">
        <v>58</v>
      </c>
      <c r="D2483" t="s">
        <v>59</v>
      </c>
      <c r="E2483" t="s">
        <v>22</v>
      </c>
      <c r="F2483" t="s">
        <v>23</v>
      </c>
      <c r="G2483" t="s">
        <v>33</v>
      </c>
      <c r="H2483">
        <v>12</v>
      </c>
      <c r="I2483">
        <v>28</v>
      </c>
      <c r="J2483">
        <v>100</v>
      </c>
      <c r="K2483">
        <v>96</v>
      </c>
      <c r="L2483">
        <v>3155.04</v>
      </c>
      <c r="M2483">
        <v>467.04</v>
      </c>
      <c r="N2483" s="1">
        <v>38273</v>
      </c>
      <c r="O2483" t="s">
        <v>25</v>
      </c>
      <c r="P2483">
        <v>4</v>
      </c>
      <c r="Q2483">
        <v>10</v>
      </c>
      <c r="R2483">
        <v>2004</v>
      </c>
      <c r="S2483" t="s">
        <v>202</v>
      </c>
    </row>
    <row r="2484" spans="1:19" x14ac:dyDescent="0.25">
      <c r="A2484">
        <v>10145</v>
      </c>
      <c r="B2484" t="s">
        <v>305</v>
      </c>
      <c r="C2484" t="s">
        <v>34</v>
      </c>
      <c r="D2484" t="s">
        <v>35</v>
      </c>
      <c r="E2484" t="s">
        <v>22</v>
      </c>
      <c r="F2484" t="s">
        <v>23</v>
      </c>
      <c r="G2484" t="s">
        <v>33</v>
      </c>
      <c r="H2484">
        <v>12</v>
      </c>
      <c r="I2484">
        <v>33</v>
      </c>
      <c r="J2484">
        <v>93.9</v>
      </c>
      <c r="K2484">
        <v>99</v>
      </c>
      <c r="L2484">
        <v>3098.7</v>
      </c>
      <c r="M2484">
        <v>-168.3</v>
      </c>
      <c r="N2484" s="1">
        <v>37858</v>
      </c>
      <c r="O2484" t="s">
        <v>25</v>
      </c>
      <c r="P2484">
        <v>3</v>
      </c>
      <c r="Q2484">
        <v>8</v>
      </c>
      <c r="R2484">
        <v>2003</v>
      </c>
      <c r="S2484" t="s">
        <v>26</v>
      </c>
    </row>
    <row r="2485" spans="1:19" x14ac:dyDescent="0.25">
      <c r="A2485">
        <v>10285</v>
      </c>
      <c r="B2485" t="s">
        <v>305</v>
      </c>
      <c r="C2485" t="s">
        <v>58</v>
      </c>
      <c r="D2485" t="s">
        <v>59</v>
      </c>
      <c r="E2485" t="s">
        <v>22</v>
      </c>
      <c r="F2485" t="s">
        <v>23</v>
      </c>
      <c r="G2485" t="s">
        <v>33</v>
      </c>
      <c r="H2485">
        <v>12</v>
      </c>
      <c r="I2485">
        <v>37</v>
      </c>
      <c r="J2485">
        <v>98.89</v>
      </c>
      <c r="K2485">
        <v>99</v>
      </c>
      <c r="L2485">
        <v>3658.93</v>
      </c>
      <c r="M2485">
        <v>-4.07</v>
      </c>
      <c r="N2485" s="1">
        <v>38226</v>
      </c>
      <c r="O2485" t="s">
        <v>25</v>
      </c>
      <c r="P2485">
        <v>3</v>
      </c>
      <c r="Q2485">
        <v>8</v>
      </c>
      <c r="R2485">
        <v>2004</v>
      </c>
      <c r="S2485" t="s">
        <v>26</v>
      </c>
    </row>
    <row r="2486" spans="1:19" x14ac:dyDescent="0.25">
      <c r="A2486">
        <v>10175</v>
      </c>
      <c r="B2486" t="s">
        <v>309</v>
      </c>
      <c r="C2486" t="s">
        <v>138</v>
      </c>
      <c r="D2486" t="s">
        <v>139</v>
      </c>
      <c r="E2486" t="s">
        <v>77</v>
      </c>
      <c r="F2486" t="s">
        <v>30</v>
      </c>
      <c r="G2486" t="s">
        <v>24</v>
      </c>
      <c r="H2486">
        <v>12</v>
      </c>
      <c r="I2486">
        <v>29</v>
      </c>
      <c r="J2486">
        <v>74.98</v>
      </c>
      <c r="K2486">
        <v>64</v>
      </c>
      <c r="L2486">
        <v>2174.42</v>
      </c>
      <c r="M2486">
        <v>318.42</v>
      </c>
      <c r="N2486" s="1">
        <v>37931</v>
      </c>
      <c r="O2486" t="s">
        <v>25</v>
      </c>
      <c r="P2486">
        <v>4</v>
      </c>
      <c r="Q2486">
        <v>11</v>
      </c>
      <c r="R2486">
        <v>2003</v>
      </c>
      <c r="S2486" t="s">
        <v>202</v>
      </c>
    </row>
    <row r="2487" spans="1:19" x14ac:dyDescent="0.25">
      <c r="A2487">
        <v>10229</v>
      </c>
      <c r="B2487" t="s">
        <v>309</v>
      </c>
      <c r="C2487" t="s">
        <v>115</v>
      </c>
      <c r="D2487" t="s">
        <v>116</v>
      </c>
      <c r="E2487" t="s">
        <v>22</v>
      </c>
      <c r="F2487" t="s">
        <v>23</v>
      </c>
      <c r="G2487" t="s">
        <v>24</v>
      </c>
      <c r="H2487">
        <v>12</v>
      </c>
      <c r="I2487">
        <v>30</v>
      </c>
      <c r="J2487">
        <v>73.040000000000006</v>
      </c>
      <c r="K2487">
        <v>64</v>
      </c>
      <c r="L2487">
        <v>2191.1999999999998</v>
      </c>
      <c r="M2487">
        <v>271.2</v>
      </c>
      <c r="N2487" s="1">
        <v>38057</v>
      </c>
      <c r="O2487" t="s">
        <v>25</v>
      </c>
      <c r="P2487">
        <v>1</v>
      </c>
      <c r="Q2487">
        <v>3</v>
      </c>
      <c r="R2487">
        <v>2004</v>
      </c>
      <c r="S2487" t="s">
        <v>202</v>
      </c>
    </row>
    <row r="2488" spans="1:19" x14ac:dyDescent="0.25">
      <c r="A2488">
        <v>10281</v>
      </c>
      <c r="B2488" t="s">
        <v>309</v>
      </c>
      <c r="C2488" t="s">
        <v>65</v>
      </c>
      <c r="D2488" t="s">
        <v>66</v>
      </c>
      <c r="E2488" t="s">
        <v>22</v>
      </c>
      <c r="F2488" t="s">
        <v>23</v>
      </c>
      <c r="G2488" t="s">
        <v>24</v>
      </c>
      <c r="H2488">
        <v>12</v>
      </c>
      <c r="I2488">
        <v>36</v>
      </c>
      <c r="J2488">
        <v>77.569999999999993</v>
      </c>
      <c r="K2488">
        <v>64</v>
      </c>
      <c r="L2488">
        <v>2792.52</v>
      </c>
      <c r="M2488">
        <v>488.52</v>
      </c>
      <c r="N2488" s="1">
        <v>38218</v>
      </c>
      <c r="O2488" t="s">
        <v>25</v>
      </c>
      <c r="P2488">
        <v>3</v>
      </c>
      <c r="Q2488">
        <v>8</v>
      </c>
      <c r="R2488">
        <v>2004</v>
      </c>
      <c r="S2488" t="s">
        <v>202</v>
      </c>
    </row>
    <row r="2489" spans="1:19" x14ac:dyDescent="0.25">
      <c r="A2489">
        <v>10168</v>
      </c>
      <c r="B2489" t="s">
        <v>310</v>
      </c>
      <c r="C2489" t="s">
        <v>38</v>
      </c>
      <c r="D2489" t="s">
        <v>39</v>
      </c>
      <c r="E2489" t="s">
        <v>22</v>
      </c>
      <c r="F2489" t="s">
        <v>23</v>
      </c>
      <c r="G2489" t="s">
        <v>24</v>
      </c>
      <c r="H2489">
        <v>12</v>
      </c>
      <c r="I2489">
        <v>31</v>
      </c>
      <c r="J2489">
        <v>73.61</v>
      </c>
      <c r="K2489">
        <v>68</v>
      </c>
      <c r="L2489">
        <v>2281.91</v>
      </c>
      <c r="M2489">
        <v>173.91</v>
      </c>
      <c r="N2489" s="1">
        <v>37922</v>
      </c>
      <c r="O2489" t="s">
        <v>25</v>
      </c>
      <c r="P2489">
        <v>4</v>
      </c>
      <c r="Q2489">
        <v>10</v>
      </c>
      <c r="R2489">
        <v>2003</v>
      </c>
      <c r="S2489" t="s">
        <v>226</v>
      </c>
    </row>
    <row r="2490" spans="1:19" x14ac:dyDescent="0.25">
      <c r="A2490">
        <v>10223</v>
      </c>
      <c r="B2490" t="s">
        <v>310</v>
      </c>
      <c r="C2490" t="s">
        <v>47</v>
      </c>
      <c r="D2490" t="s">
        <v>48</v>
      </c>
      <c r="E2490" t="s">
        <v>49</v>
      </c>
      <c r="F2490" t="s">
        <v>50</v>
      </c>
      <c r="G2490" t="s">
        <v>24</v>
      </c>
      <c r="H2490">
        <v>12</v>
      </c>
      <c r="I2490">
        <v>20</v>
      </c>
      <c r="J2490">
        <v>66.040000000000006</v>
      </c>
      <c r="K2490">
        <v>68</v>
      </c>
      <c r="L2490">
        <v>1320.8</v>
      </c>
      <c r="M2490">
        <v>-39.200000000000003</v>
      </c>
      <c r="N2490" s="1">
        <v>38037</v>
      </c>
      <c r="O2490" t="s">
        <v>25</v>
      </c>
      <c r="P2490">
        <v>1</v>
      </c>
      <c r="Q2490">
        <v>2</v>
      </c>
      <c r="R2490">
        <v>2004</v>
      </c>
      <c r="S2490" t="s">
        <v>226</v>
      </c>
    </row>
    <row r="2491" spans="1:19" x14ac:dyDescent="0.25">
      <c r="A2491">
        <v>10275</v>
      </c>
      <c r="B2491" t="s">
        <v>310</v>
      </c>
      <c r="C2491" t="s">
        <v>56</v>
      </c>
      <c r="D2491" t="s">
        <v>57</v>
      </c>
      <c r="E2491" t="s">
        <v>29</v>
      </c>
      <c r="F2491" t="s">
        <v>30</v>
      </c>
      <c r="G2491" t="s">
        <v>24</v>
      </c>
      <c r="H2491">
        <v>12</v>
      </c>
      <c r="I2491">
        <v>28</v>
      </c>
      <c r="J2491">
        <v>63.97</v>
      </c>
      <c r="K2491">
        <v>68</v>
      </c>
      <c r="L2491">
        <v>1791.16</v>
      </c>
      <c r="M2491">
        <v>-112.84</v>
      </c>
      <c r="N2491" s="1">
        <v>38191</v>
      </c>
      <c r="O2491" t="s">
        <v>25</v>
      </c>
      <c r="P2491">
        <v>3</v>
      </c>
      <c r="Q2491">
        <v>7</v>
      </c>
      <c r="R2491">
        <v>2004</v>
      </c>
      <c r="S2491" t="s">
        <v>226</v>
      </c>
    </row>
    <row r="2492" spans="1:19" x14ac:dyDescent="0.25">
      <c r="A2492">
        <v>10159</v>
      </c>
      <c r="B2492" t="s">
        <v>311</v>
      </c>
      <c r="C2492" t="s">
        <v>36</v>
      </c>
      <c r="D2492" t="s">
        <v>37</v>
      </c>
      <c r="E2492" t="s">
        <v>22</v>
      </c>
      <c r="F2492" t="s">
        <v>23</v>
      </c>
      <c r="G2492" t="s">
        <v>24</v>
      </c>
      <c r="H2492">
        <v>12</v>
      </c>
      <c r="I2492">
        <v>23</v>
      </c>
      <c r="J2492">
        <v>100</v>
      </c>
      <c r="K2492">
        <v>102</v>
      </c>
      <c r="L2492">
        <v>2347.15</v>
      </c>
      <c r="M2492">
        <v>1.1499999999999999</v>
      </c>
      <c r="N2492" s="1">
        <v>37904</v>
      </c>
      <c r="O2492" t="s">
        <v>25</v>
      </c>
      <c r="P2492">
        <v>4</v>
      </c>
      <c r="Q2492">
        <v>10</v>
      </c>
      <c r="R2492">
        <v>2003</v>
      </c>
      <c r="S2492" t="s">
        <v>26</v>
      </c>
    </row>
    <row r="2493" spans="1:19" x14ac:dyDescent="0.25">
      <c r="A2493">
        <v>10169</v>
      </c>
      <c r="B2493" t="s">
        <v>311</v>
      </c>
      <c r="C2493" t="s">
        <v>121</v>
      </c>
      <c r="D2493" t="s">
        <v>122</v>
      </c>
      <c r="E2493" t="s">
        <v>49</v>
      </c>
      <c r="F2493" t="s">
        <v>50</v>
      </c>
      <c r="G2493" t="s">
        <v>33</v>
      </c>
      <c r="H2493">
        <v>12</v>
      </c>
      <c r="I2493">
        <v>34</v>
      </c>
      <c r="J2493">
        <v>100</v>
      </c>
      <c r="K2493">
        <v>102</v>
      </c>
      <c r="L2493">
        <v>3920.88</v>
      </c>
      <c r="M2493">
        <v>452.88</v>
      </c>
      <c r="N2493" s="1">
        <v>37929</v>
      </c>
      <c r="O2493" t="s">
        <v>25</v>
      </c>
      <c r="P2493">
        <v>4</v>
      </c>
      <c r="Q2493">
        <v>11</v>
      </c>
      <c r="R2493">
        <v>2003</v>
      </c>
      <c r="S2493" t="s">
        <v>26</v>
      </c>
    </row>
    <row r="2494" spans="1:19" x14ac:dyDescent="0.25">
      <c r="A2494">
        <v>10211</v>
      </c>
      <c r="B2494" t="s">
        <v>311</v>
      </c>
      <c r="C2494" t="s">
        <v>46</v>
      </c>
      <c r="D2494" t="s">
        <v>32</v>
      </c>
      <c r="E2494" t="s">
        <v>29</v>
      </c>
      <c r="F2494" t="s">
        <v>30</v>
      </c>
      <c r="G2494" t="s">
        <v>33</v>
      </c>
      <c r="H2494">
        <v>12</v>
      </c>
      <c r="I2494">
        <v>37</v>
      </c>
      <c r="J2494">
        <v>100</v>
      </c>
      <c r="K2494">
        <v>102</v>
      </c>
      <c r="L2494">
        <v>4040.03</v>
      </c>
      <c r="M2494">
        <v>266.02999999999997</v>
      </c>
      <c r="N2494" s="1">
        <v>38001</v>
      </c>
      <c r="O2494" t="s">
        <v>25</v>
      </c>
      <c r="P2494">
        <v>1</v>
      </c>
      <c r="Q2494">
        <v>1</v>
      </c>
      <c r="R2494">
        <v>2004</v>
      </c>
      <c r="S2494" t="s">
        <v>26</v>
      </c>
    </row>
    <row r="2495" spans="1:19" x14ac:dyDescent="0.25">
      <c r="A2495">
        <v>10390</v>
      </c>
      <c r="B2495" t="s">
        <v>311</v>
      </c>
      <c r="C2495" t="s">
        <v>115</v>
      </c>
      <c r="D2495" t="s">
        <v>116</v>
      </c>
      <c r="E2495" t="s">
        <v>22</v>
      </c>
      <c r="F2495" t="s">
        <v>23</v>
      </c>
      <c r="G2495" t="s">
        <v>24</v>
      </c>
      <c r="H2495">
        <v>12</v>
      </c>
      <c r="I2495">
        <v>45</v>
      </c>
      <c r="J2495">
        <v>48.98</v>
      </c>
      <c r="K2495">
        <v>102</v>
      </c>
      <c r="L2495">
        <v>2204.1</v>
      </c>
      <c r="M2495">
        <v>-2385.9</v>
      </c>
      <c r="N2495" s="1">
        <v>38415</v>
      </c>
      <c r="O2495" t="s">
        <v>25</v>
      </c>
      <c r="P2495">
        <v>1</v>
      </c>
      <c r="Q2495">
        <v>3</v>
      </c>
      <c r="R2495">
        <v>2005</v>
      </c>
      <c r="S2495" t="s">
        <v>26</v>
      </c>
    </row>
    <row r="2496" spans="1:19" x14ac:dyDescent="0.25">
      <c r="A2496">
        <v>10120</v>
      </c>
      <c r="B2496" t="s">
        <v>312</v>
      </c>
      <c r="C2496" t="s">
        <v>47</v>
      </c>
      <c r="D2496" t="s">
        <v>48</v>
      </c>
      <c r="E2496" t="s">
        <v>49</v>
      </c>
      <c r="F2496" t="s">
        <v>50</v>
      </c>
      <c r="G2496" t="s">
        <v>24</v>
      </c>
      <c r="H2496">
        <v>12</v>
      </c>
      <c r="I2496">
        <v>49</v>
      </c>
      <c r="J2496">
        <v>50.62</v>
      </c>
      <c r="K2496">
        <v>43</v>
      </c>
      <c r="L2496">
        <v>2480.38</v>
      </c>
      <c r="M2496">
        <v>373.38</v>
      </c>
      <c r="N2496" s="1">
        <v>37740</v>
      </c>
      <c r="O2496" t="s">
        <v>25</v>
      </c>
      <c r="P2496">
        <v>2</v>
      </c>
      <c r="Q2496">
        <v>4</v>
      </c>
      <c r="R2496">
        <v>2003</v>
      </c>
      <c r="S2496" t="s">
        <v>226</v>
      </c>
    </row>
    <row r="2497" spans="1:19" x14ac:dyDescent="0.25">
      <c r="A2497">
        <v>10282</v>
      </c>
      <c r="B2497" t="s">
        <v>313</v>
      </c>
      <c r="C2497" t="s">
        <v>115</v>
      </c>
      <c r="D2497" t="s">
        <v>116</v>
      </c>
      <c r="E2497" t="s">
        <v>22</v>
      </c>
      <c r="F2497" t="s">
        <v>23</v>
      </c>
      <c r="G2497" t="s">
        <v>33</v>
      </c>
      <c r="H2497">
        <v>12</v>
      </c>
      <c r="I2497">
        <v>38</v>
      </c>
      <c r="J2497">
        <v>100</v>
      </c>
      <c r="K2497">
        <v>115</v>
      </c>
      <c r="L2497">
        <v>4310.72</v>
      </c>
      <c r="M2497">
        <v>-59.28</v>
      </c>
      <c r="N2497" s="1">
        <v>38219</v>
      </c>
      <c r="O2497" t="s">
        <v>25</v>
      </c>
      <c r="P2497">
        <v>3</v>
      </c>
      <c r="Q2497">
        <v>8</v>
      </c>
      <c r="R2497">
        <v>2004</v>
      </c>
      <c r="S2497" t="s">
        <v>202</v>
      </c>
    </row>
    <row r="2498" spans="1:19" x14ac:dyDescent="0.25">
      <c r="A2498">
        <v>10314</v>
      </c>
      <c r="B2498" t="s">
        <v>313</v>
      </c>
      <c r="C2498" t="s">
        <v>199</v>
      </c>
      <c r="D2498" t="s">
        <v>200</v>
      </c>
      <c r="E2498" t="s">
        <v>137</v>
      </c>
      <c r="F2498" t="s">
        <v>30</v>
      </c>
      <c r="G2498" t="s">
        <v>33</v>
      </c>
      <c r="H2498">
        <v>12</v>
      </c>
      <c r="I2498">
        <v>28</v>
      </c>
      <c r="J2498">
        <v>100</v>
      </c>
      <c r="K2498">
        <v>115</v>
      </c>
      <c r="L2498">
        <v>3403.12</v>
      </c>
      <c r="M2498">
        <v>183.12</v>
      </c>
      <c r="N2498" s="1">
        <v>38282</v>
      </c>
      <c r="O2498" t="s">
        <v>25</v>
      </c>
      <c r="P2498">
        <v>4</v>
      </c>
      <c r="Q2498">
        <v>10</v>
      </c>
      <c r="R2498">
        <v>2004</v>
      </c>
      <c r="S2498" t="s">
        <v>202</v>
      </c>
    </row>
    <row r="2499" spans="1:19" x14ac:dyDescent="0.25">
      <c r="A2499">
        <v>10167</v>
      </c>
      <c r="B2499" t="s">
        <v>316</v>
      </c>
      <c r="C2499" t="s">
        <v>111</v>
      </c>
      <c r="D2499" t="s">
        <v>112</v>
      </c>
      <c r="E2499" t="s">
        <v>86</v>
      </c>
      <c r="F2499" t="s">
        <v>30</v>
      </c>
      <c r="G2499" t="s">
        <v>33</v>
      </c>
      <c r="H2499">
        <v>12</v>
      </c>
      <c r="I2499">
        <v>43</v>
      </c>
      <c r="J2499">
        <v>75.34</v>
      </c>
      <c r="K2499">
        <v>66</v>
      </c>
      <c r="L2499">
        <v>3239.62</v>
      </c>
      <c r="M2499">
        <v>401.62</v>
      </c>
      <c r="N2499" s="1">
        <v>37917</v>
      </c>
      <c r="O2499" t="s">
        <v>141</v>
      </c>
      <c r="P2499">
        <v>4</v>
      </c>
      <c r="Q2499">
        <v>10</v>
      </c>
      <c r="R2499">
        <v>2003</v>
      </c>
      <c r="S2499" t="s">
        <v>255</v>
      </c>
    </row>
    <row r="2500" spans="1:19" x14ac:dyDescent="0.25">
      <c r="A2500">
        <v>10210</v>
      </c>
      <c r="B2500" t="s">
        <v>317</v>
      </c>
      <c r="C2500" t="s">
        <v>127</v>
      </c>
      <c r="D2500" t="s">
        <v>128</v>
      </c>
      <c r="E2500" t="s">
        <v>107</v>
      </c>
      <c r="F2500" t="s">
        <v>50</v>
      </c>
      <c r="G2500" t="s">
        <v>24</v>
      </c>
      <c r="H2500">
        <v>12</v>
      </c>
      <c r="I2500">
        <v>21</v>
      </c>
      <c r="J2500">
        <v>78.55</v>
      </c>
      <c r="K2500">
        <v>91</v>
      </c>
      <c r="L2500">
        <v>1649.55</v>
      </c>
      <c r="M2500">
        <v>-261.45</v>
      </c>
      <c r="N2500" s="1">
        <v>37998</v>
      </c>
      <c r="O2500" t="s">
        <v>25</v>
      </c>
      <c r="P2500">
        <v>1</v>
      </c>
      <c r="Q2500">
        <v>1</v>
      </c>
      <c r="R2500">
        <v>2004</v>
      </c>
      <c r="S2500" t="s">
        <v>234</v>
      </c>
    </row>
    <row r="2501" spans="1:19" x14ac:dyDescent="0.25">
      <c r="A2501">
        <v>10308</v>
      </c>
      <c r="B2501" t="s">
        <v>317</v>
      </c>
      <c r="C2501" t="s">
        <v>131</v>
      </c>
      <c r="D2501" t="s">
        <v>132</v>
      </c>
      <c r="E2501" t="s">
        <v>22</v>
      </c>
      <c r="F2501" t="s">
        <v>23</v>
      </c>
      <c r="G2501" t="s">
        <v>24</v>
      </c>
      <c r="H2501">
        <v>12</v>
      </c>
      <c r="I2501">
        <v>21</v>
      </c>
      <c r="J2501">
        <v>100</v>
      </c>
      <c r="K2501">
        <v>91</v>
      </c>
      <c r="L2501">
        <v>2224.9499999999998</v>
      </c>
      <c r="M2501">
        <v>313.95</v>
      </c>
      <c r="N2501" s="1">
        <v>38275</v>
      </c>
      <c r="O2501" t="s">
        <v>25</v>
      </c>
      <c r="P2501">
        <v>4</v>
      </c>
      <c r="Q2501">
        <v>10</v>
      </c>
      <c r="R2501">
        <v>2004</v>
      </c>
      <c r="S2501" t="s">
        <v>234</v>
      </c>
    </row>
    <row r="2502" spans="1:19" x14ac:dyDescent="0.25">
      <c r="A2502">
        <v>10105</v>
      </c>
      <c r="B2502" t="s">
        <v>318</v>
      </c>
      <c r="C2502" t="s">
        <v>135</v>
      </c>
      <c r="D2502" t="s">
        <v>136</v>
      </c>
      <c r="E2502" t="s">
        <v>137</v>
      </c>
      <c r="F2502" t="s">
        <v>30</v>
      </c>
      <c r="G2502" t="s">
        <v>24</v>
      </c>
      <c r="H2502">
        <v>12</v>
      </c>
      <c r="I2502">
        <v>29</v>
      </c>
      <c r="J2502">
        <v>70.150000000000006</v>
      </c>
      <c r="K2502">
        <v>86</v>
      </c>
      <c r="L2502">
        <v>2034.35</v>
      </c>
      <c r="M2502">
        <v>-459.65</v>
      </c>
      <c r="N2502" s="1">
        <v>37663</v>
      </c>
      <c r="O2502" t="s">
        <v>25</v>
      </c>
      <c r="P2502">
        <v>1</v>
      </c>
      <c r="Q2502">
        <v>2</v>
      </c>
      <c r="R2502">
        <v>2003</v>
      </c>
      <c r="S2502" t="s">
        <v>255</v>
      </c>
    </row>
    <row r="2503" spans="1:19" x14ac:dyDescent="0.25">
      <c r="A2503">
        <v>10119</v>
      </c>
      <c r="B2503" t="s">
        <v>321</v>
      </c>
      <c r="C2503" t="s">
        <v>67</v>
      </c>
      <c r="D2503" t="s">
        <v>68</v>
      </c>
      <c r="E2503" t="s">
        <v>69</v>
      </c>
      <c r="F2503" t="s">
        <v>30</v>
      </c>
      <c r="G2503" t="s">
        <v>24</v>
      </c>
      <c r="H2503">
        <v>12</v>
      </c>
      <c r="I2503">
        <v>38</v>
      </c>
      <c r="J2503">
        <v>65.77</v>
      </c>
      <c r="K2503">
        <v>72</v>
      </c>
      <c r="L2503">
        <v>2499.2600000000002</v>
      </c>
      <c r="M2503">
        <v>-236.74</v>
      </c>
      <c r="N2503" s="1">
        <v>37739</v>
      </c>
      <c r="O2503" t="s">
        <v>25</v>
      </c>
      <c r="P2503">
        <v>2</v>
      </c>
      <c r="Q2503">
        <v>4</v>
      </c>
      <c r="R2503">
        <v>2003</v>
      </c>
      <c r="S2503" t="s">
        <v>255</v>
      </c>
    </row>
    <row r="2504" spans="1:19" x14ac:dyDescent="0.25">
      <c r="A2504">
        <v>10350</v>
      </c>
      <c r="B2504" t="s">
        <v>321</v>
      </c>
      <c r="C2504" t="s">
        <v>78</v>
      </c>
      <c r="D2504" t="s">
        <v>79</v>
      </c>
      <c r="E2504" t="s">
        <v>80</v>
      </c>
      <c r="F2504" t="s">
        <v>30</v>
      </c>
      <c r="G2504" t="s">
        <v>24</v>
      </c>
      <c r="H2504">
        <v>12</v>
      </c>
      <c r="I2504">
        <v>29</v>
      </c>
      <c r="J2504">
        <v>75.349999999999994</v>
      </c>
      <c r="K2504">
        <v>72</v>
      </c>
      <c r="L2504">
        <v>2185.15</v>
      </c>
      <c r="M2504">
        <v>97.15</v>
      </c>
      <c r="N2504" s="1">
        <v>38323</v>
      </c>
      <c r="O2504" t="s">
        <v>25</v>
      </c>
      <c r="P2504">
        <v>4</v>
      </c>
      <c r="Q2504">
        <v>12</v>
      </c>
      <c r="R2504">
        <v>2004</v>
      </c>
      <c r="S2504" t="s">
        <v>255</v>
      </c>
    </row>
    <row r="2505" spans="1:19" x14ac:dyDescent="0.25">
      <c r="A2505">
        <v>10250</v>
      </c>
      <c r="B2505" t="s">
        <v>327</v>
      </c>
      <c r="C2505" t="s">
        <v>162</v>
      </c>
      <c r="D2505" t="s">
        <v>163</v>
      </c>
      <c r="E2505" t="s">
        <v>22</v>
      </c>
      <c r="F2505" t="s">
        <v>23</v>
      </c>
      <c r="G2505" t="s">
        <v>24</v>
      </c>
      <c r="H2505">
        <v>12</v>
      </c>
      <c r="I2505">
        <v>38</v>
      </c>
      <c r="J2505">
        <v>62.19</v>
      </c>
      <c r="K2505">
        <v>74</v>
      </c>
      <c r="L2505">
        <v>2363.2199999999998</v>
      </c>
      <c r="M2505">
        <v>-448.78</v>
      </c>
      <c r="N2505" s="1">
        <v>38118</v>
      </c>
      <c r="O2505" t="s">
        <v>25</v>
      </c>
      <c r="P2505">
        <v>2</v>
      </c>
      <c r="Q2505">
        <v>5</v>
      </c>
      <c r="R2505">
        <v>2004</v>
      </c>
      <c r="S2505" t="s">
        <v>234</v>
      </c>
    </row>
    <row r="2506" spans="1:19" x14ac:dyDescent="0.25">
      <c r="A2506">
        <v>10328</v>
      </c>
      <c r="B2506" t="s">
        <v>327</v>
      </c>
      <c r="C2506" t="s">
        <v>227</v>
      </c>
      <c r="D2506" t="s">
        <v>228</v>
      </c>
      <c r="E2506" t="s">
        <v>110</v>
      </c>
      <c r="F2506" t="s">
        <v>30</v>
      </c>
      <c r="G2506" t="s">
        <v>33</v>
      </c>
      <c r="H2506">
        <v>12</v>
      </c>
      <c r="I2506">
        <v>39</v>
      </c>
      <c r="J2506">
        <v>85.87</v>
      </c>
      <c r="K2506">
        <v>74</v>
      </c>
      <c r="L2506">
        <v>3348.93</v>
      </c>
      <c r="M2506">
        <v>462.93</v>
      </c>
      <c r="N2506" s="1">
        <v>38303</v>
      </c>
      <c r="O2506" t="s">
        <v>25</v>
      </c>
      <c r="P2506">
        <v>4</v>
      </c>
      <c r="Q2506">
        <v>11</v>
      </c>
      <c r="R2506">
        <v>2004</v>
      </c>
      <c r="S2506" t="s">
        <v>234</v>
      </c>
    </row>
    <row r="2507" spans="1:19" x14ac:dyDescent="0.25">
      <c r="A2507">
        <v>10398</v>
      </c>
      <c r="B2507" t="s">
        <v>327</v>
      </c>
      <c r="C2507" t="s">
        <v>27</v>
      </c>
      <c r="D2507" t="s">
        <v>28</v>
      </c>
      <c r="E2507" t="s">
        <v>29</v>
      </c>
      <c r="F2507" t="s">
        <v>30</v>
      </c>
      <c r="G2507" t="s">
        <v>33</v>
      </c>
      <c r="H2507">
        <v>12</v>
      </c>
      <c r="I2507">
        <v>36</v>
      </c>
      <c r="J2507">
        <v>87.36</v>
      </c>
      <c r="K2507">
        <v>74</v>
      </c>
      <c r="L2507">
        <v>3144.96</v>
      </c>
      <c r="M2507">
        <v>480.96</v>
      </c>
      <c r="N2507" s="1">
        <v>38441</v>
      </c>
      <c r="O2507" t="s">
        <v>25</v>
      </c>
      <c r="P2507">
        <v>1</v>
      </c>
      <c r="Q2507">
        <v>3</v>
      </c>
      <c r="R2507">
        <v>2005</v>
      </c>
      <c r="S2507" t="s">
        <v>234</v>
      </c>
    </row>
    <row r="2508" spans="1:19" x14ac:dyDescent="0.25">
      <c r="A2508">
        <v>10416</v>
      </c>
      <c r="B2508" t="s">
        <v>327</v>
      </c>
      <c r="C2508" t="s">
        <v>184</v>
      </c>
      <c r="D2508" t="s">
        <v>185</v>
      </c>
      <c r="E2508" t="s">
        <v>110</v>
      </c>
      <c r="F2508" t="s">
        <v>30</v>
      </c>
      <c r="G2508" t="s">
        <v>24</v>
      </c>
      <c r="H2508">
        <v>12</v>
      </c>
      <c r="I2508">
        <v>43</v>
      </c>
      <c r="J2508">
        <v>62.19</v>
      </c>
      <c r="K2508">
        <v>74</v>
      </c>
      <c r="L2508">
        <v>2674.17</v>
      </c>
      <c r="M2508">
        <v>-507.83</v>
      </c>
      <c r="N2508" s="1">
        <v>38482</v>
      </c>
      <c r="O2508" t="s">
        <v>25</v>
      </c>
      <c r="P2508">
        <v>2</v>
      </c>
      <c r="Q2508">
        <v>5</v>
      </c>
      <c r="R2508">
        <v>2005</v>
      </c>
      <c r="S2508" t="s">
        <v>234</v>
      </c>
    </row>
    <row r="2509" spans="1:19" x14ac:dyDescent="0.25">
      <c r="A2509">
        <v>10262</v>
      </c>
      <c r="B2509" t="s">
        <v>328</v>
      </c>
      <c r="C2509" t="s">
        <v>78</v>
      </c>
      <c r="D2509" t="s">
        <v>79</v>
      </c>
      <c r="E2509" t="s">
        <v>80</v>
      </c>
      <c r="F2509" t="s">
        <v>30</v>
      </c>
      <c r="G2509" t="s">
        <v>24</v>
      </c>
      <c r="H2509">
        <v>12</v>
      </c>
      <c r="I2509">
        <v>21</v>
      </c>
      <c r="J2509">
        <v>57.11</v>
      </c>
      <c r="K2509">
        <v>49</v>
      </c>
      <c r="L2509">
        <v>1199.31</v>
      </c>
      <c r="M2509">
        <v>170.31</v>
      </c>
      <c r="N2509" s="1">
        <v>38162</v>
      </c>
      <c r="O2509" t="s">
        <v>141</v>
      </c>
      <c r="P2509">
        <v>2</v>
      </c>
      <c r="Q2509">
        <v>6</v>
      </c>
      <c r="R2509">
        <v>2004</v>
      </c>
      <c r="S2509" t="s">
        <v>234</v>
      </c>
    </row>
    <row r="2510" spans="1:19" x14ac:dyDescent="0.25">
      <c r="A2510">
        <v>10316</v>
      </c>
      <c r="B2510" t="s">
        <v>328</v>
      </c>
      <c r="C2510" t="s">
        <v>158</v>
      </c>
      <c r="D2510" t="s">
        <v>159</v>
      </c>
      <c r="E2510" t="s">
        <v>77</v>
      </c>
      <c r="F2510" t="s">
        <v>30</v>
      </c>
      <c r="G2510" t="s">
        <v>24</v>
      </c>
      <c r="H2510">
        <v>12</v>
      </c>
      <c r="I2510">
        <v>34</v>
      </c>
      <c r="J2510">
        <v>43.7</v>
      </c>
      <c r="K2510">
        <v>49</v>
      </c>
      <c r="L2510">
        <v>1485.8</v>
      </c>
      <c r="M2510">
        <v>-180.2</v>
      </c>
      <c r="N2510" s="1">
        <v>38292</v>
      </c>
      <c r="O2510" t="s">
        <v>25</v>
      </c>
      <c r="P2510">
        <v>4</v>
      </c>
      <c r="Q2510">
        <v>11</v>
      </c>
      <c r="R2510">
        <v>2004</v>
      </c>
      <c r="S2510" t="s">
        <v>234</v>
      </c>
    </row>
    <row r="2511" spans="1:19" x14ac:dyDescent="0.25">
      <c r="A2511">
        <v>10361</v>
      </c>
      <c r="B2511" t="s">
        <v>328</v>
      </c>
      <c r="C2511" t="s">
        <v>71</v>
      </c>
      <c r="D2511" t="s">
        <v>72</v>
      </c>
      <c r="E2511" t="s">
        <v>49</v>
      </c>
      <c r="F2511" t="s">
        <v>50</v>
      </c>
      <c r="G2511" t="s">
        <v>24</v>
      </c>
      <c r="H2511">
        <v>12</v>
      </c>
      <c r="I2511">
        <v>23</v>
      </c>
      <c r="J2511">
        <v>95.2</v>
      </c>
      <c r="K2511">
        <v>49</v>
      </c>
      <c r="L2511">
        <v>2189.6</v>
      </c>
      <c r="M2511">
        <v>1062.5999999999999</v>
      </c>
      <c r="N2511" s="1">
        <v>38338</v>
      </c>
      <c r="O2511" t="s">
        <v>25</v>
      </c>
      <c r="P2511">
        <v>4</v>
      </c>
      <c r="Q2511">
        <v>12</v>
      </c>
      <c r="R2511">
        <v>2004</v>
      </c>
      <c r="S2511" t="s">
        <v>234</v>
      </c>
    </row>
    <row r="2512" spans="1:19" x14ac:dyDescent="0.25">
      <c r="A2512">
        <v>10197</v>
      </c>
      <c r="B2512" t="s">
        <v>329</v>
      </c>
      <c r="C2512" t="s">
        <v>145</v>
      </c>
      <c r="D2512" t="s">
        <v>146</v>
      </c>
      <c r="E2512" t="s">
        <v>80</v>
      </c>
      <c r="F2512" t="s">
        <v>30</v>
      </c>
      <c r="G2512" t="s">
        <v>24</v>
      </c>
      <c r="H2512">
        <v>12</v>
      </c>
      <c r="I2512">
        <v>42</v>
      </c>
      <c r="J2512">
        <v>50.23</v>
      </c>
      <c r="K2512">
        <v>54</v>
      </c>
      <c r="L2512">
        <v>2109.66</v>
      </c>
      <c r="M2512">
        <v>-158.34</v>
      </c>
      <c r="N2512" s="1">
        <v>37951</v>
      </c>
      <c r="O2512" t="s">
        <v>25</v>
      </c>
      <c r="P2512">
        <v>4</v>
      </c>
      <c r="Q2512">
        <v>11</v>
      </c>
      <c r="R2512">
        <v>2003</v>
      </c>
      <c r="S2512" t="s">
        <v>255</v>
      </c>
    </row>
    <row r="2513" spans="1:19" x14ac:dyDescent="0.25">
      <c r="A2513">
        <v>10283</v>
      </c>
      <c r="B2513" t="s">
        <v>329</v>
      </c>
      <c r="C2513" t="s">
        <v>154</v>
      </c>
      <c r="D2513" t="s">
        <v>155</v>
      </c>
      <c r="E2513" t="s">
        <v>99</v>
      </c>
      <c r="F2513" t="s">
        <v>23</v>
      </c>
      <c r="G2513" t="s">
        <v>24</v>
      </c>
      <c r="H2513">
        <v>12</v>
      </c>
      <c r="I2513">
        <v>33</v>
      </c>
      <c r="J2513">
        <v>51.32</v>
      </c>
      <c r="K2513">
        <v>54</v>
      </c>
      <c r="L2513">
        <v>1693.56</v>
      </c>
      <c r="M2513">
        <v>-88.44</v>
      </c>
      <c r="N2513" s="1">
        <v>38219</v>
      </c>
      <c r="O2513" t="s">
        <v>25</v>
      </c>
      <c r="P2513">
        <v>3</v>
      </c>
      <c r="Q2513">
        <v>8</v>
      </c>
      <c r="R2513">
        <v>2004</v>
      </c>
      <c r="S2513" t="s">
        <v>255</v>
      </c>
    </row>
    <row r="2514" spans="1:19" x14ac:dyDescent="0.25">
      <c r="A2514">
        <v>10361</v>
      </c>
      <c r="B2514" t="s">
        <v>19</v>
      </c>
      <c r="C2514" t="s">
        <v>71</v>
      </c>
      <c r="D2514" t="s">
        <v>72</v>
      </c>
      <c r="E2514" t="s">
        <v>49</v>
      </c>
      <c r="F2514" t="s">
        <v>50</v>
      </c>
      <c r="G2514" t="s">
        <v>24</v>
      </c>
      <c r="H2514">
        <v>13</v>
      </c>
      <c r="I2514">
        <v>20</v>
      </c>
      <c r="J2514">
        <v>72.55</v>
      </c>
      <c r="K2514">
        <v>95</v>
      </c>
      <c r="L2514">
        <v>1451</v>
      </c>
      <c r="M2514">
        <v>-449</v>
      </c>
      <c r="N2514" s="1">
        <v>38338</v>
      </c>
      <c r="O2514" t="s">
        <v>25</v>
      </c>
      <c r="P2514">
        <v>4</v>
      </c>
      <c r="Q2514">
        <v>12</v>
      </c>
      <c r="R2514">
        <v>2004</v>
      </c>
      <c r="S2514" t="s">
        <v>26</v>
      </c>
    </row>
    <row r="2515" spans="1:19" x14ac:dyDescent="0.25">
      <c r="A2515">
        <v>10155</v>
      </c>
      <c r="B2515" t="s">
        <v>134</v>
      </c>
      <c r="C2515" t="s">
        <v>60</v>
      </c>
      <c r="D2515" t="s">
        <v>61</v>
      </c>
      <c r="E2515" t="s">
        <v>62</v>
      </c>
      <c r="F2515" t="s">
        <v>30</v>
      </c>
      <c r="G2515" t="s">
        <v>33</v>
      </c>
      <c r="H2515">
        <v>13</v>
      </c>
      <c r="I2515">
        <v>32</v>
      </c>
      <c r="J2515">
        <v>100</v>
      </c>
      <c r="K2515">
        <v>136</v>
      </c>
      <c r="L2515">
        <v>4526.08</v>
      </c>
      <c r="M2515">
        <v>174.08</v>
      </c>
      <c r="N2515" s="1">
        <v>37900</v>
      </c>
      <c r="O2515" t="s">
        <v>25</v>
      </c>
      <c r="P2515">
        <v>4</v>
      </c>
      <c r="Q2515">
        <v>10</v>
      </c>
      <c r="R2515">
        <v>2003</v>
      </c>
      <c r="S2515" t="s">
        <v>83</v>
      </c>
    </row>
    <row r="2516" spans="1:19" x14ac:dyDescent="0.25">
      <c r="A2516">
        <v>10305</v>
      </c>
      <c r="B2516" t="s">
        <v>165</v>
      </c>
      <c r="C2516" t="s">
        <v>58</v>
      </c>
      <c r="D2516" t="s">
        <v>59</v>
      </c>
      <c r="E2516" t="s">
        <v>22</v>
      </c>
      <c r="F2516" t="s">
        <v>23</v>
      </c>
      <c r="G2516" t="s">
        <v>33</v>
      </c>
      <c r="H2516">
        <v>13</v>
      </c>
      <c r="I2516">
        <v>38</v>
      </c>
      <c r="J2516">
        <v>100</v>
      </c>
      <c r="K2516">
        <v>147</v>
      </c>
      <c r="L2516">
        <v>6680.78</v>
      </c>
      <c r="M2516">
        <v>1094.78</v>
      </c>
      <c r="N2516" s="1">
        <v>38273</v>
      </c>
      <c r="O2516" t="s">
        <v>25</v>
      </c>
      <c r="P2516">
        <v>4</v>
      </c>
      <c r="Q2516">
        <v>10</v>
      </c>
      <c r="R2516">
        <v>2004</v>
      </c>
      <c r="S2516" t="s">
        <v>83</v>
      </c>
    </row>
    <row r="2517" spans="1:19" x14ac:dyDescent="0.25">
      <c r="A2517">
        <v>10253</v>
      </c>
      <c r="B2517" t="s">
        <v>172</v>
      </c>
      <c r="C2517" t="s">
        <v>75</v>
      </c>
      <c r="D2517" t="s">
        <v>76</v>
      </c>
      <c r="E2517" t="s">
        <v>77</v>
      </c>
      <c r="F2517" t="s">
        <v>30</v>
      </c>
      <c r="G2517" t="s">
        <v>33</v>
      </c>
      <c r="H2517">
        <v>13</v>
      </c>
      <c r="I2517">
        <v>24</v>
      </c>
      <c r="J2517">
        <v>100</v>
      </c>
      <c r="K2517">
        <v>194</v>
      </c>
      <c r="L2517">
        <v>3922.56</v>
      </c>
      <c r="M2517">
        <v>-733.44</v>
      </c>
      <c r="N2517" s="1">
        <v>38139</v>
      </c>
      <c r="O2517" t="s">
        <v>141</v>
      </c>
      <c r="P2517">
        <v>2</v>
      </c>
      <c r="Q2517">
        <v>6</v>
      </c>
      <c r="R2517">
        <v>2004</v>
      </c>
      <c r="S2517" t="s">
        <v>83</v>
      </c>
    </row>
    <row r="2518" spans="1:19" x14ac:dyDescent="0.25">
      <c r="A2518">
        <v>10419</v>
      </c>
      <c r="B2518" t="s">
        <v>172</v>
      </c>
      <c r="C2518" t="s">
        <v>67</v>
      </c>
      <c r="D2518" t="s">
        <v>68</v>
      </c>
      <c r="E2518" t="s">
        <v>69</v>
      </c>
      <c r="F2518" t="s">
        <v>30</v>
      </c>
      <c r="G2518" t="s">
        <v>24</v>
      </c>
      <c r="H2518">
        <v>13</v>
      </c>
      <c r="I2518">
        <v>12</v>
      </c>
      <c r="J2518">
        <v>100</v>
      </c>
      <c r="K2518">
        <v>194</v>
      </c>
      <c r="L2518">
        <v>1961.28</v>
      </c>
      <c r="M2518">
        <v>-366.72</v>
      </c>
      <c r="N2518" s="1">
        <v>38489</v>
      </c>
      <c r="O2518" t="s">
        <v>25</v>
      </c>
      <c r="P2518">
        <v>2</v>
      </c>
      <c r="Q2518">
        <v>5</v>
      </c>
      <c r="R2518">
        <v>2005</v>
      </c>
      <c r="S2518" t="s">
        <v>83</v>
      </c>
    </row>
    <row r="2519" spans="1:19" x14ac:dyDescent="0.25">
      <c r="A2519">
        <v>10185</v>
      </c>
      <c r="B2519" t="s">
        <v>191</v>
      </c>
      <c r="C2519" t="s">
        <v>140</v>
      </c>
      <c r="D2519" t="s">
        <v>74</v>
      </c>
      <c r="E2519" t="s">
        <v>22</v>
      </c>
      <c r="F2519" t="s">
        <v>23</v>
      </c>
      <c r="G2519" t="s">
        <v>33</v>
      </c>
      <c r="H2519">
        <v>13</v>
      </c>
      <c r="I2519">
        <v>21</v>
      </c>
      <c r="J2519">
        <v>100</v>
      </c>
      <c r="K2519">
        <v>207</v>
      </c>
      <c r="L2519">
        <v>3883.74</v>
      </c>
      <c r="M2519">
        <v>-463.26</v>
      </c>
      <c r="N2519" s="1">
        <v>37939</v>
      </c>
      <c r="O2519" t="s">
        <v>25</v>
      </c>
      <c r="P2519">
        <v>4</v>
      </c>
      <c r="Q2519">
        <v>11</v>
      </c>
      <c r="R2519">
        <v>2003</v>
      </c>
      <c r="S2519" t="s">
        <v>83</v>
      </c>
    </row>
    <row r="2520" spans="1:19" x14ac:dyDescent="0.25">
      <c r="A2520">
        <v>10208</v>
      </c>
      <c r="B2520" t="s">
        <v>191</v>
      </c>
      <c r="C2520" t="s">
        <v>95</v>
      </c>
      <c r="D2520" t="s">
        <v>96</v>
      </c>
      <c r="E2520" t="s">
        <v>29</v>
      </c>
      <c r="F2520" t="s">
        <v>30</v>
      </c>
      <c r="G2520" t="s">
        <v>70</v>
      </c>
      <c r="H2520">
        <v>13</v>
      </c>
      <c r="I2520">
        <v>46</v>
      </c>
      <c r="J2520">
        <v>100</v>
      </c>
      <c r="K2520">
        <v>207</v>
      </c>
      <c r="L2520">
        <v>8602.92</v>
      </c>
      <c r="M2520">
        <v>-919.08</v>
      </c>
      <c r="N2520" s="1">
        <v>37988</v>
      </c>
      <c r="O2520" t="s">
        <v>25</v>
      </c>
      <c r="P2520">
        <v>1</v>
      </c>
      <c r="Q2520">
        <v>1</v>
      </c>
      <c r="R2520">
        <v>2004</v>
      </c>
      <c r="S2520" t="s">
        <v>83</v>
      </c>
    </row>
    <row r="2521" spans="1:19" x14ac:dyDescent="0.25">
      <c r="A2521">
        <v>10306</v>
      </c>
      <c r="B2521" t="s">
        <v>191</v>
      </c>
      <c r="C2521" t="s">
        <v>197</v>
      </c>
      <c r="D2521" t="s">
        <v>198</v>
      </c>
      <c r="E2521" t="s">
        <v>77</v>
      </c>
      <c r="F2521" t="s">
        <v>30</v>
      </c>
      <c r="G2521" t="s">
        <v>33</v>
      </c>
      <c r="H2521">
        <v>13</v>
      </c>
      <c r="I2521">
        <v>31</v>
      </c>
      <c r="J2521">
        <v>100</v>
      </c>
      <c r="K2521">
        <v>207</v>
      </c>
      <c r="L2521">
        <v>6570.76</v>
      </c>
      <c r="M2521">
        <v>153.76</v>
      </c>
      <c r="N2521" s="1">
        <v>38274</v>
      </c>
      <c r="O2521" t="s">
        <v>25</v>
      </c>
      <c r="P2521">
        <v>4</v>
      </c>
      <c r="Q2521">
        <v>10</v>
      </c>
      <c r="R2521">
        <v>2004</v>
      </c>
      <c r="S2521" t="s">
        <v>83</v>
      </c>
    </row>
    <row r="2522" spans="1:19" x14ac:dyDescent="0.25">
      <c r="A2522">
        <v>10229</v>
      </c>
      <c r="B2522" t="s">
        <v>201</v>
      </c>
      <c r="C2522" t="s">
        <v>115</v>
      </c>
      <c r="D2522" t="s">
        <v>116</v>
      </c>
      <c r="E2522" t="s">
        <v>22</v>
      </c>
      <c r="F2522" t="s">
        <v>23</v>
      </c>
      <c r="G2522" t="s">
        <v>33</v>
      </c>
      <c r="H2522">
        <v>13</v>
      </c>
      <c r="I2522">
        <v>25</v>
      </c>
      <c r="J2522">
        <v>100</v>
      </c>
      <c r="K2522">
        <v>136</v>
      </c>
      <c r="L2522">
        <v>3451</v>
      </c>
      <c r="M2522">
        <v>51</v>
      </c>
      <c r="N2522" s="1">
        <v>38057</v>
      </c>
      <c r="O2522" t="s">
        <v>25</v>
      </c>
      <c r="P2522">
        <v>1</v>
      </c>
      <c r="Q2522">
        <v>3</v>
      </c>
      <c r="R2522">
        <v>2004</v>
      </c>
      <c r="S2522" t="s">
        <v>202</v>
      </c>
    </row>
    <row r="2523" spans="1:19" x14ac:dyDescent="0.25">
      <c r="A2523">
        <v>10281</v>
      </c>
      <c r="B2523" t="s">
        <v>201</v>
      </c>
      <c r="C2523" t="s">
        <v>65</v>
      </c>
      <c r="D2523" t="s">
        <v>66</v>
      </c>
      <c r="E2523" t="s">
        <v>22</v>
      </c>
      <c r="F2523" t="s">
        <v>23</v>
      </c>
      <c r="G2523" t="s">
        <v>24</v>
      </c>
      <c r="H2523">
        <v>13</v>
      </c>
      <c r="I2523">
        <v>25</v>
      </c>
      <c r="J2523">
        <v>100</v>
      </c>
      <c r="K2523">
        <v>136</v>
      </c>
      <c r="L2523">
        <v>2938.5</v>
      </c>
      <c r="M2523">
        <v>-461.5</v>
      </c>
      <c r="N2523" s="1">
        <v>38218</v>
      </c>
      <c r="O2523" t="s">
        <v>25</v>
      </c>
      <c r="P2523">
        <v>3</v>
      </c>
      <c r="Q2523">
        <v>8</v>
      </c>
      <c r="R2523">
        <v>2004</v>
      </c>
      <c r="S2523" t="s">
        <v>202</v>
      </c>
    </row>
    <row r="2524" spans="1:19" x14ac:dyDescent="0.25">
      <c r="A2524">
        <v>10159</v>
      </c>
      <c r="B2524" t="s">
        <v>203</v>
      </c>
      <c r="C2524" t="s">
        <v>36</v>
      </c>
      <c r="D2524" t="s">
        <v>37</v>
      </c>
      <c r="E2524" t="s">
        <v>22</v>
      </c>
      <c r="F2524" t="s">
        <v>23</v>
      </c>
      <c r="G2524" t="s">
        <v>33</v>
      </c>
      <c r="H2524">
        <v>13</v>
      </c>
      <c r="I2524">
        <v>38</v>
      </c>
      <c r="J2524">
        <v>100</v>
      </c>
      <c r="K2524">
        <v>150</v>
      </c>
      <c r="L2524">
        <v>6238.84</v>
      </c>
      <c r="M2524">
        <v>538.84</v>
      </c>
      <c r="N2524" s="1">
        <v>37904</v>
      </c>
      <c r="O2524" t="s">
        <v>25</v>
      </c>
      <c r="P2524">
        <v>4</v>
      </c>
      <c r="Q2524">
        <v>10</v>
      </c>
      <c r="R2524">
        <v>2003</v>
      </c>
      <c r="S2524" t="s">
        <v>26</v>
      </c>
    </row>
    <row r="2525" spans="1:19" x14ac:dyDescent="0.25">
      <c r="A2525">
        <v>10169</v>
      </c>
      <c r="B2525" t="s">
        <v>203</v>
      </c>
      <c r="C2525" t="s">
        <v>121</v>
      </c>
      <c r="D2525" t="s">
        <v>122</v>
      </c>
      <c r="E2525" t="s">
        <v>49</v>
      </c>
      <c r="F2525" t="s">
        <v>50</v>
      </c>
      <c r="G2525" t="s">
        <v>33</v>
      </c>
      <c r="H2525">
        <v>13</v>
      </c>
      <c r="I2525">
        <v>35</v>
      </c>
      <c r="J2525">
        <v>100</v>
      </c>
      <c r="K2525">
        <v>150</v>
      </c>
      <c r="L2525">
        <v>4639.25</v>
      </c>
      <c r="M2525">
        <v>-610.75</v>
      </c>
      <c r="N2525" s="1">
        <v>37929</v>
      </c>
      <c r="O2525" t="s">
        <v>25</v>
      </c>
      <c r="P2525">
        <v>4</v>
      </c>
      <c r="Q2525">
        <v>11</v>
      </c>
      <c r="R2525">
        <v>2003</v>
      </c>
      <c r="S2525" t="s">
        <v>26</v>
      </c>
    </row>
    <row r="2526" spans="1:19" x14ac:dyDescent="0.25">
      <c r="A2526">
        <v>10211</v>
      </c>
      <c r="B2526" t="s">
        <v>203</v>
      </c>
      <c r="C2526" t="s">
        <v>46</v>
      </c>
      <c r="D2526" t="s">
        <v>32</v>
      </c>
      <c r="E2526" t="s">
        <v>29</v>
      </c>
      <c r="F2526" t="s">
        <v>30</v>
      </c>
      <c r="G2526" t="s">
        <v>33</v>
      </c>
      <c r="H2526">
        <v>13</v>
      </c>
      <c r="I2526">
        <v>36</v>
      </c>
      <c r="J2526">
        <v>100</v>
      </c>
      <c r="K2526">
        <v>150</v>
      </c>
      <c r="L2526">
        <v>4771.8</v>
      </c>
      <c r="M2526">
        <v>-628.20000000000005</v>
      </c>
      <c r="N2526" s="1">
        <v>38001</v>
      </c>
      <c r="O2526" t="s">
        <v>25</v>
      </c>
      <c r="P2526">
        <v>1</v>
      </c>
      <c r="Q2526">
        <v>1</v>
      </c>
      <c r="R2526">
        <v>2004</v>
      </c>
      <c r="S2526" t="s">
        <v>26</v>
      </c>
    </row>
    <row r="2527" spans="1:19" x14ac:dyDescent="0.25">
      <c r="A2527">
        <v>10375</v>
      </c>
      <c r="B2527" t="s">
        <v>203</v>
      </c>
      <c r="C2527" t="s">
        <v>56</v>
      </c>
      <c r="D2527" t="s">
        <v>57</v>
      </c>
      <c r="E2527" t="s">
        <v>29</v>
      </c>
      <c r="F2527" t="s">
        <v>30</v>
      </c>
      <c r="G2527" t="s">
        <v>33</v>
      </c>
      <c r="H2527">
        <v>13</v>
      </c>
      <c r="I2527">
        <v>49</v>
      </c>
      <c r="J2527">
        <v>78.92</v>
      </c>
      <c r="K2527">
        <v>150</v>
      </c>
      <c r="L2527">
        <v>3867.08</v>
      </c>
      <c r="M2527">
        <v>-3482.92</v>
      </c>
      <c r="N2527" s="1">
        <v>38386</v>
      </c>
      <c r="O2527" t="s">
        <v>25</v>
      </c>
      <c r="P2527">
        <v>1</v>
      </c>
      <c r="Q2527">
        <v>2</v>
      </c>
      <c r="R2527">
        <v>2005</v>
      </c>
      <c r="S2527" t="s">
        <v>26</v>
      </c>
    </row>
    <row r="2528" spans="1:19" x14ac:dyDescent="0.25">
      <c r="A2528">
        <v>10142</v>
      </c>
      <c r="B2528" t="s">
        <v>205</v>
      </c>
      <c r="C2528" t="s">
        <v>115</v>
      </c>
      <c r="D2528" t="s">
        <v>116</v>
      </c>
      <c r="E2528" t="s">
        <v>22</v>
      </c>
      <c r="F2528" t="s">
        <v>23</v>
      </c>
      <c r="G2528" t="s">
        <v>33</v>
      </c>
      <c r="H2528">
        <v>13</v>
      </c>
      <c r="I2528">
        <v>33</v>
      </c>
      <c r="J2528">
        <v>100</v>
      </c>
      <c r="K2528">
        <v>151</v>
      </c>
      <c r="L2528">
        <v>4985.6400000000003</v>
      </c>
      <c r="M2528">
        <v>2.64</v>
      </c>
      <c r="N2528" s="1">
        <v>37841</v>
      </c>
      <c r="O2528" t="s">
        <v>25</v>
      </c>
      <c r="P2528">
        <v>3</v>
      </c>
      <c r="Q2528">
        <v>8</v>
      </c>
      <c r="R2528">
        <v>2003</v>
      </c>
      <c r="S2528" t="s">
        <v>83</v>
      </c>
    </row>
    <row r="2529" spans="1:19" x14ac:dyDescent="0.25">
      <c r="A2529">
        <v>10329</v>
      </c>
      <c r="B2529" t="s">
        <v>206</v>
      </c>
      <c r="C2529" t="s">
        <v>20</v>
      </c>
      <c r="D2529" t="s">
        <v>21</v>
      </c>
      <c r="E2529" t="s">
        <v>22</v>
      </c>
      <c r="F2529" t="s">
        <v>23</v>
      </c>
      <c r="G2529" t="s">
        <v>33</v>
      </c>
      <c r="H2529">
        <v>13</v>
      </c>
      <c r="I2529">
        <v>46</v>
      </c>
      <c r="J2529">
        <v>83.63</v>
      </c>
      <c r="K2529">
        <v>117</v>
      </c>
      <c r="L2529">
        <v>3846.98</v>
      </c>
      <c r="M2529">
        <v>-1535.02</v>
      </c>
      <c r="N2529" s="1">
        <v>38306</v>
      </c>
      <c r="O2529" t="s">
        <v>25</v>
      </c>
      <c r="P2529">
        <v>4</v>
      </c>
      <c r="Q2529">
        <v>11</v>
      </c>
      <c r="R2529">
        <v>2004</v>
      </c>
      <c r="S2529" t="s">
        <v>83</v>
      </c>
    </row>
    <row r="2530" spans="1:19" x14ac:dyDescent="0.25">
      <c r="A2530">
        <v>10287</v>
      </c>
      <c r="B2530" t="s">
        <v>210</v>
      </c>
      <c r="C2530" t="s">
        <v>181</v>
      </c>
      <c r="D2530" t="s">
        <v>182</v>
      </c>
      <c r="E2530" t="s">
        <v>183</v>
      </c>
      <c r="F2530" t="s">
        <v>30</v>
      </c>
      <c r="G2530" t="s">
        <v>24</v>
      </c>
      <c r="H2530">
        <v>13</v>
      </c>
      <c r="I2530">
        <v>41</v>
      </c>
      <c r="J2530">
        <v>69.430000000000007</v>
      </c>
      <c r="K2530">
        <v>79</v>
      </c>
      <c r="L2530">
        <v>2846.63</v>
      </c>
      <c r="M2530">
        <v>-392.37</v>
      </c>
      <c r="N2530" s="1">
        <v>38229</v>
      </c>
      <c r="O2530" t="s">
        <v>25</v>
      </c>
      <c r="P2530">
        <v>3</v>
      </c>
      <c r="Q2530">
        <v>8</v>
      </c>
      <c r="R2530">
        <v>2004</v>
      </c>
      <c r="S2530" t="s">
        <v>83</v>
      </c>
    </row>
    <row r="2531" spans="1:19" x14ac:dyDescent="0.25">
      <c r="A2531">
        <v>10382</v>
      </c>
      <c r="B2531" t="s">
        <v>211</v>
      </c>
      <c r="C2531" t="s">
        <v>115</v>
      </c>
      <c r="D2531" t="s">
        <v>116</v>
      </c>
      <c r="E2531" t="s">
        <v>22</v>
      </c>
      <c r="F2531" t="s">
        <v>23</v>
      </c>
      <c r="G2531" t="s">
        <v>24</v>
      </c>
      <c r="H2531">
        <v>13</v>
      </c>
      <c r="I2531">
        <v>32</v>
      </c>
      <c r="J2531">
        <v>66.58</v>
      </c>
      <c r="K2531">
        <v>118</v>
      </c>
      <c r="L2531">
        <v>2130.56</v>
      </c>
      <c r="M2531">
        <v>-1645.44</v>
      </c>
      <c r="N2531" s="1">
        <v>38400</v>
      </c>
      <c r="O2531" t="s">
        <v>25</v>
      </c>
      <c r="P2531">
        <v>1</v>
      </c>
      <c r="Q2531">
        <v>2</v>
      </c>
      <c r="R2531">
        <v>2005</v>
      </c>
      <c r="S2531" t="s">
        <v>202</v>
      </c>
    </row>
    <row r="2532" spans="1:19" x14ac:dyDescent="0.25">
      <c r="A2532">
        <v>10148</v>
      </c>
      <c r="B2532" t="s">
        <v>220</v>
      </c>
      <c r="C2532" t="s">
        <v>121</v>
      </c>
      <c r="D2532" t="s">
        <v>122</v>
      </c>
      <c r="E2532" t="s">
        <v>49</v>
      </c>
      <c r="F2532" t="s">
        <v>50</v>
      </c>
      <c r="G2532" t="s">
        <v>24</v>
      </c>
      <c r="H2532">
        <v>13</v>
      </c>
      <c r="I2532">
        <v>23</v>
      </c>
      <c r="J2532">
        <v>100</v>
      </c>
      <c r="K2532">
        <v>141</v>
      </c>
      <c r="L2532">
        <v>2702.04</v>
      </c>
      <c r="M2532">
        <v>-540.96</v>
      </c>
      <c r="N2532" s="1">
        <v>37875</v>
      </c>
      <c r="O2532" t="s">
        <v>25</v>
      </c>
      <c r="P2532">
        <v>3</v>
      </c>
      <c r="Q2532">
        <v>9</v>
      </c>
      <c r="R2532">
        <v>2003</v>
      </c>
      <c r="S2532" t="s">
        <v>83</v>
      </c>
    </row>
    <row r="2533" spans="1:19" x14ac:dyDescent="0.25">
      <c r="A2533">
        <v>10304</v>
      </c>
      <c r="B2533" t="s">
        <v>225</v>
      </c>
      <c r="C2533" t="s">
        <v>113</v>
      </c>
      <c r="D2533" t="s">
        <v>114</v>
      </c>
      <c r="E2533" t="s">
        <v>29</v>
      </c>
      <c r="F2533" t="s">
        <v>30</v>
      </c>
      <c r="G2533" t="s">
        <v>33</v>
      </c>
      <c r="H2533">
        <v>13</v>
      </c>
      <c r="I2533">
        <v>37</v>
      </c>
      <c r="J2533">
        <v>95.55</v>
      </c>
      <c r="K2533">
        <v>102</v>
      </c>
      <c r="L2533">
        <v>3535.35</v>
      </c>
      <c r="M2533">
        <v>-238.65</v>
      </c>
      <c r="N2533" s="1">
        <v>38271</v>
      </c>
      <c r="O2533" t="s">
        <v>25</v>
      </c>
      <c r="P2533">
        <v>4</v>
      </c>
      <c r="Q2533">
        <v>10</v>
      </c>
      <c r="R2533">
        <v>2004</v>
      </c>
      <c r="S2533" t="s">
        <v>226</v>
      </c>
    </row>
    <row r="2534" spans="1:19" x14ac:dyDescent="0.25">
      <c r="A2534">
        <v>10380</v>
      </c>
      <c r="B2534" t="s">
        <v>225</v>
      </c>
      <c r="C2534" t="s">
        <v>78</v>
      </c>
      <c r="D2534" t="s">
        <v>79</v>
      </c>
      <c r="E2534" t="s">
        <v>80</v>
      </c>
      <c r="F2534" t="s">
        <v>30</v>
      </c>
      <c r="G2534" t="s">
        <v>24</v>
      </c>
      <c r="H2534">
        <v>13</v>
      </c>
      <c r="I2534">
        <v>27</v>
      </c>
      <c r="J2534">
        <v>93.16</v>
      </c>
      <c r="K2534">
        <v>102</v>
      </c>
      <c r="L2534">
        <v>2515.3200000000002</v>
      </c>
      <c r="M2534">
        <v>-238.68</v>
      </c>
      <c r="N2534" s="1">
        <v>38399</v>
      </c>
      <c r="O2534" t="s">
        <v>25</v>
      </c>
      <c r="P2534">
        <v>1</v>
      </c>
      <c r="Q2534">
        <v>2</v>
      </c>
      <c r="R2534">
        <v>2005</v>
      </c>
      <c r="S2534" t="s">
        <v>226</v>
      </c>
    </row>
    <row r="2535" spans="1:19" x14ac:dyDescent="0.25">
      <c r="A2535">
        <v>10204</v>
      </c>
      <c r="B2535" t="s">
        <v>232</v>
      </c>
      <c r="C2535" t="s">
        <v>192</v>
      </c>
      <c r="D2535" t="s">
        <v>21</v>
      </c>
      <c r="E2535" t="s">
        <v>22</v>
      </c>
      <c r="F2535" t="s">
        <v>23</v>
      </c>
      <c r="G2535" t="s">
        <v>33</v>
      </c>
      <c r="H2535">
        <v>13</v>
      </c>
      <c r="I2535">
        <v>40</v>
      </c>
      <c r="J2535">
        <v>100</v>
      </c>
      <c r="K2535">
        <v>124</v>
      </c>
      <c r="L2535">
        <v>4032</v>
      </c>
      <c r="M2535">
        <v>-928</v>
      </c>
      <c r="N2535" s="1">
        <v>37957</v>
      </c>
      <c r="O2535" t="s">
        <v>25</v>
      </c>
      <c r="P2535">
        <v>4</v>
      </c>
      <c r="Q2535">
        <v>12</v>
      </c>
      <c r="R2535">
        <v>2003</v>
      </c>
      <c r="S2535" t="s">
        <v>83</v>
      </c>
    </row>
    <row r="2536" spans="1:19" x14ac:dyDescent="0.25">
      <c r="A2536">
        <v>10173</v>
      </c>
      <c r="B2536" t="s">
        <v>240</v>
      </c>
      <c r="C2536" t="s">
        <v>227</v>
      </c>
      <c r="D2536" t="s">
        <v>228</v>
      </c>
      <c r="E2536" t="s">
        <v>110</v>
      </c>
      <c r="F2536" t="s">
        <v>30</v>
      </c>
      <c r="G2536" t="s">
        <v>33</v>
      </c>
      <c r="H2536">
        <v>13</v>
      </c>
      <c r="I2536">
        <v>24</v>
      </c>
      <c r="J2536">
        <v>100</v>
      </c>
      <c r="K2536">
        <v>170</v>
      </c>
      <c r="L2536">
        <v>3508.8</v>
      </c>
      <c r="M2536">
        <v>-571.20000000000005</v>
      </c>
      <c r="N2536" s="1">
        <v>37930</v>
      </c>
      <c r="O2536" t="s">
        <v>25</v>
      </c>
      <c r="P2536">
        <v>4</v>
      </c>
      <c r="Q2536">
        <v>11</v>
      </c>
      <c r="R2536">
        <v>2003</v>
      </c>
      <c r="S2536" t="s">
        <v>226</v>
      </c>
    </row>
    <row r="2537" spans="1:19" x14ac:dyDescent="0.25">
      <c r="A2537">
        <v>10282</v>
      </c>
      <c r="B2537" t="s">
        <v>243</v>
      </c>
      <c r="C2537" t="s">
        <v>115</v>
      </c>
      <c r="D2537" t="s">
        <v>116</v>
      </c>
      <c r="E2537" t="s">
        <v>22</v>
      </c>
      <c r="F2537" t="s">
        <v>23</v>
      </c>
      <c r="G2537" t="s">
        <v>33</v>
      </c>
      <c r="H2537">
        <v>13</v>
      </c>
      <c r="I2537">
        <v>23</v>
      </c>
      <c r="J2537">
        <v>100</v>
      </c>
      <c r="K2537">
        <v>163</v>
      </c>
      <c r="L2537">
        <v>3238.63</v>
      </c>
      <c r="M2537">
        <v>-510.37</v>
      </c>
      <c r="N2537" s="1">
        <v>38219</v>
      </c>
      <c r="O2537" t="s">
        <v>25</v>
      </c>
      <c r="P2537">
        <v>3</v>
      </c>
      <c r="Q2537">
        <v>8</v>
      </c>
      <c r="R2537">
        <v>2004</v>
      </c>
      <c r="S2537" t="s">
        <v>83</v>
      </c>
    </row>
    <row r="2538" spans="1:19" x14ac:dyDescent="0.25">
      <c r="A2538">
        <v>10314</v>
      </c>
      <c r="B2538" t="s">
        <v>243</v>
      </c>
      <c r="C2538" t="s">
        <v>199</v>
      </c>
      <c r="D2538" t="s">
        <v>200</v>
      </c>
      <c r="E2538" t="s">
        <v>137</v>
      </c>
      <c r="F2538" t="s">
        <v>30</v>
      </c>
      <c r="G2538" t="s">
        <v>33</v>
      </c>
      <c r="H2538">
        <v>13</v>
      </c>
      <c r="I2538">
        <v>42</v>
      </c>
      <c r="J2538">
        <v>100</v>
      </c>
      <c r="K2538">
        <v>163</v>
      </c>
      <c r="L2538">
        <v>5776.26</v>
      </c>
      <c r="M2538">
        <v>-1069.74</v>
      </c>
      <c r="N2538" s="1">
        <v>38282</v>
      </c>
      <c r="O2538" t="s">
        <v>25</v>
      </c>
      <c r="P2538">
        <v>4</v>
      </c>
      <c r="Q2538">
        <v>10</v>
      </c>
      <c r="R2538">
        <v>2004</v>
      </c>
      <c r="S2538" t="s">
        <v>83</v>
      </c>
    </row>
    <row r="2539" spans="1:19" x14ac:dyDescent="0.25">
      <c r="A2539">
        <v>10193</v>
      </c>
      <c r="B2539" t="s">
        <v>244</v>
      </c>
      <c r="C2539" t="s">
        <v>229</v>
      </c>
      <c r="D2539" t="s">
        <v>230</v>
      </c>
      <c r="E2539" t="s">
        <v>49</v>
      </c>
      <c r="F2539" t="s">
        <v>50</v>
      </c>
      <c r="G2539" t="s">
        <v>24</v>
      </c>
      <c r="H2539">
        <v>13</v>
      </c>
      <c r="I2539">
        <v>42</v>
      </c>
      <c r="J2539">
        <v>59.33</v>
      </c>
      <c r="K2539">
        <v>60</v>
      </c>
      <c r="L2539">
        <v>2491.86</v>
      </c>
      <c r="M2539">
        <v>-28.14</v>
      </c>
      <c r="N2539" s="1">
        <v>37946</v>
      </c>
      <c r="O2539" t="s">
        <v>25</v>
      </c>
      <c r="P2539">
        <v>4</v>
      </c>
      <c r="Q2539">
        <v>11</v>
      </c>
      <c r="R2539">
        <v>2003</v>
      </c>
      <c r="S2539" t="s">
        <v>226</v>
      </c>
    </row>
    <row r="2540" spans="1:19" x14ac:dyDescent="0.25">
      <c r="A2540">
        <v>10280</v>
      </c>
      <c r="B2540" t="s">
        <v>246</v>
      </c>
      <c r="C2540" t="s">
        <v>108</v>
      </c>
      <c r="D2540" t="s">
        <v>109</v>
      </c>
      <c r="E2540" t="s">
        <v>110</v>
      </c>
      <c r="F2540" t="s">
        <v>30</v>
      </c>
      <c r="G2540" t="s">
        <v>33</v>
      </c>
      <c r="H2540">
        <v>13</v>
      </c>
      <c r="I2540">
        <v>37</v>
      </c>
      <c r="J2540">
        <v>100</v>
      </c>
      <c r="K2540">
        <v>127</v>
      </c>
      <c r="L2540">
        <v>4750.8</v>
      </c>
      <c r="M2540">
        <v>51.8</v>
      </c>
      <c r="N2540" s="1">
        <v>38216</v>
      </c>
      <c r="O2540" t="s">
        <v>25</v>
      </c>
      <c r="P2540">
        <v>3</v>
      </c>
      <c r="Q2540">
        <v>8</v>
      </c>
      <c r="R2540">
        <v>2004</v>
      </c>
      <c r="S2540" t="s">
        <v>226</v>
      </c>
    </row>
    <row r="2541" spans="1:19" x14ac:dyDescent="0.25">
      <c r="A2541">
        <v>10207</v>
      </c>
      <c r="B2541" t="s">
        <v>247</v>
      </c>
      <c r="C2541" t="s">
        <v>170</v>
      </c>
      <c r="D2541" t="s">
        <v>157</v>
      </c>
      <c r="E2541" t="s">
        <v>22</v>
      </c>
      <c r="F2541" t="s">
        <v>23</v>
      </c>
      <c r="G2541" t="s">
        <v>24</v>
      </c>
      <c r="H2541">
        <v>13</v>
      </c>
      <c r="I2541">
        <v>37</v>
      </c>
      <c r="J2541">
        <v>69.89</v>
      </c>
      <c r="K2541">
        <v>60</v>
      </c>
      <c r="L2541">
        <v>2585.9299999999998</v>
      </c>
      <c r="M2541">
        <v>365.93</v>
      </c>
      <c r="N2541" s="1">
        <v>37964</v>
      </c>
      <c r="O2541" t="s">
        <v>25</v>
      </c>
      <c r="P2541">
        <v>4</v>
      </c>
      <c r="Q2541">
        <v>12</v>
      </c>
      <c r="R2541">
        <v>2003</v>
      </c>
      <c r="S2541" t="s">
        <v>202</v>
      </c>
    </row>
    <row r="2542" spans="1:19" x14ac:dyDescent="0.25">
      <c r="A2542">
        <v>10180</v>
      </c>
      <c r="B2542" t="s">
        <v>249</v>
      </c>
      <c r="C2542" t="s">
        <v>40</v>
      </c>
      <c r="D2542" t="s">
        <v>41</v>
      </c>
      <c r="E2542" t="s">
        <v>29</v>
      </c>
      <c r="F2542" t="s">
        <v>30</v>
      </c>
      <c r="G2542" t="s">
        <v>24</v>
      </c>
      <c r="H2542">
        <v>13</v>
      </c>
      <c r="I2542">
        <v>25</v>
      </c>
      <c r="J2542">
        <v>64.2</v>
      </c>
      <c r="K2542">
        <v>60</v>
      </c>
      <c r="L2542">
        <v>1605</v>
      </c>
      <c r="M2542">
        <v>105</v>
      </c>
      <c r="N2542" s="1">
        <v>37936</v>
      </c>
      <c r="O2542" t="s">
        <v>25</v>
      </c>
      <c r="P2542">
        <v>4</v>
      </c>
      <c r="Q2542">
        <v>11</v>
      </c>
      <c r="R2542">
        <v>2003</v>
      </c>
      <c r="S2542" t="s">
        <v>26</v>
      </c>
    </row>
    <row r="2543" spans="1:19" x14ac:dyDescent="0.25">
      <c r="A2543">
        <v>10322</v>
      </c>
      <c r="B2543" t="s">
        <v>253</v>
      </c>
      <c r="C2543" t="s">
        <v>117</v>
      </c>
      <c r="D2543" t="s">
        <v>118</v>
      </c>
      <c r="E2543" t="s">
        <v>22</v>
      </c>
      <c r="F2543" t="s">
        <v>23</v>
      </c>
      <c r="G2543" t="s">
        <v>24</v>
      </c>
      <c r="H2543">
        <v>13</v>
      </c>
      <c r="I2543">
        <v>41</v>
      </c>
      <c r="J2543">
        <v>29.87</v>
      </c>
      <c r="K2543">
        <v>62</v>
      </c>
      <c r="L2543">
        <v>1224.67</v>
      </c>
      <c r="M2543">
        <v>-1317.33</v>
      </c>
      <c r="N2543" s="1">
        <v>38295</v>
      </c>
      <c r="O2543" t="s">
        <v>25</v>
      </c>
      <c r="P2543">
        <v>4</v>
      </c>
      <c r="Q2543">
        <v>11</v>
      </c>
      <c r="R2543">
        <v>2004</v>
      </c>
      <c r="S2543" t="s">
        <v>226</v>
      </c>
    </row>
    <row r="2544" spans="1:19" x14ac:dyDescent="0.25">
      <c r="A2544">
        <v>10143</v>
      </c>
      <c r="B2544" t="s">
        <v>254</v>
      </c>
      <c r="C2544" t="s">
        <v>140</v>
      </c>
      <c r="D2544" t="s">
        <v>74</v>
      </c>
      <c r="E2544" t="s">
        <v>22</v>
      </c>
      <c r="F2544" t="s">
        <v>23</v>
      </c>
      <c r="G2544" t="s">
        <v>33</v>
      </c>
      <c r="H2544">
        <v>13</v>
      </c>
      <c r="I2544">
        <v>46</v>
      </c>
      <c r="J2544">
        <v>74.84</v>
      </c>
      <c r="K2544">
        <v>86</v>
      </c>
      <c r="L2544">
        <v>3442.64</v>
      </c>
      <c r="M2544">
        <v>-513.36</v>
      </c>
      <c r="N2544" s="1">
        <v>37843</v>
      </c>
      <c r="O2544" t="s">
        <v>25</v>
      </c>
      <c r="P2544">
        <v>3</v>
      </c>
      <c r="Q2544">
        <v>8</v>
      </c>
      <c r="R2544">
        <v>2003</v>
      </c>
      <c r="S2544" t="s">
        <v>255</v>
      </c>
    </row>
    <row r="2545" spans="1:19" x14ac:dyDescent="0.25">
      <c r="A2545">
        <v>10296</v>
      </c>
      <c r="B2545" t="s">
        <v>254</v>
      </c>
      <c r="C2545" t="s">
        <v>236</v>
      </c>
      <c r="D2545" t="s">
        <v>237</v>
      </c>
      <c r="E2545" t="s">
        <v>180</v>
      </c>
      <c r="F2545" t="s">
        <v>30</v>
      </c>
      <c r="G2545" t="s">
        <v>24</v>
      </c>
      <c r="H2545">
        <v>13</v>
      </c>
      <c r="I2545">
        <v>21</v>
      </c>
      <c r="J2545">
        <v>96.34</v>
      </c>
      <c r="K2545">
        <v>86</v>
      </c>
      <c r="L2545">
        <v>2023.14</v>
      </c>
      <c r="M2545">
        <v>217.14</v>
      </c>
      <c r="N2545" s="1">
        <v>38245</v>
      </c>
      <c r="O2545" t="s">
        <v>25</v>
      </c>
      <c r="P2545">
        <v>3</v>
      </c>
      <c r="Q2545">
        <v>9</v>
      </c>
      <c r="R2545">
        <v>2004</v>
      </c>
      <c r="S2545" t="s">
        <v>255</v>
      </c>
    </row>
    <row r="2546" spans="1:19" x14ac:dyDescent="0.25">
      <c r="A2546">
        <v>10103</v>
      </c>
      <c r="B2546" t="s">
        <v>257</v>
      </c>
      <c r="C2546" t="s">
        <v>63</v>
      </c>
      <c r="D2546" t="s">
        <v>64</v>
      </c>
      <c r="E2546" t="s">
        <v>44</v>
      </c>
      <c r="F2546" t="s">
        <v>30</v>
      </c>
      <c r="G2546" t="s">
        <v>24</v>
      </c>
      <c r="H2546">
        <v>13</v>
      </c>
      <c r="I2546">
        <v>25</v>
      </c>
      <c r="J2546">
        <v>100</v>
      </c>
      <c r="K2546">
        <v>104</v>
      </c>
      <c r="L2546">
        <v>2539.5</v>
      </c>
      <c r="M2546">
        <v>-60.5</v>
      </c>
      <c r="N2546" s="1">
        <v>37650</v>
      </c>
      <c r="O2546" t="s">
        <v>25</v>
      </c>
      <c r="P2546">
        <v>1</v>
      </c>
      <c r="Q2546">
        <v>1</v>
      </c>
      <c r="R2546">
        <v>2003</v>
      </c>
      <c r="S2546" t="s">
        <v>226</v>
      </c>
    </row>
    <row r="2547" spans="1:19" x14ac:dyDescent="0.25">
      <c r="A2547">
        <v>10126</v>
      </c>
      <c r="B2547" t="s">
        <v>257</v>
      </c>
      <c r="C2547" t="s">
        <v>87</v>
      </c>
      <c r="D2547" t="s">
        <v>79</v>
      </c>
      <c r="E2547" t="s">
        <v>80</v>
      </c>
      <c r="F2547" t="s">
        <v>30</v>
      </c>
      <c r="G2547" t="s">
        <v>24</v>
      </c>
      <c r="H2547">
        <v>13</v>
      </c>
      <c r="I2547">
        <v>30</v>
      </c>
      <c r="J2547">
        <v>97.39</v>
      </c>
      <c r="K2547">
        <v>104</v>
      </c>
      <c r="L2547">
        <v>2921.7</v>
      </c>
      <c r="M2547">
        <v>-198.3</v>
      </c>
      <c r="N2547" s="1">
        <v>37769</v>
      </c>
      <c r="O2547" t="s">
        <v>25</v>
      </c>
      <c r="P2547">
        <v>2</v>
      </c>
      <c r="Q2547">
        <v>5</v>
      </c>
      <c r="R2547">
        <v>2003</v>
      </c>
      <c r="S2547" t="s">
        <v>226</v>
      </c>
    </row>
    <row r="2548" spans="1:19" x14ac:dyDescent="0.25">
      <c r="A2548">
        <v>10291</v>
      </c>
      <c r="B2548" t="s">
        <v>257</v>
      </c>
      <c r="C2548" t="s">
        <v>111</v>
      </c>
      <c r="D2548" t="s">
        <v>112</v>
      </c>
      <c r="E2548" t="s">
        <v>86</v>
      </c>
      <c r="F2548" t="s">
        <v>30</v>
      </c>
      <c r="G2548" t="s">
        <v>24</v>
      </c>
      <c r="H2548">
        <v>13</v>
      </c>
      <c r="I2548">
        <v>23</v>
      </c>
      <c r="J2548">
        <v>100</v>
      </c>
      <c r="K2548">
        <v>104</v>
      </c>
      <c r="L2548">
        <v>2866.26</v>
      </c>
      <c r="M2548">
        <v>474.26</v>
      </c>
      <c r="N2548" s="1">
        <v>38238</v>
      </c>
      <c r="O2548" t="s">
        <v>25</v>
      </c>
      <c r="P2548">
        <v>3</v>
      </c>
      <c r="Q2548">
        <v>9</v>
      </c>
      <c r="R2548">
        <v>2004</v>
      </c>
      <c r="S2548" t="s">
        <v>226</v>
      </c>
    </row>
    <row r="2549" spans="1:19" x14ac:dyDescent="0.25">
      <c r="A2549">
        <v>10273</v>
      </c>
      <c r="B2549" t="s">
        <v>258</v>
      </c>
      <c r="C2549" t="s">
        <v>151</v>
      </c>
      <c r="D2549" t="s">
        <v>152</v>
      </c>
      <c r="E2549" t="s">
        <v>153</v>
      </c>
      <c r="F2549" t="s">
        <v>30</v>
      </c>
      <c r="G2549" t="s">
        <v>33</v>
      </c>
      <c r="H2549">
        <v>13</v>
      </c>
      <c r="I2549">
        <v>40</v>
      </c>
      <c r="J2549">
        <v>100</v>
      </c>
      <c r="K2549">
        <v>136</v>
      </c>
      <c r="L2549">
        <v>5026.3999999999996</v>
      </c>
      <c r="M2549">
        <v>-413.6</v>
      </c>
      <c r="N2549" s="1">
        <v>38189</v>
      </c>
      <c r="O2549" t="s">
        <v>25</v>
      </c>
      <c r="P2549">
        <v>3</v>
      </c>
      <c r="Q2549">
        <v>7</v>
      </c>
      <c r="R2549">
        <v>2004</v>
      </c>
      <c r="S2549" t="s">
        <v>226</v>
      </c>
    </row>
    <row r="2550" spans="1:19" x14ac:dyDescent="0.25">
      <c r="A2550">
        <v>10104</v>
      </c>
      <c r="B2550" t="s">
        <v>259</v>
      </c>
      <c r="C2550" t="s">
        <v>78</v>
      </c>
      <c r="D2550" t="s">
        <v>79</v>
      </c>
      <c r="E2550" t="s">
        <v>80</v>
      </c>
      <c r="F2550" t="s">
        <v>30</v>
      </c>
      <c r="G2550" t="s">
        <v>33</v>
      </c>
      <c r="H2550">
        <v>13</v>
      </c>
      <c r="I2550">
        <v>23</v>
      </c>
      <c r="J2550">
        <v>100</v>
      </c>
      <c r="K2550">
        <v>169</v>
      </c>
      <c r="L2550">
        <v>4556.99</v>
      </c>
      <c r="M2550">
        <v>669.99</v>
      </c>
      <c r="N2550" s="1">
        <v>37652</v>
      </c>
      <c r="O2550" t="s">
        <v>25</v>
      </c>
      <c r="P2550">
        <v>1</v>
      </c>
      <c r="Q2550">
        <v>1</v>
      </c>
      <c r="R2550">
        <v>2003</v>
      </c>
      <c r="S2550" t="s">
        <v>83</v>
      </c>
    </row>
    <row r="2551" spans="1:19" x14ac:dyDescent="0.25">
      <c r="A2551">
        <v>10105</v>
      </c>
      <c r="B2551" t="s">
        <v>260</v>
      </c>
      <c r="C2551" t="s">
        <v>135</v>
      </c>
      <c r="D2551" t="s">
        <v>136</v>
      </c>
      <c r="E2551" t="s">
        <v>137</v>
      </c>
      <c r="F2551" t="s">
        <v>30</v>
      </c>
      <c r="G2551" t="s">
        <v>33</v>
      </c>
      <c r="H2551">
        <v>13</v>
      </c>
      <c r="I2551">
        <v>38</v>
      </c>
      <c r="J2551">
        <v>100</v>
      </c>
      <c r="K2551">
        <v>100</v>
      </c>
      <c r="L2551">
        <v>4330.1000000000004</v>
      </c>
      <c r="M2551">
        <v>530.1</v>
      </c>
      <c r="N2551" s="1">
        <v>37663</v>
      </c>
      <c r="O2551" t="s">
        <v>25</v>
      </c>
      <c r="P2551">
        <v>1</v>
      </c>
      <c r="Q2551">
        <v>2</v>
      </c>
      <c r="R2551">
        <v>2003</v>
      </c>
      <c r="S2551" t="s">
        <v>261</v>
      </c>
    </row>
    <row r="2552" spans="1:19" x14ac:dyDescent="0.25">
      <c r="A2552">
        <v>10122</v>
      </c>
      <c r="B2552" t="s">
        <v>262</v>
      </c>
      <c r="C2552" t="s">
        <v>176</v>
      </c>
      <c r="D2552" t="s">
        <v>177</v>
      </c>
      <c r="E2552" t="s">
        <v>29</v>
      </c>
      <c r="F2552" t="s">
        <v>30</v>
      </c>
      <c r="G2552" t="s">
        <v>24</v>
      </c>
      <c r="H2552">
        <v>13</v>
      </c>
      <c r="I2552">
        <v>21</v>
      </c>
      <c r="J2552">
        <v>73.17</v>
      </c>
      <c r="K2552">
        <v>80</v>
      </c>
      <c r="L2552">
        <v>1536.57</v>
      </c>
      <c r="M2552">
        <v>-143.43</v>
      </c>
      <c r="N2552" s="1">
        <v>37749</v>
      </c>
      <c r="O2552" t="s">
        <v>25</v>
      </c>
      <c r="P2552">
        <v>2</v>
      </c>
      <c r="Q2552">
        <v>5</v>
      </c>
      <c r="R2552">
        <v>2003</v>
      </c>
      <c r="S2552" t="s">
        <v>83</v>
      </c>
    </row>
    <row r="2553" spans="1:19" x14ac:dyDescent="0.25">
      <c r="A2553">
        <v>10310</v>
      </c>
      <c r="B2553" t="s">
        <v>262</v>
      </c>
      <c r="C2553" t="s">
        <v>178</v>
      </c>
      <c r="D2553" t="s">
        <v>179</v>
      </c>
      <c r="E2553" t="s">
        <v>180</v>
      </c>
      <c r="F2553" t="s">
        <v>30</v>
      </c>
      <c r="G2553" t="s">
        <v>24</v>
      </c>
      <c r="H2553">
        <v>13</v>
      </c>
      <c r="I2553">
        <v>27</v>
      </c>
      <c r="J2553">
        <v>80.41</v>
      </c>
      <c r="K2553">
        <v>80</v>
      </c>
      <c r="L2553">
        <v>2171.0700000000002</v>
      </c>
      <c r="M2553">
        <v>11.07</v>
      </c>
      <c r="N2553" s="1">
        <v>38276</v>
      </c>
      <c r="O2553" t="s">
        <v>25</v>
      </c>
      <c r="P2553">
        <v>4</v>
      </c>
      <c r="Q2553">
        <v>10</v>
      </c>
      <c r="R2553">
        <v>2004</v>
      </c>
      <c r="S2553" t="s">
        <v>83</v>
      </c>
    </row>
    <row r="2554" spans="1:19" x14ac:dyDescent="0.25">
      <c r="A2554">
        <v>10135</v>
      </c>
      <c r="B2554" t="s">
        <v>266</v>
      </c>
      <c r="C2554" t="s">
        <v>115</v>
      </c>
      <c r="D2554" t="s">
        <v>116</v>
      </c>
      <c r="E2554" t="s">
        <v>22</v>
      </c>
      <c r="F2554" t="s">
        <v>23</v>
      </c>
      <c r="G2554" t="s">
        <v>24</v>
      </c>
      <c r="H2554">
        <v>13</v>
      </c>
      <c r="I2554">
        <v>45</v>
      </c>
      <c r="J2554">
        <v>50.36</v>
      </c>
      <c r="K2554">
        <v>62</v>
      </c>
      <c r="L2554">
        <v>2266.1999999999998</v>
      </c>
      <c r="M2554">
        <v>-523.79999999999995</v>
      </c>
      <c r="N2554" s="1">
        <v>37804</v>
      </c>
      <c r="O2554" t="s">
        <v>25</v>
      </c>
      <c r="P2554">
        <v>3</v>
      </c>
      <c r="Q2554">
        <v>7</v>
      </c>
      <c r="R2554">
        <v>2003</v>
      </c>
      <c r="S2554" t="s">
        <v>26</v>
      </c>
    </row>
    <row r="2555" spans="1:19" x14ac:dyDescent="0.25">
      <c r="A2555">
        <v>10324</v>
      </c>
      <c r="B2555" t="s">
        <v>268</v>
      </c>
      <c r="C2555" t="s">
        <v>51</v>
      </c>
      <c r="D2555" t="s">
        <v>21</v>
      </c>
      <c r="E2555" t="s">
        <v>22</v>
      </c>
      <c r="F2555" t="s">
        <v>23</v>
      </c>
      <c r="G2555" t="s">
        <v>33</v>
      </c>
      <c r="H2555">
        <v>13</v>
      </c>
      <c r="I2555">
        <v>49</v>
      </c>
      <c r="J2555">
        <v>100</v>
      </c>
      <c r="K2555">
        <v>143</v>
      </c>
      <c r="L2555">
        <v>5379.71</v>
      </c>
      <c r="M2555">
        <v>-1627.29</v>
      </c>
      <c r="N2555" s="1">
        <v>38296</v>
      </c>
      <c r="O2555" t="s">
        <v>25</v>
      </c>
      <c r="P2555">
        <v>4</v>
      </c>
      <c r="Q2555">
        <v>11</v>
      </c>
      <c r="R2555">
        <v>2004</v>
      </c>
      <c r="S2555" t="s">
        <v>83</v>
      </c>
    </row>
    <row r="2556" spans="1:19" x14ac:dyDescent="0.25">
      <c r="A2556">
        <v>10358</v>
      </c>
      <c r="B2556" t="s">
        <v>268</v>
      </c>
      <c r="C2556" t="s">
        <v>78</v>
      </c>
      <c r="D2556" t="s">
        <v>79</v>
      </c>
      <c r="E2556" t="s">
        <v>80</v>
      </c>
      <c r="F2556" t="s">
        <v>30</v>
      </c>
      <c r="G2556" t="s">
        <v>24</v>
      </c>
      <c r="H2556">
        <v>13</v>
      </c>
      <c r="I2556">
        <v>25</v>
      </c>
      <c r="J2556">
        <v>100</v>
      </c>
      <c r="K2556">
        <v>143</v>
      </c>
      <c r="L2556">
        <v>2528.25</v>
      </c>
      <c r="M2556">
        <v>-1046.75</v>
      </c>
      <c r="N2556" s="1">
        <v>38331</v>
      </c>
      <c r="O2556" t="s">
        <v>25</v>
      </c>
      <c r="P2556">
        <v>4</v>
      </c>
      <c r="Q2556">
        <v>12</v>
      </c>
      <c r="R2556">
        <v>2004</v>
      </c>
      <c r="S2556" t="s">
        <v>83</v>
      </c>
    </row>
    <row r="2557" spans="1:19" x14ac:dyDescent="0.25">
      <c r="A2557">
        <v>10259</v>
      </c>
      <c r="B2557" t="s">
        <v>271</v>
      </c>
      <c r="C2557" t="s">
        <v>171</v>
      </c>
      <c r="D2557" t="s">
        <v>89</v>
      </c>
      <c r="E2557" t="s">
        <v>89</v>
      </c>
      <c r="F2557" t="s">
        <v>50</v>
      </c>
      <c r="G2557" t="s">
        <v>33</v>
      </c>
      <c r="H2557">
        <v>13</v>
      </c>
      <c r="I2557">
        <v>41</v>
      </c>
      <c r="J2557">
        <v>100</v>
      </c>
      <c r="K2557">
        <v>121</v>
      </c>
      <c r="L2557">
        <v>4666.62</v>
      </c>
      <c r="M2557">
        <v>-294.38</v>
      </c>
      <c r="N2557" s="1">
        <v>38153</v>
      </c>
      <c r="O2557" t="s">
        <v>25</v>
      </c>
      <c r="P2557">
        <v>2</v>
      </c>
      <c r="Q2557">
        <v>6</v>
      </c>
      <c r="R2557">
        <v>2004</v>
      </c>
      <c r="S2557" t="s">
        <v>202</v>
      </c>
    </row>
    <row r="2558" spans="1:19" x14ac:dyDescent="0.25">
      <c r="A2558">
        <v>10425</v>
      </c>
      <c r="B2558" t="s">
        <v>271</v>
      </c>
      <c r="C2558" t="s">
        <v>56</v>
      </c>
      <c r="D2558" t="s">
        <v>57</v>
      </c>
      <c r="E2558" t="s">
        <v>29</v>
      </c>
      <c r="F2558" t="s">
        <v>30</v>
      </c>
      <c r="G2558" t="s">
        <v>33</v>
      </c>
      <c r="H2558">
        <v>13</v>
      </c>
      <c r="I2558">
        <v>38</v>
      </c>
      <c r="J2558">
        <v>100</v>
      </c>
      <c r="K2558">
        <v>121</v>
      </c>
      <c r="L2558">
        <v>4325.16</v>
      </c>
      <c r="M2558">
        <v>-272.83999999999997</v>
      </c>
      <c r="N2558" s="1">
        <v>38503</v>
      </c>
      <c r="O2558" t="s">
        <v>125</v>
      </c>
      <c r="P2558">
        <v>2</v>
      </c>
      <c r="Q2558">
        <v>5</v>
      </c>
      <c r="R2558">
        <v>2005</v>
      </c>
      <c r="S2558" t="s">
        <v>202</v>
      </c>
    </row>
    <row r="2559" spans="1:19" x14ac:dyDescent="0.25">
      <c r="A2559">
        <v>10363</v>
      </c>
      <c r="B2559" t="s">
        <v>273</v>
      </c>
      <c r="C2559" t="s">
        <v>189</v>
      </c>
      <c r="D2559" t="s">
        <v>190</v>
      </c>
      <c r="E2559" t="s">
        <v>62</v>
      </c>
      <c r="F2559" t="s">
        <v>30</v>
      </c>
      <c r="G2559" t="s">
        <v>24</v>
      </c>
      <c r="H2559">
        <v>13</v>
      </c>
      <c r="I2559">
        <v>28</v>
      </c>
      <c r="J2559">
        <v>58.18</v>
      </c>
      <c r="K2559">
        <v>148</v>
      </c>
      <c r="L2559">
        <v>1629.04</v>
      </c>
      <c r="M2559">
        <v>-2514.96</v>
      </c>
      <c r="N2559" s="1">
        <v>38358</v>
      </c>
      <c r="O2559" t="s">
        <v>25</v>
      </c>
      <c r="P2559">
        <v>1</v>
      </c>
      <c r="Q2559">
        <v>1</v>
      </c>
      <c r="R2559">
        <v>2005</v>
      </c>
      <c r="S2559" t="s">
        <v>83</v>
      </c>
    </row>
    <row r="2560" spans="1:19" x14ac:dyDescent="0.25">
      <c r="A2560">
        <v>10110</v>
      </c>
      <c r="B2560" t="s">
        <v>275</v>
      </c>
      <c r="C2560" t="s">
        <v>197</v>
      </c>
      <c r="D2560" t="s">
        <v>198</v>
      </c>
      <c r="E2560" t="s">
        <v>77</v>
      </c>
      <c r="F2560" t="s">
        <v>30</v>
      </c>
      <c r="G2560" t="s">
        <v>33</v>
      </c>
      <c r="H2560">
        <v>13</v>
      </c>
      <c r="I2560">
        <v>36</v>
      </c>
      <c r="J2560">
        <v>85.25</v>
      </c>
      <c r="K2560">
        <v>73</v>
      </c>
      <c r="L2560">
        <v>3069</v>
      </c>
      <c r="M2560">
        <v>441</v>
      </c>
      <c r="N2560" s="1">
        <v>37698</v>
      </c>
      <c r="O2560" t="s">
        <v>25</v>
      </c>
      <c r="P2560">
        <v>1</v>
      </c>
      <c r="Q2560">
        <v>3</v>
      </c>
      <c r="R2560">
        <v>2003</v>
      </c>
      <c r="S2560" t="s">
        <v>83</v>
      </c>
    </row>
    <row r="2561" spans="1:19" x14ac:dyDescent="0.25">
      <c r="A2561">
        <v>10288</v>
      </c>
      <c r="B2561" t="s">
        <v>278</v>
      </c>
      <c r="C2561" t="s">
        <v>171</v>
      </c>
      <c r="D2561" t="s">
        <v>89</v>
      </c>
      <c r="E2561" t="s">
        <v>89</v>
      </c>
      <c r="F2561" t="s">
        <v>50</v>
      </c>
      <c r="G2561" t="s">
        <v>24</v>
      </c>
      <c r="H2561">
        <v>13</v>
      </c>
      <c r="I2561">
        <v>50</v>
      </c>
      <c r="J2561">
        <v>52.32</v>
      </c>
      <c r="K2561">
        <v>50</v>
      </c>
      <c r="L2561">
        <v>2616</v>
      </c>
      <c r="M2561">
        <v>116</v>
      </c>
      <c r="N2561" s="1">
        <v>38231</v>
      </c>
      <c r="O2561" t="s">
        <v>25</v>
      </c>
      <c r="P2561">
        <v>3</v>
      </c>
      <c r="Q2561">
        <v>9</v>
      </c>
      <c r="R2561">
        <v>2004</v>
      </c>
      <c r="S2561" t="s">
        <v>83</v>
      </c>
    </row>
    <row r="2562" spans="1:19" x14ac:dyDescent="0.25">
      <c r="A2562">
        <v>10420</v>
      </c>
      <c r="B2562" t="s">
        <v>278</v>
      </c>
      <c r="C2562" t="s">
        <v>71</v>
      </c>
      <c r="D2562" t="s">
        <v>72</v>
      </c>
      <c r="E2562" t="s">
        <v>49</v>
      </c>
      <c r="F2562" t="s">
        <v>50</v>
      </c>
      <c r="G2562" t="s">
        <v>24</v>
      </c>
      <c r="H2562">
        <v>13</v>
      </c>
      <c r="I2562">
        <v>37</v>
      </c>
      <c r="J2562">
        <v>60.37</v>
      </c>
      <c r="K2562">
        <v>50</v>
      </c>
      <c r="L2562">
        <v>2233.69</v>
      </c>
      <c r="M2562">
        <v>383.69</v>
      </c>
      <c r="N2562" s="1">
        <v>38501</v>
      </c>
      <c r="O2562" t="s">
        <v>125</v>
      </c>
      <c r="P2562">
        <v>2</v>
      </c>
      <c r="Q2562">
        <v>5</v>
      </c>
      <c r="R2562">
        <v>2005</v>
      </c>
      <c r="S2562" t="s">
        <v>83</v>
      </c>
    </row>
    <row r="2563" spans="1:19" x14ac:dyDescent="0.25">
      <c r="A2563">
        <v>10312</v>
      </c>
      <c r="B2563" t="s">
        <v>280</v>
      </c>
      <c r="C2563" t="s">
        <v>115</v>
      </c>
      <c r="D2563" t="s">
        <v>116</v>
      </c>
      <c r="E2563" t="s">
        <v>22</v>
      </c>
      <c r="F2563" t="s">
        <v>23</v>
      </c>
      <c r="G2563" t="s">
        <v>24</v>
      </c>
      <c r="H2563">
        <v>13</v>
      </c>
      <c r="I2563">
        <v>39</v>
      </c>
      <c r="J2563">
        <v>29.54</v>
      </c>
      <c r="K2563">
        <v>33</v>
      </c>
      <c r="L2563">
        <v>1152.06</v>
      </c>
      <c r="M2563">
        <v>-134.94</v>
      </c>
      <c r="N2563" s="1">
        <v>38281</v>
      </c>
      <c r="O2563" t="s">
        <v>25</v>
      </c>
      <c r="P2563">
        <v>4</v>
      </c>
      <c r="Q2563">
        <v>10</v>
      </c>
      <c r="R2563">
        <v>2004</v>
      </c>
      <c r="S2563" t="s">
        <v>226</v>
      </c>
    </row>
    <row r="2564" spans="1:19" x14ac:dyDescent="0.25">
      <c r="A2564">
        <v>10367</v>
      </c>
      <c r="B2564" t="s">
        <v>280</v>
      </c>
      <c r="C2564" t="s">
        <v>34</v>
      </c>
      <c r="D2564" t="s">
        <v>35</v>
      </c>
      <c r="E2564" t="s">
        <v>22</v>
      </c>
      <c r="F2564" t="s">
        <v>23</v>
      </c>
      <c r="G2564" t="s">
        <v>24</v>
      </c>
      <c r="H2564">
        <v>13</v>
      </c>
      <c r="I2564">
        <v>23</v>
      </c>
      <c r="J2564">
        <v>36.29</v>
      </c>
      <c r="K2564">
        <v>33</v>
      </c>
      <c r="L2564">
        <v>834.67</v>
      </c>
      <c r="M2564">
        <v>75.67</v>
      </c>
      <c r="N2564" s="1">
        <v>38364</v>
      </c>
      <c r="O2564" t="s">
        <v>169</v>
      </c>
      <c r="P2564">
        <v>1</v>
      </c>
      <c r="Q2564">
        <v>1</v>
      </c>
      <c r="R2564">
        <v>2005</v>
      </c>
      <c r="S2564" t="s">
        <v>226</v>
      </c>
    </row>
    <row r="2565" spans="1:19" x14ac:dyDescent="0.25">
      <c r="A2565">
        <v>10197</v>
      </c>
      <c r="B2565" t="s">
        <v>282</v>
      </c>
      <c r="C2565" t="s">
        <v>145</v>
      </c>
      <c r="D2565" t="s">
        <v>146</v>
      </c>
      <c r="E2565" t="s">
        <v>80</v>
      </c>
      <c r="F2565" t="s">
        <v>30</v>
      </c>
      <c r="G2565" t="s">
        <v>33</v>
      </c>
      <c r="H2565">
        <v>13</v>
      </c>
      <c r="I2565">
        <v>41</v>
      </c>
      <c r="J2565">
        <v>100</v>
      </c>
      <c r="K2565">
        <v>122</v>
      </c>
      <c r="L2565">
        <v>4534.6000000000004</v>
      </c>
      <c r="M2565">
        <v>-467.4</v>
      </c>
      <c r="N2565" s="1">
        <v>37951</v>
      </c>
      <c r="O2565" t="s">
        <v>25</v>
      </c>
      <c r="P2565">
        <v>4</v>
      </c>
      <c r="Q2565">
        <v>11</v>
      </c>
      <c r="R2565">
        <v>2003</v>
      </c>
      <c r="S2565" t="s">
        <v>255</v>
      </c>
    </row>
    <row r="2566" spans="1:19" x14ac:dyDescent="0.25">
      <c r="A2566">
        <v>10283</v>
      </c>
      <c r="B2566" t="s">
        <v>282</v>
      </c>
      <c r="C2566" t="s">
        <v>154</v>
      </c>
      <c r="D2566" t="s">
        <v>155</v>
      </c>
      <c r="E2566" t="s">
        <v>99</v>
      </c>
      <c r="F2566" t="s">
        <v>23</v>
      </c>
      <c r="G2566" t="s">
        <v>33</v>
      </c>
      <c r="H2566">
        <v>13</v>
      </c>
      <c r="I2566">
        <v>42</v>
      </c>
      <c r="J2566">
        <v>100</v>
      </c>
      <c r="K2566">
        <v>122</v>
      </c>
      <c r="L2566">
        <v>5316.36</v>
      </c>
      <c r="M2566">
        <v>192.36</v>
      </c>
      <c r="N2566" s="1">
        <v>38219</v>
      </c>
      <c r="O2566" t="s">
        <v>25</v>
      </c>
      <c r="P2566">
        <v>3</v>
      </c>
      <c r="Q2566">
        <v>8</v>
      </c>
      <c r="R2566">
        <v>2004</v>
      </c>
      <c r="S2566" t="s">
        <v>255</v>
      </c>
    </row>
    <row r="2567" spans="1:19" x14ac:dyDescent="0.25">
      <c r="A2567">
        <v>10165</v>
      </c>
      <c r="B2567" t="s">
        <v>287</v>
      </c>
      <c r="C2567" t="s">
        <v>88</v>
      </c>
      <c r="D2567" t="s">
        <v>89</v>
      </c>
      <c r="E2567" t="s">
        <v>89</v>
      </c>
      <c r="F2567" t="s">
        <v>50</v>
      </c>
      <c r="G2567" t="s">
        <v>24</v>
      </c>
      <c r="H2567">
        <v>13</v>
      </c>
      <c r="I2567">
        <v>27</v>
      </c>
      <c r="J2567">
        <v>31.82</v>
      </c>
      <c r="K2567">
        <v>35</v>
      </c>
      <c r="L2567">
        <v>859.14</v>
      </c>
      <c r="M2567">
        <v>-85.86</v>
      </c>
      <c r="N2567" s="1">
        <v>37916</v>
      </c>
      <c r="O2567" t="s">
        <v>25</v>
      </c>
      <c r="P2567">
        <v>4</v>
      </c>
      <c r="Q2567">
        <v>10</v>
      </c>
      <c r="R2567">
        <v>2003</v>
      </c>
      <c r="S2567" t="s">
        <v>83</v>
      </c>
    </row>
    <row r="2568" spans="1:19" x14ac:dyDescent="0.25">
      <c r="A2568">
        <v>10106</v>
      </c>
      <c r="B2568" t="s">
        <v>288</v>
      </c>
      <c r="C2568" t="s">
        <v>227</v>
      </c>
      <c r="D2568" t="s">
        <v>228</v>
      </c>
      <c r="E2568" t="s">
        <v>110</v>
      </c>
      <c r="F2568" t="s">
        <v>30</v>
      </c>
      <c r="G2568" t="s">
        <v>33</v>
      </c>
      <c r="H2568">
        <v>13</v>
      </c>
      <c r="I2568">
        <v>49</v>
      </c>
      <c r="J2568">
        <v>74.680000000000007</v>
      </c>
      <c r="K2568">
        <v>68</v>
      </c>
      <c r="L2568">
        <v>3659.32</v>
      </c>
      <c r="M2568">
        <v>327.32</v>
      </c>
      <c r="N2568" s="1">
        <v>37669</v>
      </c>
      <c r="O2568" t="s">
        <v>25</v>
      </c>
      <c r="P2568">
        <v>1</v>
      </c>
      <c r="Q2568">
        <v>2</v>
      </c>
      <c r="R2568">
        <v>2003</v>
      </c>
      <c r="S2568" t="s">
        <v>234</v>
      </c>
    </row>
    <row r="2569" spans="1:19" x14ac:dyDescent="0.25">
      <c r="A2569">
        <v>10182</v>
      </c>
      <c r="B2569" t="s">
        <v>289</v>
      </c>
      <c r="C2569" t="s">
        <v>115</v>
      </c>
      <c r="D2569" t="s">
        <v>116</v>
      </c>
      <c r="E2569" t="s">
        <v>22</v>
      </c>
      <c r="F2569" t="s">
        <v>23</v>
      </c>
      <c r="G2569" t="s">
        <v>24</v>
      </c>
      <c r="H2569">
        <v>13</v>
      </c>
      <c r="I2569">
        <v>20</v>
      </c>
      <c r="J2569">
        <v>100</v>
      </c>
      <c r="K2569">
        <v>117</v>
      </c>
      <c r="L2569">
        <v>2395.8000000000002</v>
      </c>
      <c r="M2569">
        <v>55.8</v>
      </c>
      <c r="N2569" s="1">
        <v>37937</v>
      </c>
      <c r="O2569" t="s">
        <v>25</v>
      </c>
      <c r="P2569">
        <v>4</v>
      </c>
      <c r="Q2569">
        <v>11</v>
      </c>
      <c r="R2569">
        <v>2003</v>
      </c>
      <c r="S2569" t="s">
        <v>83</v>
      </c>
    </row>
    <row r="2570" spans="1:19" x14ac:dyDescent="0.25">
      <c r="A2570">
        <v>10227</v>
      </c>
      <c r="B2570" t="s">
        <v>289</v>
      </c>
      <c r="C2570" t="s">
        <v>95</v>
      </c>
      <c r="D2570" t="s">
        <v>96</v>
      </c>
      <c r="E2570" t="s">
        <v>29</v>
      </c>
      <c r="F2570" t="s">
        <v>30</v>
      </c>
      <c r="G2570" t="s">
        <v>33</v>
      </c>
      <c r="H2570">
        <v>13</v>
      </c>
      <c r="I2570">
        <v>33</v>
      </c>
      <c r="J2570">
        <v>100</v>
      </c>
      <c r="K2570">
        <v>117</v>
      </c>
      <c r="L2570">
        <v>4340.49</v>
      </c>
      <c r="M2570">
        <v>479.49</v>
      </c>
      <c r="N2570" s="1">
        <v>38048</v>
      </c>
      <c r="O2570" t="s">
        <v>25</v>
      </c>
      <c r="P2570">
        <v>1</v>
      </c>
      <c r="Q2570">
        <v>3</v>
      </c>
      <c r="R2570">
        <v>2004</v>
      </c>
      <c r="S2570" t="s">
        <v>83</v>
      </c>
    </row>
    <row r="2571" spans="1:19" x14ac:dyDescent="0.25">
      <c r="A2571">
        <v>10192</v>
      </c>
      <c r="B2571" t="s">
        <v>290</v>
      </c>
      <c r="C2571" t="s">
        <v>117</v>
      </c>
      <c r="D2571" t="s">
        <v>118</v>
      </c>
      <c r="E2571" t="s">
        <v>22</v>
      </c>
      <c r="F2571" t="s">
        <v>23</v>
      </c>
      <c r="G2571" t="s">
        <v>24</v>
      </c>
      <c r="H2571">
        <v>13</v>
      </c>
      <c r="I2571">
        <v>30</v>
      </c>
      <c r="J2571">
        <v>30.59</v>
      </c>
      <c r="K2571">
        <v>37</v>
      </c>
      <c r="L2571">
        <v>917.7</v>
      </c>
      <c r="M2571">
        <v>-192.3</v>
      </c>
      <c r="N2571" s="1">
        <v>37945</v>
      </c>
      <c r="O2571" t="s">
        <v>25</v>
      </c>
      <c r="P2571">
        <v>4</v>
      </c>
      <c r="Q2571">
        <v>11</v>
      </c>
      <c r="R2571">
        <v>2003</v>
      </c>
      <c r="S2571" t="s">
        <v>83</v>
      </c>
    </row>
    <row r="2572" spans="1:19" x14ac:dyDescent="0.25">
      <c r="A2572">
        <v>10331</v>
      </c>
      <c r="B2572" t="s">
        <v>290</v>
      </c>
      <c r="C2572" t="s">
        <v>129</v>
      </c>
      <c r="D2572" t="s">
        <v>94</v>
      </c>
      <c r="E2572" t="s">
        <v>22</v>
      </c>
      <c r="F2572" t="s">
        <v>23</v>
      </c>
      <c r="G2572" t="s">
        <v>24</v>
      </c>
      <c r="H2572">
        <v>13</v>
      </c>
      <c r="I2572">
        <v>27</v>
      </c>
      <c r="J2572">
        <v>42.24</v>
      </c>
      <c r="K2572">
        <v>37</v>
      </c>
      <c r="L2572">
        <v>1140.48</v>
      </c>
      <c r="M2572">
        <v>141.47999999999999</v>
      </c>
      <c r="N2572" s="1">
        <v>38308</v>
      </c>
      <c r="O2572" t="s">
        <v>25</v>
      </c>
      <c r="P2572">
        <v>4</v>
      </c>
      <c r="Q2572">
        <v>11</v>
      </c>
      <c r="R2572">
        <v>2004</v>
      </c>
      <c r="S2572" t="s">
        <v>83</v>
      </c>
    </row>
    <row r="2573" spans="1:19" x14ac:dyDescent="0.25">
      <c r="A2573">
        <v>10119</v>
      </c>
      <c r="B2573" t="s">
        <v>291</v>
      </c>
      <c r="C2573" t="s">
        <v>67</v>
      </c>
      <c r="D2573" t="s">
        <v>68</v>
      </c>
      <c r="E2573" t="s">
        <v>69</v>
      </c>
      <c r="F2573" t="s">
        <v>30</v>
      </c>
      <c r="G2573" t="s">
        <v>33</v>
      </c>
      <c r="H2573">
        <v>13</v>
      </c>
      <c r="I2573">
        <v>35</v>
      </c>
      <c r="J2573">
        <v>87.62</v>
      </c>
      <c r="K2573">
        <v>88</v>
      </c>
      <c r="L2573">
        <v>3066.7</v>
      </c>
      <c r="M2573">
        <v>-13.3</v>
      </c>
      <c r="N2573" s="1">
        <v>37739</v>
      </c>
      <c r="O2573" t="s">
        <v>25</v>
      </c>
      <c r="P2573">
        <v>2</v>
      </c>
      <c r="Q2573">
        <v>4</v>
      </c>
      <c r="R2573">
        <v>2003</v>
      </c>
      <c r="S2573" t="s">
        <v>226</v>
      </c>
    </row>
    <row r="2574" spans="1:19" x14ac:dyDescent="0.25">
      <c r="A2574">
        <v>10339</v>
      </c>
      <c r="B2574" t="s">
        <v>291</v>
      </c>
      <c r="C2574" t="s">
        <v>105</v>
      </c>
      <c r="D2574" t="s">
        <v>106</v>
      </c>
      <c r="E2574" t="s">
        <v>107</v>
      </c>
      <c r="F2574" t="s">
        <v>50</v>
      </c>
      <c r="G2574" t="s">
        <v>70</v>
      </c>
      <c r="H2574">
        <v>13</v>
      </c>
      <c r="I2574">
        <v>55</v>
      </c>
      <c r="J2574">
        <v>100</v>
      </c>
      <c r="K2574">
        <v>88</v>
      </c>
      <c r="L2574">
        <v>10758</v>
      </c>
      <c r="M2574">
        <v>5918</v>
      </c>
      <c r="N2574" s="1">
        <v>38314</v>
      </c>
      <c r="O2574" t="s">
        <v>25</v>
      </c>
      <c r="P2574">
        <v>4</v>
      </c>
      <c r="Q2574">
        <v>11</v>
      </c>
      <c r="R2574">
        <v>2004</v>
      </c>
      <c r="S2574" t="s">
        <v>226</v>
      </c>
    </row>
    <row r="2575" spans="1:19" x14ac:dyDescent="0.25">
      <c r="A2575">
        <v>10181</v>
      </c>
      <c r="B2575" t="s">
        <v>293</v>
      </c>
      <c r="C2575" t="s">
        <v>42</v>
      </c>
      <c r="D2575" t="s">
        <v>43</v>
      </c>
      <c r="E2575" t="s">
        <v>44</v>
      </c>
      <c r="F2575" t="s">
        <v>30</v>
      </c>
      <c r="G2575" t="s">
        <v>24</v>
      </c>
      <c r="H2575">
        <v>13</v>
      </c>
      <c r="I2575">
        <v>23</v>
      </c>
      <c r="J2575">
        <v>65.52</v>
      </c>
      <c r="K2575">
        <v>61</v>
      </c>
      <c r="L2575">
        <v>1506.96</v>
      </c>
      <c r="M2575">
        <v>103.96</v>
      </c>
      <c r="N2575" s="1">
        <v>37937</v>
      </c>
      <c r="O2575" t="s">
        <v>25</v>
      </c>
      <c r="P2575">
        <v>4</v>
      </c>
      <c r="Q2575">
        <v>11</v>
      </c>
      <c r="R2575">
        <v>2003</v>
      </c>
      <c r="S2575" t="s">
        <v>83</v>
      </c>
    </row>
    <row r="2576" spans="1:19" x14ac:dyDescent="0.25">
      <c r="A2576">
        <v>10266</v>
      </c>
      <c r="B2576" t="s">
        <v>293</v>
      </c>
      <c r="C2576" t="s">
        <v>184</v>
      </c>
      <c r="D2576" t="s">
        <v>185</v>
      </c>
      <c r="E2576" t="s">
        <v>110</v>
      </c>
      <c r="F2576" t="s">
        <v>30</v>
      </c>
      <c r="G2576" t="s">
        <v>24</v>
      </c>
      <c r="H2576">
        <v>13</v>
      </c>
      <c r="I2576">
        <v>47</v>
      </c>
      <c r="J2576">
        <v>62.45</v>
      </c>
      <c r="K2576">
        <v>61</v>
      </c>
      <c r="L2576">
        <v>2935.15</v>
      </c>
      <c r="M2576">
        <v>68.150000000000006</v>
      </c>
      <c r="N2576" s="1">
        <v>38174</v>
      </c>
      <c r="O2576" t="s">
        <v>25</v>
      </c>
      <c r="P2576">
        <v>3</v>
      </c>
      <c r="Q2576">
        <v>7</v>
      </c>
      <c r="R2576">
        <v>2004</v>
      </c>
      <c r="S2576" t="s">
        <v>83</v>
      </c>
    </row>
    <row r="2577" spans="1:19" x14ac:dyDescent="0.25">
      <c r="A2577">
        <v>10284</v>
      </c>
      <c r="B2577" t="s">
        <v>294</v>
      </c>
      <c r="C2577" t="s">
        <v>223</v>
      </c>
      <c r="D2577" t="s">
        <v>224</v>
      </c>
      <c r="E2577" t="s">
        <v>44</v>
      </c>
      <c r="F2577" t="s">
        <v>30</v>
      </c>
      <c r="G2577" t="s">
        <v>24</v>
      </c>
      <c r="H2577">
        <v>13</v>
      </c>
      <c r="I2577">
        <v>39</v>
      </c>
      <c r="J2577">
        <v>71.67</v>
      </c>
      <c r="K2577">
        <v>65</v>
      </c>
      <c r="L2577">
        <v>2795.13</v>
      </c>
      <c r="M2577">
        <v>260.13</v>
      </c>
      <c r="N2577" s="1">
        <v>38220</v>
      </c>
      <c r="O2577" t="s">
        <v>25</v>
      </c>
      <c r="P2577">
        <v>3</v>
      </c>
      <c r="Q2577">
        <v>8</v>
      </c>
      <c r="R2577">
        <v>2004</v>
      </c>
      <c r="S2577" t="s">
        <v>226</v>
      </c>
    </row>
    <row r="2578" spans="1:19" x14ac:dyDescent="0.25">
      <c r="A2578">
        <v>10398</v>
      </c>
      <c r="B2578" t="s">
        <v>294</v>
      </c>
      <c r="C2578" t="s">
        <v>27</v>
      </c>
      <c r="D2578" t="s">
        <v>28</v>
      </c>
      <c r="E2578" t="s">
        <v>29</v>
      </c>
      <c r="F2578" t="s">
        <v>30</v>
      </c>
      <c r="G2578" t="s">
        <v>24</v>
      </c>
      <c r="H2578">
        <v>13</v>
      </c>
      <c r="I2578">
        <v>34</v>
      </c>
      <c r="J2578">
        <v>71.67</v>
      </c>
      <c r="K2578">
        <v>65</v>
      </c>
      <c r="L2578">
        <v>2436.7800000000002</v>
      </c>
      <c r="M2578">
        <v>226.78</v>
      </c>
      <c r="N2578" s="1">
        <v>38441</v>
      </c>
      <c r="O2578" t="s">
        <v>25</v>
      </c>
      <c r="P2578">
        <v>1</v>
      </c>
      <c r="Q2578">
        <v>3</v>
      </c>
      <c r="R2578">
        <v>2005</v>
      </c>
      <c r="S2578" t="s">
        <v>226</v>
      </c>
    </row>
    <row r="2579" spans="1:19" x14ac:dyDescent="0.25">
      <c r="A2579">
        <v>10124</v>
      </c>
      <c r="B2579" t="s">
        <v>295</v>
      </c>
      <c r="C2579" t="s">
        <v>221</v>
      </c>
      <c r="D2579" t="s">
        <v>222</v>
      </c>
      <c r="E2579" t="s">
        <v>22</v>
      </c>
      <c r="F2579" t="s">
        <v>23</v>
      </c>
      <c r="G2579" t="s">
        <v>33</v>
      </c>
      <c r="H2579">
        <v>13</v>
      </c>
      <c r="I2579">
        <v>43</v>
      </c>
      <c r="J2579">
        <v>100</v>
      </c>
      <c r="K2579">
        <v>107</v>
      </c>
      <c r="L2579">
        <v>5203</v>
      </c>
      <c r="M2579">
        <v>602</v>
      </c>
      <c r="N2579" s="1">
        <v>37762</v>
      </c>
      <c r="O2579" t="s">
        <v>25</v>
      </c>
      <c r="P2579">
        <v>2</v>
      </c>
      <c r="Q2579">
        <v>5</v>
      </c>
      <c r="R2579">
        <v>2003</v>
      </c>
      <c r="S2579" t="s">
        <v>83</v>
      </c>
    </row>
    <row r="2580" spans="1:19" x14ac:dyDescent="0.25">
      <c r="A2580">
        <v>10332</v>
      </c>
      <c r="B2580" t="s">
        <v>295</v>
      </c>
      <c r="C2580" t="s">
        <v>197</v>
      </c>
      <c r="D2580" t="s">
        <v>198</v>
      </c>
      <c r="E2580" t="s">
        <v>77</v>
      </c>
      <c r="F2580" t="s">
        <v>30</v>
      </c>
      <c r="G2580" t="s">
        <v>24</v>
      </c>
      <c r="H2580">
        <v>13</v>
      </c>
      <c r="I2580">
        <v>31</v>
      </c>
      <c r="J2580">
        <v>37.18</v>
      </c>
      <c r="K2580">
        <v>107</v>
      </c>
      <c r="L2580">
        <v>1152.58</v>
      </c>
      <c r="M2580">
        <v>-2164.42</v>
      </c>
      <c r="N2580" s="1">
        <v>38308</v>
      </c>
      <c r="O2580" t="s">
        <v>25</v>
      </c>
      <c r="P2580">
        <v>4</v>
      </c>
      <c r="Q2580">
        <v>11</v>
      </c>
      <c r="R2580">
        <v>2004</v>
      </c>
      <c r="S2580" t="s">
        <v>83</v>
      </c>
    </row>
    <row r="2581" spans="1:19" x14ac:dyDescent="0.25">
      <c r="A2581">
        <v>10212</v>
      </c>
      <c r="B2581" t="s">
        <v>297</v>
      </c>
      <c r="C2581" t="s">
        <v>78</v>
      </c>
      <c r="D2581" t="s">
        <v>79</v>
      </c>
      <c r="E2581" t="s">
        <v>80</v>
      </c>
      <c r="F2581" t="s">
        <v>30</v>
      </c>
      <c r="G2581" t="s">
        <v>33</v>
      </c>
      <c r="H2581">
        <v>13</v>
      </c>
      <c r="I2581">
        <v>49</v>
      </c>
      <c r="J2581">
        <v>100</v>
      </c>
      <c r="K2581">
        <v>140</v>
      </c>
      <c r="L2581">
        <v>6949.67</v>
      </c>
      <c r="M2581">
        <v>89.67</v>
      </c>
      <c r="N2581" s="1">
        <v>38002</v>
      </c>
      <c r="O2581" t="s">
        <v>25</v>
      </c>
      <c r="P2581">
        <v>1</v>
      </c>
      <c r="Q2581">
        <v>1</v>
      </c>
      <c r="R2581">
        <v>2004</v>
      </c>
      <c r="S2581" t="s">
        <v>83</v>
      </c>
    </row>
    <row r="2582" spans="1:19" x14ac:dyDescent="0.25">
      <c r="A2582">
        <v>10321</v>
      </c>
      <c r="B2582" t="s">
        <v>297</v>
      </c>
      <c r="C2582" t="s">
        <v>73</v>
      </c>
      <c r="D2582" t="s">
        <v>74</v>
      </c>
      <c r="E2582" t="s">
        <v>22</v>
      </c>
      <c r="F2582" t="s">
        <v>23</v>
      </c>
      <c r="G2582" t="s">
        <v>33</v>
      </c>
      <c r="H2582">
        <v>13</v>
      </c>
      <c r="I2582">
        <v>26</v>
      </c>
      <c r="J2582">
        <v>100</v>
      </c>
      <c r="K2582">
        <v>140</v>
      </c>
      <c r="L2582">
        <v>4052.88</v>
      </c>
      <c r="M2582">
        <v>412.88</v>
      </c>
      <c r="N2582" s="1">
        <v>38295</v>
      </c>
      <c r="O2582" t="s">
        <v>25</v>
      </c>
      <c r="P2582">
        <v>4</v>
      </c>
      <c r="Q2582">
        <v>11</v>
      </c>
      <c r="R2582">
        <v>2004</v>
      </c>
      <c r="S2582" t="s">
        <v>83</v>
      </c>
    </row>
    <row r="2583" spans="1:19" x14ac:dyDescent="0.25">
      <c r="A2583">
        <v>10250</v>
      </c>
      <c r="B2583" t="s">
        <v>298</v>
      </c>
      <c r="C2583" t="s">
        <v>162</v>
      </c>
      <c r="D2583" t="s">
        <v>163</v>
      </c>
      <c r="E2583" t="s">
        <v>22</v>
      </c>
      <c r="F2583" t="s">
        <v>23</v>
      </c>
      <c r="G2583" t="s">
        <v>33</v>
      </c>
      <c r="H2583">
        <v>13</v>
      </c>
      <c r="I2583">
        <v>40</v>
      </c>
      <c r="J2583">
        <v>75.06</v>
      </c>
      <c r="K2583">
        <v>68</v>
      </c>
      <c r="L2583">
        <v>3002.4</v>
      </c>
      <c r="M2583">
        <v>282.39999999999998</v>
      </c>
      <c r="N2583" s="1">
        <v>38118</v>
      </c>
      <c r="O2583" t="s">
        <v>25</v>
      </c>
      <c r="P2583">
        <v>2</v>
      </c>
      <c r="Q2583">
        <v>5</v>
      </c>
      <c r="R2583">
        <v>2004</v>
      </c>
      <c r="S2583" t="s">
        <v>234</v>
      </c>
    </row>
    <row r="2584" spans="1:19" x14ac:dyDescent="0.25">
      <c r="A2584">
        <v>10373</v>
      </c>
      <c r="B2584" t="s">
        <v>298</v>
      </c>
      <c r="C2584" t="s">
        <v>160</v>
      </c>
      <c r="D2584" t="s">
        <v>161</v>
      </c>
      <c r="E2584" t="s">
        <v>62</v>
      </c>
      <c r="F2584" t="s">
        <v>30</v>
      </c>
      <c r="G2584" t="s">
        <v>24</v>
      </c>
      <c r="H2584">
        <v>13</v>
      </c>
      <c r="I2584">
        <v>39</v>
      </c>
      <c r="J2584">
        <v>73</v>
      </c>
      <c r="K2584">
        <v>68</v>
      </c>
      <c r="L2584">
        <v>2847</v>
      </c>
      <c r="M2584">
        <v>195</v>
      </c>
      <c r="N2584" s="1">
        <v>38383</v>
      </c>
      <c r="O2584" t="s">
        <v>25</v>
      </c>
      <c r="P2584">
        <v>1</v>
      </c>
      <c r="Q2584">
        <v>1</v>
      </c>
      <c r="R2584">
        <v>2005</v>
      </c>
      <c r="S2584" t="s">
        <v>234</v>
      </c>
    </row>
    <row r="2585" spans="1:19" x14ac:dyDescent="0.25">
      <c r="A2585">
        <v>10416</v>
      </c>
      <c r="B2585" t="s">
        <v>298</v>
      </c>
      <c r="C2585" t="s">
        <v>184</v>
      </c>
      <c r="D2585" t="s">
        <v>185</v>
      </c>
      <c r="E2585" t="s">
        <v>110</v>
      </c>
      <c r="F2585" t="s">
        <v>30</v>
      </c>
      <c r="G2585" t="s">
        <v>24</v>
      </c>
      <c r="H2585">
        <v>13</v>
      </c>
      <c r="I2585">
        <v>18</v>
      </c>
      <c r="J2585">
        <v>75.06</v>
      </c>
      <c r="K2585">
        <v>68</v>
      </c>
      <c r="L2585">
        <v>1351.08</v>
      </c>
      <c r="M2585">
        <v>127.08</v>
      </c>
      <c r="N2585" s="1">
        <v>38482</v>
      </c>
      <c r="O2585" t="s">
        <v>25</v>
      </c>
      <c r="P2585">
        <v>2</v>
      </c>
      <c r="Q2585">
        <v>5</v>
      </c>
      <c r="R2585">
        <v>2005</v>
      </c>
      <c r="S2585" t="s">
        <v>234</v>
      </c>
    </row>
    <row r="2586" spans="1:19" x14ac:dyDescent="0.25">
      <c r="A2586">
        <v>10225</v>
      </c>
      <c r="B2586" t="s">
        <v>303</v>
      </c>
      <c r="C2586" t="s">
        <v>181</v>
      </c>
      <c r="D2586" t="s">
        <v>182</v>
      </c>
      <c r="E2586" t="s">
        <v>183</v>
      </c>
      <c r="F2586" t="s">
        <v>30</v>
      </c>
      <c r="G2586" t="s">
        <v>33</v>
      </c>
      <c r="H2586">
        <v>13</v>
      </c>
      <c r="I2586">
        <v>46</v>
      </c>
      <c r="J2586">
        <v>70.33</v>
      </c>
      <c r="K2586">
        <v>80</v>
      </c>
      <c r="L2586">
        <v>3235.18</v>
      </c>
      <c r="M2586">
        <v>-444.82</v>
      </c>
      <c r="N2586" s="1">
        <v>38039</v>
      </c>
      <c r="O2586" t="s">
        <v>25</v>
      </c>
      <c r="P2586">
        <v>1</v>
      </c>
      <c r="Q2586">
        <v>2</v>
      </c>
      <c r="R2586">
        <v>2004</v>
      </c>
      <c r="S2586" t="s">
        <v>83</v>
      </c>
    </row>
    <row r="2587" spans="1:19" x14ac:dyDescent="0.25">
      <c r="A2587">
        <v>10184</v>
      </c>
      <c r="B2587" t="s">
        <v>304</v>
      </c>
      <c r="C2587" t="s">
        <v>212</v>
      </c>
      <c r="D2587" t="s">
        <v>213</v>
      </c>
      <c r="E2587" t="s">
        <v>80</v>
      </c>
      <c r="F2587" t="s">
        <v>30</v>
      </c>
      <c r="G2587" t="s">
        <v>33</v>
      </c>
      <c r="H2587">
        <v>13</v>
      </c>
      <c r="I2587">
        <v>46</v>
      </c>
      <c r="J2587">
        <v>100</v>
      </c>
      <c r="K2587">
        <v>96</v>
      </c>
      <c r="L2587">
        <v>4607.3599999999997</v>
      </c>
      <c r="M2587">
        <v>191.36</v>
      </c>
      <c r="N2587" s="1">
        <v>37939</v>
      </c>
      <c r="O2587" t="s">
        <v>25</v>
      </c>
      <c r="P2587">
        <v>4</v>
      </c>
      <c r="Q2587">
        <v>11</v>
      </c>
      <c r="R2587">
        <v>2003</v>
      </c>
      <c r="S2587" t="s">
        <v>202</v>
      </c>
    </row>
    <row r="2588" spans="1:19" x14ac:dyDescent="0.25">
      <c r="A2588">
        <v>10108</v>
      </c>
      <c r="B2588" t="s">
        <v>306</v>
      </c>
      <c r="C2588" t="s">
        <v>173</v>
      </c>
      <c r="D2588" t="s">
        <v>174</v>
      </c>
      <c r="E2588" t="s">
        <v>175</v>
      </c>
      <c r="F2588" t="s">
        <v>50</v>
      </c>
      <c r="G2588" t="s">
        <v>24</v>
      </c>
      <c r="H2588">
        <v>13</v>
      </c>
      <c r="I2588">
        <v>27</v>
      </c>
      <c r="J2588">
        <v>43.45</v>
      </c>
      <c r="K2588">
        <v>40</v>
      </c>
      <c r="L2588">
        <v>1173.1500000000001</v>
      </c>
      <c r="M2588">
        <v>93.15</v>
      </c>
      <c r="N2588" s="1">
        <v>37683</v>
      </c>
      <c r="O2588" t="s">
        <v>25</v>
      </c>
      <c r="P2588">
        <v>1</v>
      </c>
      <c r="Q2588">
        <v>3</v>
      </c>
      <c r="R2588">
        <v>2003</v>
      </c>
      <c r="S2588" t="s">
        <v>26</v>
      </c>
    </row>
    <row r="2589" spans="1:19" x14ac:dyDescent="0.25">
      <c r="A2589">
        <v>10127</v>
      </c>
      <c r="B2589" t="s">
        <v>307</v>
      </c>
      <c r="C2589" t="s">
        <v>192</v>
      </c>
      <c r="D2589" t="s">
        <v>21</v>
      </c>
      <c r="E2589" t="s">
        <v>22</v>
      </c>
      <c r="F2589" t="s">
        <v>23</v>
      </c>
      <c r="G2589" t="s">
        <v>24</v>
      </c>
      <c r="H2589">
        <v>13</v>
      </c>
      <c r="I2589">
        <v>45</v>
      </c>
      <c r="J2589">
        <v>51.95</v>
      </c>
      <c r="K2589">
        <v>54</v>
      </c>
      <c r="L2589">
        <v>2337.75</v>
      </c>
      <c r="M2589">
        <v>-92.25</v>
      </c>
      <c r="N2589" s="1">
        <v>37775</v>
      </c>
      <c r="O2589" t="s">
        <v>25</v>
      </c>
      <c r="P2589">
        <v>2</v>
      </c>
      <c r="Q2589">
        <v>6</v>
      </c>
      <c r="R2589">
        <v>2003</v>
      </c>
      <c r="S2589" t="s">
        <v>202</v>
      </c>
    </row>
    <row r="2590" spans="1:19" x14ac:dyDescent="0.25">
      <c r="A2590">
        <v>10276</v>
      </c>
      <c r="B2590" t="s">
        <v>311</v>
      </c>
      <c r="C2590" t="s">
        <v>186</v>
      </c>
      <c r="D2590" t="s">
        <v>120</v>
      </c>
      <c r="E2590" t="s">
        <v>22</v>
      </c>
      <c r="F2590" t="s">
        <v>23</v>
      </c>
      <c r="G2590" t="s">
        <v>33</v>
      </c>
      <c r="H2590">
        <v>13</v>
      </c>
      <c r="I2590">
        <v>38</v>
      </c>
      <c r="J2590">
        <v>100</v>
      </c>
      <c r="K2590">
        <v>102</v>
      </c>
      <c r="L2590">
        <v>4304.6400000000003</v>
      </c>
      <c r="M2590">
        <v>428.64</v>
      </c>
      <c r="N2590" s="1">
        <v>38201</v>
      </c>
      <c r="O2590" t="s">
        <v>25</v>
      </c>
      <c r="P2590">
        <v>3</v>
      </c>
      <c r="Q2590">
        <v>8</v>
      </c>
      <c r="R2590">
        <v>2004</v>
      </c>
      <c r="S2590" t="s">
        <v>26</v>
      </c>
    </row>
    <row r="2591" spans="1:19" x14ac:dyDescent="0.25">
      <c r="A2591">
        <v>10168</v>
      </c>
      <c r="B2591" t="s">
        <v>312</v>
      </c>
      <c r="C2591" t="s">
        <v>38</v>
      </c>
      <c r="D2591" t="s">
        <v>39</v>
      </c>
      <c r="E2591" t="s">
        <v>22</v>
      </c>
      <c r="F2591" t="s">
        <v>23</v>
      </c>
      <c r="G2591" t="s">
        <v>24</v>
      </c>
      <c r="H2591">
        <v>13</v>
      </c>
      <c r="I2591">
        <v>48</v>
      </c>
      <c r="J2591">
        <v>51.93</v>
      </c>
      <c r="K2591">
        <v>43</v>
      </c>
      <c r="L2591">
        <v>2492.64</v>
      </c>
      <c r="M2591">
        <v>428.64</v>
      </c>
      <c r="N2591" s="1">
        <v>37922</v>
      </c>
      <c r="O2591" t="s">
        <v>25</v>
      </c>
      <c r="P2591">
        <v>4</v>
      </c>
      <c r="Q2591">
        <v>10</v>
      </c>
      <c r="R2591">
        <v>2003</v>
      </c>
      <c r="S2591" t="s">
        <v>226</v>
      </c>
    </row>
    <row r="2592" spans="1:19" x14ac:dyDescent="0.25">
      <c r="A2592">
        <v>10223</v>
      </c>
      <c r="B2592" t="s">
        <v>312</v>
      </c>
      <c r="C2592" t="s">
        <v>47</v>
      </c>
      <c r="D2592" t="s">
        <v>48</v>
      </c>
      <c r="E2592" t="s">
        <v>49</v>
      </c>
      <c r="F2592" t="s">
        <v>50</v>
      </c>
      <c r="G2592" t="s">
        <v>24</v>
      </c>
      <c r="H2592">
        <v>13</v>
      </c>
      <c r="I2592">
        <v>41</v>
      </c>
      <c r="J2592">
        <v>46.26</v>
      </c>
      <c r="K2592">
        <v>43</v>
      </c>
      <c r="L2592">
        <v>1896.66</v>
      </c>
      <c r="M2592">
        <v>133.66</v>
      </c>
      <c r="N2592" s="1">
        <v>38037</v>
      </c>
      <c r="O2592" t="s">
        <v>25</v>
      </c>
      <c r="P2592">
        <v>1</v>
      </c>
      <c r="Q2592">
        <v>2</v>
      </c>
      <c r="R2592">
        <v>2004</v>
      </c>
      <c r="S2592" t="s">
        <v>226</v>
      </c>
    </row>
    <row r="2593" spans="1:19" x14ac:dyDescent="0.25">
      <c r="A2593">
        <v>10275</v>
      </c>
      <c r="B2593" t="s">
        <v>312</v>
      </c>
      <c r="C2593" t="s">
        <v>56</v>
      </c>
      <c r="D2593" t="s">
        <v>57</v>
      </c>
      <c r="E2593" t="s">
        <v>29</v>
      </c>
      <c r="F2593" t="s">
        <v>30</v>
      </c>
      <c r="G2593" t="s">
        <v>24</v>
      </c>
      <c r="H2593">
        <v>13</v>
      </c>
      <c r="I2593">
        <v>38</v>
      </c>
      <c r="J2593">
        <v>45.39</v>
      </c>
      <c r="K2593">
        <v>43</v>
      </c>
      <c r="L2593">
        <v>1724.82</v>
      </c>
      <c r="M2593">
        <v>90.82</v>
      </c>
      <c r="N2593" s="1">
        <v>38191</v>
      </c>
      <c r="O2593" t="s">
        <v>25</v>
      </c>
      <c r="P2593">
        <v>3</v>
      </c>
      <c r="Q2593">
        <v>7</v>
      </c>
      <c r="R2593">
        <v>2004</v>
      </c>
      <c r="S2593" t="s">
        <v>226</v>
      </c>
    </row>
    <row r="2594" spans="1:19" x14ac:dyDescent="0.25">
      <c r="A2594">
        <v>10383</v>
      </c>
      <c r="B2594" t="s">
        <v>313</v>
      </c>
      <c r="C2594" t="s">
        <v>78</v>
      </c>
      <c r="D2594" t="s">
        <v>79</v>
      </c>
      <c r="E2594" t="s">
        <v>80</v>
      </c>
      <c r="F2594" t="s">
        <v>30</v>
      </c>
      <c r="G2594" t="s">
        <v>33</v>
      </c>
      <c r="H2594">
        <v>13</v>
      </c>
      <c r="I2594">
        <v>29</v>
      </c>
      <c r="J2594">
        <v>100</v>
      </c>
      <c r="K2594">
        <v>115</v>
      </c>
      <c r="L2594">
        <v>3087.05</v>
      </c>
      <c r="M2594">
        <v>-247.95</v>
      </c>
      <c r="N2594" s="1">
        <v>38405</v>
      </c>
      <c r="O2594" t="s">
        <v>25</v>
      </c>
      <c r="P2594">
        <v>1</v>
      </c>
      <c r="Q2594">
        <v>2</v>
      </c>
      <c r="R2594">
        <v>2005</v>
      </c>
      <c r="S2594" t="s">
        <v>202</v>
      </c>
    </row>
    <row r="2595" spans="1:19" x14ac:dyDescent="0.25">
      <c r="A2595">
        <v>10153</v>
      </c>
      <c r="B2595" t="s">
        <v>314</v>
      </c>
      <c r="C2595" t="s">
        <v>78</v>
      </c>
      <c r="D2595" t="s">
        <v>79</v>
      </c>
      <c r="E2595" t="s">
        <v>80</v>
      </c>
      <c r="F2595" t="s">
        <v>30</v>
      </c>
      <c r="G2595" t="s">
        <v>24</v>
      </c>
      <c r="H2595">
        <v>13</v>
      </c>
      <c r="I2595">
        <v>31</v>
      </c>
      <c r="J2595">
        <v>57.41</v>
      </c>
      <c r="K2595">
        <v>58</v>
      </c>
      <c r="L2595">
        <v>1779.71</v>
      </c>
      <c r="M2595">
        <v>-18.29</v>
      </c>
      <c r="N2595" s="1">
        <v>37892</v>
      </c>
      <c r="O2595" t="s">
        <v>25</v>
      </c>
      <c r="P2595">
        <v>3</v>
      </c>
      <c r="Q2595">
        <v>9</v>
      </c>
      <c r="R2595">
        <v>2003</v>
      </c>
      <c r="S2595" t="s">
        <v>261</v>
      </c>
    </row>
    <row r="2596" spans="1:19" x14ac:dyDescent="0.25">
      <c r="A2596">
        <v>10390</v>
      </c>
      <c r="B2596" t="s">
        <v>315</v>
      </c>
      <c r="C2596" t="s">
        <v>115</v>
      </c>
      <c r="D2596" t="s">
        <v>116</v>
      </c>
      <c r="E2596" t="s">
        <v>22</v>
      </c>
      <c r="F2596" t="s">
        <v>23</v>
      </c>
      <c r="G2596" t="s">
        <v>33</v>
      </c>
      <c r="H2596">
        <v>13</v>
      </c>
      <c r="I2596">
        <v>22</v>
      </c>
      <c r="J2596">
        <v>100</v>
      </c>
      <c r="K2596">
        <v>81</v>
      </c>
      <c r="L2596">
        <v>3491.18</v>
      </c>
      <c r="M2596">
        <v>1709.18</v>
      </c>
      <c r="N2596" s="1">
        <v>38415</v>
      </c>
      <c r="O2596" t="s">
        <v>25</v>
      </c>
      <c r="P2596">
        <v>1</v>
      </c>
      <c r="Q2596">
        <v>3</v>
      </c>
      <c r="R2596">
        <v>2005</v>
      </c>
      <c r="S2596" t="s">
        <v>26</v>
      </c>
    </row>
    <row r="2597" spans="1:19" x14ac:dyDescent="0.25">
      <c r="A2597">
        <v>10120</v>
      </c>
      <c r="B2597" t="s">
        <v>317</v>
      </c>
      <c r="C2597" t="s">
        <v>47</v>
      </c>
      <c r="D2597" t="s">
        <v>48</v>
      </c>
      <c r="E2597" t="s">
        <v>49</v>
      </c>
      <c r="F2597" t="s">
        <v>50</v>
      </c>
      <c r="G2597" t="s">
        <v>33</v>
      </c>
      <c r="H2597">
        <v>13</v>
      </c>
      <c r="I2597">
        <v>47</v>
      </c>
      <c r="J2597">
        <v>82.21</v>
      </c>
      <c r="K2597">
        <v>91</v>
      </c>
      <c r="L2597">
        <v>3863.87</v>
      </c>
      <c r="M2597">
        <v>-413.13</v>
      </c>
      <c r="N2597" s="1">
        <v>37740</v>
      </c>
      <c r="O2597" t="s">
        <v>25</v>
      </c>
      <c r="P2597">
        <v>2</v>
      </c>
      <c r="Q2597">
        <v>4</v>
      </c>
      <c r="R2597">
        <v>2003</v>
      </c>
      <c r="S2597" t="s">
        <v>234</v>
      </c>
    </row>
    <row r="2598" spans="1:19" x14ac:dyDescent="0.25">
      <c r="A2598">
        <v>10248</v>
      </c>
      <c r="B2598" t="s">
        <v>318</v>
      </c>
      <c r="C2598" t="s">
        <v>20</v>
      </c>
      <c r="D2598" t="s">
        <v>21</v>
      </c>
      <c r="E2598" t="s">
        <v>22</v>
      </c>
      <c r="F2598" t="s">
        <v>23</v>
      </c>
      <c r="G2598" t="s">
        <v>33</v>
      </c>
      <c r="H2598">
        <v>13</v>
      </c>
      <c r="I2598">
        <v>40</v>
      </c>
      <c r="J2598">
        <v>100</v>
      </c>
      <c r="K2598">
        <v>86</v>
      </c>
      <c r="L2598">
        <v>4157.2</v>
      </c>
      <c r="M2598">
        <v>717.2</v>
      </c>
      <c r="N2598" s="1">
        <v>38114</v>
      </c>
      <c r="O2598" t="s">
        <v>141</v>
      </c>
      <c r="P2598">
        <v>2</v>
      </c>
      <c r="Q2598">
        <v>5</v>
      </c>
      <c r="R2598">
        <v>2004</v>
      </c>
      <c r="S2598" t="s">
        <v>255</v>
      </c>
    </row>
    <row r="2599" spans="1:19" x14ac:dyDescent="0.25">
      <c r="A2599">
        <v>10414</v>
      </c>
      <c r="B2599" t="s">
        <v>318</v>
      </c>
      <c r="C2599" t="s">
        <v>156</v>
      </c>
      <c r="D2599" t="s">
        <v>157</v>
      </c>
      <c r="E2599" t="s">
        <v>22</v>
      </c>
      <c r="F2599" t="s">
        <v>23</v>
      </c>
      <c r="G2599" t="s">
        <v>33</v>
      </c>
      <c r="H2599">
        <v>13</v>
      </c>
      <c r="I2599">
        <v>34</v>
      </c>
      <c r="J2599">
        <v>100</v>
      </c>
      <c r="K2599">
        <v>86</v>
      </c>
      <c r="L2599">
        <v>3533.62</v>
      </c>
      <c r="M2599">
        <v>609.62</v>
      </c>
      <c r="N2599" s="1">
        <v>38478</v>
      </c>
      <c r="O2599" t="s">
        <v>164</v>
      </c>
      <c r="P2599">
        <v>2</v>
      </c>
      <c r="Q2599">
        <v>5</v>
      </c>
      <c r="R2599">
        <v>2005</v>
      </c>
      <c r="S2599" t="s">
        <v>255</v>
      </c>
    </row>
    <row r="2600" spans="1:19" x14ac:dyDescent="0.25">
      <c r="A2600">
        <v>10262</v>
      </c>
      <c r="B2600" t="s">
        <v>319</v>
      </c>
      <c r="C2600" t="s">
        <v>78</v>
      </c>
      <c r="D2600" t="s">
        <v>79</v>
      </c>
      <c r="E2600" t="s">
        <v>80</v>
      </c>
      <c r="F2600" t="s">
        <v>30</v>
      </c>
      <c r="G2600" t="s">
        <v>33</v>
      </c>
      <c r="H2600">
        <v>13</v>
      </c>
      <c r="I2600">
        <v>44</v>
      </c>
      <c r="J2600">
        <v>94.14</v>
      </c>
      <c r="K2600">
        <v>90</v>
      </c>
      <c r="L2600">
        <v>4142.16</v>
      </c>
      <c r="M2600">
        <v>182.16</v>
      </c>
      <c r="N2600" s="1">
        <v>38162</v>
      </c>
      <c r="O2600" t="s">
        <v>141</v>
      </c>
      <c r="P2600">
        <v>2</v>
      </c>
      <c r="Q2600">
        <v>6</v>
      </c>
      <c r="R2600">
        <v>2004</v>
      </c>
      <c r="S2600" t="s">
        <v>255</v>
      </c>
    </row>
    <row r="2601" spans="1:19" x14ac:dyDescent="0.25">
      <c r="A2601">
        <v>10316</v>
      </c>
      <c r="B2601" t="s">
        <v>319</v>
      </c>
      <c r="C2601" t="s">
        <v>158</v>
      </c>
      <c r="D2601" t="s">
        <v>159</v>
      </c>
      <c r="E2601" t="s">
        <v>77</v>
      </c>
      <c r="F2601" t="s">
        <v>30</v>
      </c>
      <c r="G2601" t="s">
        <v>33</v>
      </c>
      <c r="H2601">
        <v>13</v>
      </c>
      <c r="I2601">
        <v>45</v>
      </c>
      <c r="J2601">
        <v>93.24</v>
      </c>
      <c r="K2601">
        <v>90</v>
      </c>
      <c r="L2601">
        <v>4195.8</v>
      </c>
      <c r="M2601">
        <v>145.80000000000001</v>
      </c>
      <c r="N2601" s="1">
        <v>38292</v>
      </c>
      <c r="O2601" t="s">
        <v>25</v>
      </c>
      <c r="P2601">
        <v>4</v>
      </c>
      <c r="Q2601">
        <v>11</v>
      </c>
      <c r="R2601">
        <v>2004</v>
      </c>
      <c r="S2601" t="s">
        <v>255</v>
      </c>
    </row>
    <row r="2602" spans="1:19" x14ac:dyDescent="0.25">
      <c r="A2602">
        <v>10386</v>
      </c>
      <c r="B2602" t="s">
        <v>319</v>
      </c>
      <c r="C2602" t="s">
        <v>78</v>
      </c>
      <c r="D2602" t="s">
        <v>79</v>
      </c>
      <c r="E2602" t="s">
        <v>80</v>
      </c>
      <c r="F2602" t="s">
        <v>30</v>
      </c>
      <c r="G2602" t="s">
        <v>24</v>
      </c>
      <c r="H2602">
        <v>13</v>
      </c>
      <c r="I2602">
        <v>29</v>
      </c>
      <c r="J2602">
        <v>85.76</v>
      </c>
      <c r="K2602">
        <v>90</v>
      </c>
      <c r="L2602">
        <v>2487.04</v>
      </c>
      <c r="M2602">
        <v>-122.96</v>
      </c>
      <c r="N2602" s="1">
        <v>38412</v>
      </c>
      <c r="O2602" t="s">
        <v>169</v>
      </c>
      <c r="P2602">
        <v>1</v>
      </c>
      <c r="Q2602">
        <v>3</v>
      </c>
      <c r="R2602">
        <v>2005</v>
      </c>
      <c r="S2602" t="s">
        <v>255</v>
      </c>
    </row>
    <row r="2603" spans="1:19" x14ac:dyDescent="0.25">
      <c r="A2603">
        <v>10222</v>
      </c>
      <c r="B2603" t="s">
        <v>321</v>
      </c>
      <c r="C2603" t="s">
        <v>149</v>
      </c>
      <c r="D2603" t="s">
        <v>150</v>
      </c>
      <c r="E2603" t="s">
        <v>22</v>
      </c>
      <c r="F2603" t="s">
        <v>23</v>
      </c>
      <c r="G2603" t="s">
        <v>24</v>
      </c>
      <c r="H2603">
        <v>13</v>
      </c>
      <c r="I2603">
        <v>36</v>
      </c>
      <c r="J2603">
        <v>80.95</v>
      </c>
      <c r="K2603">
        <v>72</v>
      </c>
      <c r="L2603">
        <v>2914.2</v>
      </c>
      <c r="M2603">
        <v>322.2</v>
      </c>
      <c r="N2603" s="1">
        <v>38036</v>
      </c>
      <c r="O2603" t="s">
        <v>25</v>
      </c>
      <c r="P2603">
        <v>1</v>
      </c>
      <c r="Q2603">
        <v>2</v>
      </c>
      <c r="R2603">
        <v>2004</v>
      </c>
      <c r="S2603" t="s">
        <v>255</v>
      </c>
    </row>
    <row r="2604" spans="1:19" x14ac:dyDescent="0.25">
      <c r="A2604">
        <v>10145</v>
      </c>
      <c r="B2604" t="s">
        <v>323</v>
      </c>
      <c r="C2604" t="s">
        <v>34</v>
      </c>
      <c r="D2604" t="s">
        <v>35</v>
      </c>
      <c r="E2604" t="s">
        <v>22</v>
      </c>
      <c r="F2604" t="s">
        <v>23</v>
      </c>
      <c r="G2604" t="s">
        <v>24</v>
      </c>
      <c r="H2604">
        <v>13</v>
      </c>
      <c r="I2604">
        <v>20</v>
      </c>
      <c r="J2604">
        <v>100</v>
      </c>
      <c r="K2604">
        <v>118</v>
      </c>
      <c r="L2604">
        <v>2752.6</v>
      </c>
      <c r="M2604">
        <v>392.6</v>
      </c>
      <c r="N2604" s="1">
        <v>37858</v>
      </c>
      <c r="O2604" t="s">
        <v>25</v>
      </c>
      <c r="P2604">
        <v>3</v>
      </c>
      <c r="Q2604">
        <v>8</v>
      </c>
      <c r="R2604">
        <v>2003</v>
      </c>
      <c r="S2604" t="s">
        <v>234</v>
      </c>
    </row>
    <row r="2605" spans="1:19" x14ac:dyDescent="0.25">
      <c r="A2605">
        <v>10285</v>
      </c>
      <c r="B2605" t="s">
        <v>323</v>
      </c>
      <c r="C2605" t="s">
        <v>58</v>
      </c>
      <c r="D2605" t="s">
        <v>59</v>
      </c>
      <c r="E2605" t="s">
        <v>22</v>
      </c>
      <c r="F2605" t="s">
        <v>23</v>
      </c>
      <c r="G2605" t="s">
        <v>33</v>
      </c>
      <c r="H2605">
        <v>13</v>
      </c>
      <c r="I2605">
        <v>45</v>
      </c>
      <c r="J2605">
        <v>100</v>
      </c>
      <c r="K2605">
        <v>118</v>
      </c>
      <c r="L2605">
        <v>5392.8</v>
      </c>
      <c r="M2605">
        <v>82.8</v>
      </c>
      <c r="N2605" s="1">
        <v>38226</v>
      </c>
      <c r="O2605" t="s">
        <v>25</v>
      </c>
      <c r="P2605">
        <v>3</v>
      </c>
      <c r="Q2605">
        <v>8</v>
      </c>
      <c r="R2605">
        <v>2004</v>
      </c>
      <c r="S2605" t="s">
        <v>234</v>
      </c>
    </row>
    <row r="2606" spans="1:19" x14ac:dyDescent="0.25">
      <c r="A2606">
        <v>10210</v>
      </c>
      <c r="B2606" t="s">
        <v>324</v>
      </c>
      <c r="C2606" t="s">
        <v>127</v>
      </c>
      <c r="D2606" t="s">
        <v>128</v>
      </c>
      <c r="E2606" t="s">
        <v>107</v>
      </c>
      <c r="F2606" t="s">
        <v>50</v>
      </c>
      <c r="G2606" t="s">
        <v>24</v>
      </c>
      <c r="H2606">
        <v>13</v>
      </c>
      <c r="I2606">
        <v>31</v>
      </c>
      <c r="J2606">
        <v>86.4</v>
      </c>
      <c r="K2606">
        <v>80</v>
      </c>
      <c r="L2606">
        <v>2678.4</v>
      </c>
      <c r="M2606">
        <v>198.4</v>
      </c>
      <c r="N2606" s="1">
        <v>37998</v>
      </c>
      <c r="O2606" t="s">
        <v>25</v>
      </c>
      <c r="P2606">
        <v>1</v>
      </c>
      <c r="Q2606">
        <v>1</v>
      </c>
      <c r="R2606">
        <v>2004</v>
      </c>
      <c r="S2606" t="s">
        <v>234</v>
      </c>
    </row>
    <row r="2607" spans="1:19" x14ac:dyDescent="0.25">
      <c r="A2607">
        <v>10308</v>
      </c>
      <c r="B2607" t="s">
        <v>324</v>
      </c>
      <c r="C2607" t="s">
        <v>131</v>
      </c>
      <c r="D2607" t="s">
        <v>132</v>
      </c>
      <c r="E2607" t="s">
        <v>22</v>
      </c>
      <c r="F2607" t="s">
        <v>23</v>
      </c>
      <c r="G2607" t="s">
        <v>24</v>
      </c>
      <c r="H2607">
        <v>13</v>
      </c>
      <c r="I2607">
        <v>21</v>
      </c>
      <c r="J2607">
        <v>87.2</v>
      </c>
      <c r="K2607">
        <v>80</v>
      </c>
      <c r="L2607">
        <v>1831.2</v>
      </c>
      <c r="M2607">
        <v>151.19999999999999</v>
      </c>
      <c r="N2607" s="1">
        <v>38275</v>
      </c>
      <c r="O2607" t="s">
        <v>25</v>
      </c>
      <c r="P2607">
        <v>4</v>
      </c>
      <c r="Q2607">
        <v>10</v>
      </c>
      <c r="R2607">
        <v>2004</v>
      </c>
      <c r="S2607" t="s">
        <v>234</v>
      </c>
    </row>
    <row r="2608" spans="1:19" x14ac:dyDescent="0.25">
      <c r="A2608">
        <v>10328</v>
      </c>
      <c r="B2608" t="s">
        <v>324</v>
      </c>
      <c r="C2608" t="s">
        <v>227</v>
      </c>
      <c r="D2608" t="s">
        <v>228</v>
      </c>
      <c r="E2608" t="s">
        <v>110</v>
      </c>
      <c r="F2608" t="s">
        <v>30</v>
      </c>
      <c r="G2608" t="s">
        <v>24</v>
      </c>
      <c r="H2608">
        <v>13</v>
      </c>
      <c r="I2608">
        <v>33</v>
      </c>
      <c r="J2608">
        <v>64</v>
      </c>
      <c r="K2608">
        <v>80</v>
      </c>
      <c r="L2608">
        <v>2112</v>
      </c>
      <c r="M2608">
        <v>-528</v>
      </c>
      <c r="N2608" s="1">
        <v>38303</v>
      </c>
      <c r="O2608" t="s">
        <v>25</v>
      </c>
      <c r="P2608">
        <v>4</v>
      </c>
      <c r="Q2608">
        <v>11</v>
      </c>
      <c r="R2608">
        <v>2004</v>
      </c>
      <c r="S2608" t="s">
        <v>234</v>
      </c>
    </row>
    <row r="2609" spans="1:19" x14ac:dyDescent="0.25">
      <c r="A2609">
        <v>10167</v>
      </c>
      <c r="B2609" t="s">
        <v>325</v>
      </c>
      <c r="C2609" t="s">
        <v>111</v>
      </c>
      <c r="D2609" t="s">
        <v>112</v>
      </c>
      <c r="E2609" t="s">
        <v>86</v>
      </c>
      <c r="F2609" t="s">
        <v>30</v>
      </c>
      <c r="G2609" t="s">
        <v>24</v>
      </c>
      <c r="H2609">
        <v>13</v>
      </c>
      <c r="I2609">
        <v>24</v>
      </c>
      <c r="J2609">
        <v>100</v>
      </c>
      <c r="K2609">
        <v>100</v>
      </c>
      <c r="L2609">
        <v>2812.8</v>
      </c>
      <c r="M2609">
        <v>412.8</v>
      </c>
      <c r="N2609" s="1">
        <v>37917</v>
      </c>
      <c r="O2609" t="s">
        <v>141</v>
      </c>
      <c r="P2609">
        <v>4</v>
      </c>
      <c r="Q2609">
        <v>10</v>
      </c>
      <c r="R2609">
        <v>2003</v>
      </c>
      <c r="S2609" t="s">
        <v>255</v>
      </c>
    </row>
    <row r="2610" spans="1:19" x14ac:dyDescent="0.25">
      <c r="A2610">
        <v>10350</v>
      </c>
      <c r="B2610" t="s">
        <v>325</v>
      </c>
      <c r="C2610" t="s">
        <v>78</v>
      </c>
      <c r="D2610" t="s">
        <v>79</v>
      </c>
      <c r="E2610" t="s">
        <v>80</v>
      </c>
      <c r="F2610" t="s">
        <v>30</v>
      </c>
      <c r="G2610" t="s">
        <v>24</v>
      </c>
      <c r="H2610">
        <v>13</v>
      </c>
      <c r="I2610">
        <v>31</v>
      </c>
      <c r="J2610">
        <v>77.34</v>
      </c>
      <c r="K2610">
        <v>100</v>
      </c>
      <c r="L2610">
        <v>2397.54</v>
      </c>
      <c r="M2610">
        <v>-702.46</v>
      </c>
      <c r="N2610" s="1">
        <v>38323</v>
      </c>
      <c r="O2610" t="s">
        <v>25</v>
      </c>
      <c r="P2610">
        <v>4</v>
      </c>
      <c r="Q2610">
        <v>12</v>
      </c>
      <c r="R2610">
        <v>2004</v>
      </c>
      <c r="S2610" t="s">
        <v>255</v>
      </c>
    </row>
    <row r="2611" spans="1:19" x14ac:dyDescent="0.25">
      <c r="A2611">
        <v>10159</v>
      </c>
      <c r="B2611" t="s">
        <v>19</v>
      </c>
      <c r="C2611" t="s">
        <v>36</v>
      </c>
      <c r="D2611" t="s">
        <v>37</v>
      </c>
      <c r="E2611" t="s">
        <v>22</v>
      </c>
      <c r="F2611" t="s">
        <v>23</v>
      </c>
      <c r="G2611" t="s">
        <v>33</v>
      </c>
      <c r="H2611">
        <v>14</v>
      </c>
      <c r="I2611">
        <v>49</v>
      </c>
      <c r="J2611">
        <v>100</v>
      </c>
      <c r="K2611">
        <v>95</v>
      </c>
      <c r="L2611">
        <v>5205.2700000000004</v>
      </c>
      <c r="M2611">
        <v>550.27</v>
      </c>
      <c r="N2611" s="1">
        <v>37904</v>
      </c>
      <c r="O2611" t="s">
        <v>25</v>
      </c>
      <c r="P2611">
        <v>4</v>
      </c>
      <c r="Q2611">
        <v>10</v>
      </c>
      <c r="R2611">
        <v>2003</v>
      </c>
      <c r="S2611" t="s">
        <v>26</v>
      </c>
    </row>
    <row r="2612" spans="1:19" x14ac:dyDescent="0.25">
      <c r="A2612">
        <v>10211</v>
      </c>
      <c r="B2612" t="s">
        <v>19</v>
      </c>
      <c r="C2612" t="s">
        <v>46</v>
      </c>
      <c r="D2612" t="s">
        <v>32</v>
      </c>
      <c r="E2612" t="s">
        <v>29</v>
      </c>
      <c r="F2612" t="s">
        <v>30</v>
      </c>
      <c r="G2612" t="s">
        <v>33</v>
      </c>
      <c r="H2612">
        <v>14</v>
      </c>
      <c r="I2612">
        <v>41</v>
      </c>
      <c r="J2612">
        <v>100</v>
      </c>
      <c r="K2612">
        <v>95</v>
      </c>
      <c r="L2612">
        <v>4708.4399999999996</v>
      </c>
      <c r="M2612">
        <v>813.44</v>
      </c>
      <c r="N2612" s="1">
        <v>38001</v>
      </c>
      <c r="O2612" t="s">
        <v>25</v>
      </c>
      <c r="P2612">
        <v>1</v>
      </c>
      <c r="Q2612">
        <v>1</v>
      </c>
      <c r="R2612">
        <v>2004</v>
      </c>
      <c r="S2612" t="s">
        <v>26</v>
      </c>
    </row>
    <row r="2613" spans="1:19" x14ac:dyDescent="0.25">
      <c r="A2613">
        <v>10181</v>
      </c>
      <c r="B2613" t="s">
        <v>172</v>
      </c>
      <c r="C2613" t="s">
        <v>42</v>
      </c>
      <c r="D2613" t="s">
        <v>43</v>
      </c>
      <c r="E2613" t="s">
        <v>44</v>
      </c>
      <c r="F2613" t="s">
        <v>30</v>
      </c>
      <c r="G2613" t="s">
        <v>33</v>
      </c>
      <c r="H2613">
        <v>14</v>
      </c>
      <c r="I2613">
        <v>27</v>
      </c>
      <c r="J2613">
        <v>100</v>
      </c>
      <c r="K2613">
        <v>194</v>
      </c>
      <c r="L2613">
        <v>5411.07</v>
      </c>
      <c r="M2613">
        <v>173.07</v>
      </c>
      <c r="N2613" s="1">
        <v>37937</v>
      </c>
      <c r="O2613" t="s">
        <v>25</v>
      </c>
      <c r="P2613">
        <v>4</v>
      </c>
      <c r="Q2613">
        <v>11</v>
      </c>
      <c r="R2613">
        <v>2003</v>
      </c>
      <c r="S2613" t="s">
        <v>83</v>
      </c>
    </row>
    <row r="2614" spans="1:19" x14ac:dyDescent="0.25">
      <c r="A2614">
        <v>10266</v>
      </c>
      <c r="B2614" t="s">
        <v>172</v>
      </c>
      <c r="C2614" t="s">
        <v>184</v>
      </c>
      <c r="D2614" t="s">
        <v>185</v>
      </c>
      <c r="E2614" t="s">
        <v>110</v>
      </c>
      <c r="F2614" t="s">
        <v>30</v>
      </c>
      <c r="G2614" t="s">
        <v>70</v>
      </c>
      <c r="H2614">
        <v>14</v>
      </c>
      <c r="I2614">
        <v>44</v>
      </c>
      <c r="J2614">
        <v>100</v>
      </c>
      <c r="K2614">
        <v>194</v>
      </c>
      <c r="L2614">
        <v>9160.36</v>
      </c>
      <c r="M2614">
        <v>624.36</v>
      </c>
      <c r="N2614" s="1">
        <v>38174</v>
      </c>
      <c r="O2614" t="s">
        <v>25</v>
      </c>
      <c r="P2614">
        <v>3</v>
      </c>
      <c r="Q2614">
        <v>7</v>
      </c>
      <c r="R2614">
        <v>2004</v>
      </c>
      <c r="S2614" t="s">
        <v>83</v>
      </c>
    </row>
    <row r="2615" spans="1:19" x14ac:dyDescent="0.25">
      <c r="A2615">
        <v>10276</v>
      </c>
      <c r="B2615" t="s">
        <v>203</v>
      </c>
      <c r="C2615" t="s">
        <v>186</v>
      </c>
      <c r="D2615" t="s">
        <v>120</v>
      </c>
      <c r="E2615" t="s">
        <v>22</v>
      </c>
      <c r="F2615" t="s">
        <v>23</v>
      </c>
      <c r="G2615" t="s">
        <v>33</v>
      </c>
      <c r="H2615">
        <v>14</v>
      </c>
      <c r="I2615">
        <v>43</v>
      </c>
      <c r="J2615">
        <v>100</v>
      </c>
      <c r="K2615">
        <v>150</v>
      </c>
      <c r="L2615">
        <v>5181.5</v>
      </c>
      <c r="M2615">
        <v>-1268.5</v>
      </c>
      <c r="N2615" s="1">
        <v>38201</v>
      </c>
      <c r="O2615" t="s">
        <v>25</v>
      </c>
      <c r="P2615">
        <v>3</v>
      </c>
      <c r="Q2615">
        <v>8</v>
      </c>
      <c r="R2615">
        <v>2004</v>
      </c>
      <c r="S2615" t="s">
        <v>26</v>
      </c>
    </row>
    <row r="2616" spans="1:19" x14ac:dyDescent="0.25">
      <c r="A2616">
        <v>10185</v>
      </c>
      <c r="B2616" t="s">
        <v>205</v>
      </c>
      <c r="C2616" t="s">
        <v>140</v>
      </c>
      <c r="D2616" t="s">
        <v>74</v>
      </c>
      <c r="E2616" t="s">
        <v>22</v>
      </c>
      <c r="F2616" t="s">
        <v>23</v>
      </c>
      <c r="G2616" t="s">
        <v>33</v>
      </c>
      <c r="H2616">
        <v>14</v>
      </c>
      <c r="I2616">
        <v>33</v>
      </c>
      <c r="J2616">
        <v>100</v>
      </c>
      <c r="K2616">
        <v>151</v>
      </c>
      <c r="L2616">
        <v>4038.21</v>
      </c>
      <c r="M2616">
        <v>-944.79</v>
      </c>
      <c r="N2616" s="1">
        <v>37939</v>
      </c>
      <c r="O2616" t="s">
        <v>25</v>
      </c>
      <c r="P2616">
        <v>4</v>
      </c>
      <c r="Q2616">
        <v>11</v>
      </c>
      <c r="R2616">
        <v>2003</v>
      </c>
      <c r="S2616" t="s">
        <v>83</v>
      </c>
    </row>
    <row r="2617" spans="1:19" x14ac:dyDescent="0.25">
      <c r="A2617">
        <v>10208</v>
      </c>
      <c r="B2617" t="s">
        <v>205</v>
      </c>
      <c r="C2617" t="s">
        <v>95</v>
      </c>
      <c r="D2617" t="s">
        <v>96</v>
      </c>
      <c r="E2617" t="s">
        <v>29</v>
      </c>
      <c r="F2617" t="s">
        <v>30</v>
      </c>
      <c r="G2617" t="s">
        <v>33</v>
      </c>
      <c r="H2617">
        <v>14</v>
      </c>
      <c r="I2617">
        <v>26</v>
      </c>
      <c r="J2617">
        <v>100</v>
      </c>
      <c r="K2617">
        <v>151</v>
      </c>
      <c r="L2617">
        <v>3142.36</v>
      </c>
      <c r="M2617">
        <v>-783.64</v>
      </c>
      <c r="N2617" s="1">
        <v>37988</v>
      </c>
      <c r="O2617" t="s">
        <v>25</v>
      </c>
      <c r="P2617">
        <v>1</v>
      </c>
      <c r="Q2617">
        <v>1</v>
      </c>
      <c r="R2617">
        <v>2004</v>
      </c>
      <c r="S2617" t="s">
        <v>83</v>
      </c>
    </row>
    <row r="2618" spans="1:19" x14ac:dyDescent="0.25">
      <c r="A2618">
        <v>10306</v>
      </c>
      <c r="B2618" t="s">
        <v>205</v>
      </c>
      <c r="C2618" t="s">
        <v>197</v>
      </c>
      <c r="D2618" t="s">
        <v>198</v>
      </c>
      <c r="E2618" t="s">
        <v>77</v>
      </c>
      <c r="F2618" t="s">
        <v>30</v>
      </c>
      <c r="G2618" t="s">
        <v>33</v>
      </c>
      <c r="H2618">
        <v>14</v>
      </c>
      <c r="I2618">
        <v>34</v>
      </c>
      <c r="J2618">
        <v>100</v>
      </c>
      <c r="K2618">
        <v>151</v>
      </c>
      <c r="L2618">
        <v>4982.7</v>
      </c>
      <c r="M2618">
        <v>-151.30000000000001</v>
      </c>
      <c r="N2618" s="1">
        <v>38274</v>
      </c>
      <c r="O2618" t="s">
        <v>25</v>
      </c>
      <c r="P2618">
        <v>4</v>
      </c>
      <c r="Q2618">
        <v>10</v>
      </c>
      <c r="R2618">
        <v>2004</v>
      </c>
      <c r="S2618" t="s">
        <v>83</v>
      </c>
    </row>
    <row r="2619" spans="1:19" x14ac:dyDescent="0.25">
      <c r="A2619">
        <v>10105</v>
      </c>
      <c r="B2619" t="s">
        <v>209</v>
      </c>
      <c r="C2619" t="s">
        <v>135</v>
      </c>
      <c r="D2619" t="s">
        <v>136</v>
      </c>
      <c r="E2619" t="s">
        <v>137</v>
      </c>
      <c r="F2619" t="s">
        <v>30</v>
      </c>
      <c r="G2619" t="s">
        <v>33</v>
      </c>
      <c r="H2619">
        <v>14</v>
      </c>
      <c r="I2619">
        <v>29</v>
      </c>
      <c r="J2619">
        <v>100</v>
      </c>
      <c r="K2619">
        <v>173</v>
      </c>
      <c r="L2619">
        <v>4566.05</v>
      </c>
      <c r="M2619">
        <v>-450.95</v>
      </c>
      <c r="N2619" s="1">
        <v>37663</v>
      </c>
      <c r="O2619" t="s">
        <v>25</v>
      </c>
      <c r="P2619">
        <v>1</v>
      </c>
      <c r="Q2619">
        <v>2</v>
      </c>
      <c r="R2619">
        <v>2003</v>
      </c>
      <c r="S2619" t="s">
        <v>83</v>
      </c>
    </row>
    <row r="2620" spans="1:19" x14ac:dyDescent="0.25">
      <c r="A2620">
        <v>10253</v>
      </c>
      <c r="B2620" t="s">
        <v>210</v>
      </c>
      <c r="C2620" t="s">
        <v>75</v>
      </c>
      <c r="D2620" t="s">
        <v>76</v>
      </c>
      <c r="E2620" t="s">
        <v>77</v>
      </c>
      <c r="F2620" t="s">
        <v>30</v>
      </c>
      <c r="G2620" t="s">
        <v>24</v>
      </c>
      <c r="H2620">
        <v>14</v>
      </c>
      <c r="I2620">
        <v>25</v>
      </c>
      <c r="J2620">
        <v>90.17</v>
      </c>
      <c r="K2620">
        <v>79</v>
      </c>
      <c r="L2620">
        <v>2254.25</v>
      </c>
      <c r="M2620">
        <v>279.25</v>
      </c>
      <c r="N2620" s="1">
        <v>38139</v>
      </c>
      <c r="O2620" t="s">
        <v>141</v>
      </c>
      <c r="P2620">
        <v>2</v>
      </c>
      <c r="Q2620">
        <v>6</v>
      </c>
      <c r="R2620">
        <v>2004</v>
      </c>
      <c r="S2620" t="s">
        <v>83</v>
      </c>
    </row>
    <row r="2621" spans="1:19" x14ac:dyDescent="0.25">
      <c r="A2621">
        <v>10329</v>
      </c>
      <c r="B2621" t="s">
        <v>210</v>
      </c>
      <c r="C2621" t="s">
        <v>20</v>
      </c>
      <c r="D2621" t="s">
        <v>21</v>
      </c>
      <c r="E2621" t="s">
        <v>22</v>
      </c>
      <c r="F2621" t="s">
        <v>23</v>
      </c>
      <c r="G2621" t="s">
        <v>33</v>
      </c>
      <c r="H2621">
        <v>14</v>
      </c>
      <c r="I2621">
        <v>33</v>
      </c>
      <c r="J2621">
        <v>100</v>
      </c>
      <c r="K2621">
        <v>79</v>
      </c>
      <c r="L2621">
        <v>3607.56</v>
      </c>
      <c r="M2621">
        <v>1000.56</v>
      </c>
      <c r="N2621" s="1">
        <v>38306</v>
      </c>
      <c r="O2621" t="s">
        <v>25</v>
      </c>
      <c r="P2621">
        <v>4</v>
      </c>
      <c r="Q2621">
        <v>11</v>
      </c>
      <c r="R2621">
        <v>2004</v>
      </c>
      <c r="S2621" t="s">
        <v>83</v>
      </c>
    </row>
    <row r="2622" spans="1:19" x14ac:dyDescent="0.25">
      <c r="A2622">
        <v>10419</v>
      </c>
      <c r="B2622" t="s">
        <v>210</v>
      </c>
      <c r="C2622" t="s">
        <v>67</v>
      </c>
      <c r="D2622" t="s">
        <v>68</v>
      </c>
      <c r="E2622" t="s">
        <v>69</v>
      </c>
      <c r="F2622" t="s">
        <v>30</v>
      </c>
      <c r="G2622" t="s">
        <v>33</v>
      </c>
      <c r="H2622">
        <v>14</v>
      </c>
      <c r="I2622">
        <v>34</v>
      </c>
      <c r="J2622">
        <v>90.17</v>
      </c>
      <c r="K2622">
        <v>79</v>
      </c>
      <c r="L2622">
        <v>3065.78</v>
      </c>
      <c r="M2622">
        <v>379.78</v>
      </c>
      <c r="N2622" s="1">
        <v>38489</v>
      </c>
      <c r="O2622" t="s">
        <v>25</v>
      </c>
      <c r="P2622">
        <v>2</v>
      </c>
      <c r="Q2622">
        <v>5</v>
      </c>
      <c r="R2622">
        <v>2005</v>
      </c>
      <c r="S2622" t="s">
        <v>83</v>
      </c>
    </row>
    <row r="2623" spans="1:19" x14ac:dyDescent="0.25">
      <c r="A2623">
        <v>10314</v>
      </c>
      <c r="B2623" t="s">
        <v>211</v>
      </c>
      <c r="C2623" t="s">
        <v>199</v>
      </c>
      <c r="D2623" t="s">
        <v>200</v>
      </c>
      <c r="E2623" t="s">
        <v>137</v>
      </c>
      <c r="F2623" t="s">
        <v>30</v>
      </c>
      <c r="G2623" t="s">
        <v>33</v>
      </c>
      <c r="H2623">
        <v>14</v>
      </c>
      <c r="I2623">
        <v>45</v>
      </c>
      <c r="J2623">
        <v>100</v>
      </c>
      <c r="K2623">
        <v>118</v>
      </c>
      <c r="L2623">
        <v>6185.7</v>
      </c>
      <c r="M2623">
        <v>875.7</v>
      </c>
      <c r="N2623" s="1">
        <v>38282</v>
      </c>
      <c r="O2623" t="s">
        <v>25</v>
      </c>
      <c r="P2623">
        <v>4</v>
      </c>
      <c r="Q2623">
        <v>10</v>
      </c>
      <c r="R2623">
        <v>2004</v>
      </c>
      <c r="S2623" t="s">
        <v>202</v>
      </c>
    </row>
    <row r="2624" spans="1:19" x14ac:dyDescent="0.25">
      <c r="A2624">
        <v>10390</v>
      </c>
      <c r="B2624" t="s">
        <v>220</v>
      </c>
      <c r="C2624" t="s">
        <v>115</v>
      </c>
      <c r="D2624" t="s">
        <v>116</v>
      </c>
      <c r="E2624" t="s">
        <v>22</v>
      </c>
      <c r="F2624" t="s">
        <v>23</v>
      </c>
      <c r="G2624" t="s">
        <v>33</v>
      </c>
      <c r="H2624">
        <v>14</v>
      </c>
      <c r="I2624">
        <v>36</v>
      </c>
      <c r="J2624">
        <v>93.77</v>
      </c>
      <c r="K2624">
        <v>141</v>
      </c>
      <c r="L2624">
        <v>3375.72</v>
      </c>
      <c r="M2624">
        <v>-1700.28</v>
      </c>
      <c r="N2624" s="1">
        <v>38415</v>
      </c>
      <c r="O2624" t="s">
        <v>25</v>
      </c>
      <c r="P2624">
        <v>1</v>
      </c>
      <c r="Q2624">
        <v>3</v>
      </c>
      <c r="R2624">
        <v>2005</v>
      </c>
      <c r="S2624" t="s">
        <v>83</v>
      </c>
    </row>
    <row r="2625" spans="1:19" x14ac:dyDescent="0.25">
      <c r="A2625">
        <v>10322</v>
      </c>
      <c r="B2625" t="s">
        <v>225</v>
      </c>
      <c r="C2625" t="s">
        <v>117</v>
      </c>
      <c r="D2625" t="s">
        <v>118</v>
      </c>
      <c r="E2625" t="s">
        <v>22</v>
      </c>
      <c r="F2625" t="s">
        <v>23</v>
      </c>
      <c r="G2625" t="s">
        <v>33</v>
      </c>
      <c r="H2625">
        <v>14</v>
      </c>
      <c r="I2625">
        <v>43</v>
      </c>
      <c r="J2625">
        <v>86.3</v>
      </c>
      <c r="K2625">
        <v>102</v>
      </c>
      <c r="L2625">
        <v>3710.9</v>
      </c>
      <c r="M2625">
        <v>-675.1</v>
      </c>
      <c r="N2625" s="1">
        <v>38295</v>
      </c>
      <c r="O2625" t="s">
        <v>25</v>
      </c>
      <c r="P2625">
        <v>4</v>
      </c>
      <c r="Q2625">
        <v>11</v>
      </c>
      <c r="R2625">
        <v>2004</v>
      </c>
      <c r="S2625" t="s">
        <v>226</v>
      </c>
    </row>
    <row r="2626" spans="1:19" x14ac:dyDescent="0.25">
      <c r="A2626">
        <v>10288</v>
      </c>
      <c r="B2626" t="s">
        <v>232</v>
      </c>
      <c r="C2626" t="s">
        <v>171</v>
      </c>
      <c r="D2626" t="s">
        <v>89</v>
      </c>
      <c r="E2626" t="s">
        <v>89</v>
      </c>
      <c r="F2626" t="s">
        <v>50</v>
      </c>
      <c r="G2626" t="s">
        <v>24</v>
      </c>
      <c r="H2626">
        <v>14</v>
      </c>
      <c r="I2626">
        <v>20</v>
      </c>
      <c r="J2626">
        <v>100</v>
      </c>
      <c r="K2626">
        <v>124</v>
      </c>
      <c r="L2626">
        <v>2936.8</v>
      </c>
      <c r="M2626">
        <v>456.8</v>
      </c>
      <c r="N2626" s="1">
        <v>38231</v>
      </c>
      <c r="O2626" t="s">
        <v>25</v>
      </c>
      <c r="P2626">
        <v>3</v>
      </c>
      <c r="Q2626">
        <v>9</v>
      </c>
      <c r="R2626">
        <v>2004</v>
      </c>
      <c r="S2626" t="s">
        <v>83</v>
      </c>
    </row>
    <row r="2627" spans="1:19" x14ac:dyDescent="0.25">
      <c r="A2627">
        <v>10331</v>
      </c>
      <c r="B2627" t="s">
        <v>232</v>
      </c>
      <c r="C2627" t="s">
        <v>129</v>
      </c>
      <c r="D2627" t="s">
        <v>94</v>
      </c>
      <c r="E2627" t="s">
        <v>22</v>
      </c>
      <c r="F2627" t="s">
        <v>23</v>
      </c>
      <c r="G2627" t="s">
        <v>33</v>
      </c>
      <c r="H2627">
        <v>14</v>
      </c>
      <c r="I2627">
        <v>44</v>
      </c>
      <c r="J2627">
        <v>100</v>
      </c>
      <c r="K2627">
        <v>124</v>
      </c>
      <c r="L2627">
        <v>4849.24</v>
      </c>
      <c r="M2627">
        <v>-606.76</v>
      </c>
      <c r="N2627" s="1">
        <v>38308</v>
      </c>
      <c r="O2627" t="s">
        <v>25</v>
      </c>
      <c r="P2627">
        <v>4</v>
      </c>
      <c r="Q2627">
        <v>11</v>
      </c>
      <c r="R2627">
        <v>2004</v>
      </c>
      <c r="S2627" t="s">
        <v>83</v>
      </c>
    </row>
    <row r="2628" spans="1:19" x14ac:dyDescent="0.25">
      <c r="A2628">
        <v>10250</v>
      </c>
      <c r="B2628" t="s">
        <v>233</v>
      </c>
      <c r="C2628" t="s">
        <v>162</v>
      </c>
      <c r="D2628" t="s">
        <v>163</v>
      </c>
      <c r="E2628" t="s">
        <v>22</v>
      </c>
      <c r="F2628" t="s">
        <v>23</v>
      </c>
      <c r="G2628" t="s">
        <v>70</v>
      </c>
      <c r="H2628">
        <v>14</v>
      </c>
      <c r="I2628">
        <v>45</v>
      </c>
      <c r="J2628">
        <v>100</v>
      </c>
      <c r="K2628">
        <v>157</v>
      </c>
      <c r="L2628">
        <v>8160.3</v>
      </c>
      <c r="M2628">
        <v>1095.3</v>
      </c>
      <c r="N2628" s="1">
        <v>38118</v>
      </c>
      <c r="O2628" t="s">
        <v>25</v>
      </c>
      <c r="P2628">
        <v>2</v>
      </c>
      <c r="Q2628">
        <v>5</v>
      </c>
      <c r="R2628">
        <v>2004</v>
      </c>
      <c r="S2628" t="s">
        <v>234</v>
      </c>
    </row>
    <row r="2629" spans="1:19" x14ac:dyDescent="0.25">
      <c r="A2629">
        <v>10416</v>
      </c>
      <c r="B2629" t="s">
        <v>233</v>
      </c>
      <c r="C2629" t="s">
        <v>184</v>
      </c>
      <c r="D2629" t="s">
        <v>185</v>
      </c>
      <c r="E2629" t="s">
        <v>110</v>
      </c>
      <c r="F2629" t="s">
        <v>30</v>
      </c>
      <c r="G2629" t="s">
        <v>33</v>
      </c>
      <c r="H2629">
        <v>14</v>
      </c>
      <c r="I2629">
        <v>24</v>
      </c>
      <c r="J2629">
        <v>100</v>
      </c>
      <c r="K2629">
        <v>157</v>
      </c>
      <c r="L2629">
        <v>4352.16</v>
      </c>
      <c r="M2629">
        <v>584.16</v>
      </c>
      <c r="N2629" s="1">
        <v>38482</v>
      </c>
      <c r="O2629" t="s">
        <v>25</v>
      </c>
      <c r="P2629">
        <v>2</v>
      </c>
      <c r="Q2629">
        <v>5</v>
      </c>
      <c r="R2629">
        <v>2005</v>
      </c>
      <c r="S2629" t="s">
        <v>234</v>
      </c>
    </row>
    <row r="2630" spans="1:19" x14ac:dyDescent="0.25">
      <c r="A2630">
        <v>10193</v>
      </c>
      <c r="B2630" t="s">
        <v>240</v>
      </c>
      <c r="C2630" t="s">
        <v>229</v>
      </c>
      <c r="D2630" t="s">
        <v>230</v>
      </c>
      <c r="E2630" t="s">
        <v>49</v>
      </c>
      <c r="F2630" t="s">
        <v>50</v>
      </c>
      <c r="G2630" t="s">
        <v>33</v>
      </c>
      <c r="H2630">
        <v>14</v>
      </c>
      <c r="I2630">
        <v>21</v>
      </c>
      <c r="J2630">
        <v>100</v>
      </c>
      <c r="K2630">
        <v>170</v>
      </c>
      <c r="L2630">
        <v>3141.6</v>
      </c>
      <c r="M2630">
        <v>-428.4</v>
      </c>
      <c r="N2630" s="1">
        <v>37946</v>
      </c>
      <c r="O2630" t="s">
        <v>25</v>
      </c>
      <c r="P2630">
        <v>4</v>
      </c>
      <c r="Q2630">
        <v>11</v>
      </c>
      <c r="R2630">
        <v>2003</v>
      </c>
      <c r="S2630" t="s">
        <v>226</v>
      </c>
    </row>
    <row r="2631" spans="1:19" x14ac:dyDescent="0.25">
      <c r="A2631">
        <v>10212</v>
      </c>
      <c r="B2631" t="s">
        <v>241</v>
      </c>
      <c r="C2631" t="s">
        <v>78</v>
      </c>
      <c r="D2631" t="s">
        <v>79</v>
      </c>
      <c r="E2631" t="s">
        <v>80</v>
      </c>
      <c r="F2631" t="s">
        <v>30</v>
      </c>
      <c r="G2631" t="s">
        <v>24</v>
      </c>
      <c r="H2631">
        <v>14</v>
      </c>
      <c r="I2631">
        <v>20</v>
      </c>
      <c r="J2631">
        <v>66.989999999999995</v>
      </c>
      <c r="K2631">
        <v>77</v>
      </c>
      <c r="L2631">
        <v>1339.8</v>
      </c>
      <c r="M2631">
        <v>-200.2</v>
      </c>
      <c r="N2631" s="1">
        <v>38002</v>
      </c>
      <c r="O2631" t="s">
        <v>25</v>
      </c>
      <c r="P2631">
        <v>1</v>
      </c>
      <c r="Q2631">
        <v>1</v>
      </c>
      <c r="R2631">
        <v>2004</v>
      </c>
      <c r="S2631" t="s">
        <v>83</v>
      </c>
    </row>
    <row r="2632" spans="1:19" x14ac:dyDescent="0.25">
      <c r="A2632">
        <v>10321</v>
      </c>
      <c r="B2632" t="s">
        <v>241</v>
      </c>
      <c r="C2632" t="s">
        <v>73</v>
      </c>
      <c r="D2632" t="s">
        <v>74</v>
      </c>
      <c r="E2632" t="s">
        <v>22</v>
      </c>
      <c r="F2632" t="s">
        <v>23</v>
      </c>
      <c r="G2632" t="s">
        <v>24</v>
      </c>
      <c r="H2632">
        <v>14</v>
      </c>
      <c r="I2632">
        <v>37</v>
      </c>
      <c r="J2632">
        <v>78.540000000000006</v>
      </c>
      <c r="K2632">
        <v>77</v>
      </c>
      <c r="L2632">
        <v>2905.98</v>
      </c>
      <c r="M2632">
        <v>56.98</v>
      </c>
      <c r="N2632" s="1">
        <v>38295</v>
      </c>
      <c r="O2632" t="s">
        <v>25</v>
      </c>
      <c r="P2632">
        <v>4</v>
      </c>
      <c r="Q2632">
        <v>11</v>
      </c>
      <c r="R2632">
        <v>2004</v>
      </c>
      <c r="S2632" t="s">
        <v>83</v>
      </c>
    </row>
    <row r="2633" spans="1:19" x14ac:dyDescent="0.25">
      <c r="A2633">
        <v>10127</v>
      </c>
      <c r="B2633" t="s">
        <v>245</v>
      </c>
      <c r="C2633" t="s">
        <v>192</v>
      </c>
      <c r="D2633" t="s">
        <v>21</v>
      </c>
      <c r="E2633" t="s">
        <v>22</v>
      </c>
      <c r="F2633" t="s">
        <v>23</v>
      </c>
      <c r="G2633" t="s">
        <v>33</v>
      </c>
      <c r="H2633">
        <v>14</v>
      </c>
      <c r="I2633">
        <v>45</v>
      </c>
      <c r="J2633">
        <v>100</v>
      </c>
      <c r="K2633">
        <v>122</v>
      </c>
      <c r="L2633">
        <v>6295.95</v>
      </c>
      <c r="M2633">
        <v>805.95</v>
      </c>
      <c r="N2633" s="1">
        <v>37775</v>
      </c>
      <c r="O2633" t="s">
        <v>25</v>
      </c>
      <c r="P2633">
        <v>2</v>
      </c>
      <c r="Q2633">
        <v>6</v>
      </c>
      <c r="R2633">
        <v>2003</v>
      </c>
      <c r="S2633" t="s">
        <v>202</v>
      </c>
    </row>
    <row r="2634" spans="1:19" x14ac:dyDescent="0.25">
      <c r="A2634">
        <v>10312</v>
      </c>
      <c r="B2634" t="s">
        <v>246</v>
      </c>
      <c r="C2634" t="s">
        <v>115</v>
      </c>
      <c r="D2634" t="s">
        <v>116</v>
      </c>
      <c r="E2634" t="s">
        <v>22</v>
      </c>
      <c r="F2634" t="s">
        <v>23</v>
      </c>
      <c r="G2634" t="s">
        <v>33</v>
      </c>
      <c r="H2634">
        <v>14</v>
      </c>
      <c r="I2634">
        <v>31</v>
      </c>
      <c r="J2634">
        <v>100</v>
      </c>
      <c r="K2634">
        <v>127</v>
      </c>
      <c r="L2634">
        <v>4729.3599999999997</v>
      </c>
      <c r="M2634">
        <v>792.36</v>
      </c>
      <c r="N2634" s="1">
        <v>38281</v>
      </c>
      <c r="O2634" t="s">
        <v>25</v>
      </c>
      <c r="P2634">
        <v>4</v>
      </c>
      <c r="Q2634">
        <v>10</v>
      </c>
      <c r="R2634">
        <v>2004</v>
      </c>
      <c r="S2634" t="s">
        <v>226</v>
      </c>
    </row>
    <row r="2635" spans="1:19" x14ac:dyDescent="0.25">
      <c r="A2635">
        <v>10145</v>
      </c>
      <c r="B2635" t="s">
        <v>248</v>
      </c>
      <c r="C2635" t="s">
        <v>34</v>
      </c>
      <c r="D2635" t="s">
        <v>35</v>
      </c>
      <c r="E2635" t="s">
        <v>22</v>
      </c>
      <c r="F2635" t="s">
        <v>23</v>
      </c>
      <c r="G2635" t="s">
        <v>24</v>
      </c>
      <c r="H2635">
        <v>14</v>
      </c>
      <c r="I2635">
        <v>30</v>
      </c>
      <c r="J2635">
        <v>85.32</v>
      </c>
      <c r="K2635">
        <v>84</v>
      </c>
      <c r="L2635">
        <v>2559.6</v>
      </c>
      <c r="M2635">
        <v>39.6</v>
      </c>
      <c r="N2635" s="1">
        <v>37858</v>
      </c>
      <c r="O2635" t="s">
        <v>25</v>
      </c>
      <c r="P2635">
        <v>3</v>
      </c>
      <c r="Q2635">
        <v>8</v>
      </c>
      <c r="R2635">
        <v>2003</v>
      </c>
      <c r="S2635" t="s">
        <v>234</v>
      </c>
    </row>
    <row r="2636" spans="1:19" x14ac:dyDescent="0.25">
      <c r="A2636">
        <v>10304</v>
      </c>
      <c r="B2636" t="s">
        <v>250</v>
      </c>
      <c r="C2636" t="s">
        <v>113</v>
      </c>
      <c r="D2636" t="s">
        <v>114</v>
      </c>
      <c r="E2636" t="s">
        <v>29</v>
      </c>
      <c r="F2636" t="s">
        <v>30</v>
      </c>
      <c r="G2636" t="s">
        <v>33</v>
      </c>
      <c r="H2636">
        <v>14</v>
      </c>
      <c r="I2636">
        <v>20</v>
      </c>
      <c r="J2636">
        <v>100</v>
      </c>
      <c r="K2636">
        <v>168</v>
      </c>
      <c r="L2636">
        <v>3577.6</v>
      </c>
      <c r="M2636">
        <v>217.6</v>
      </c>
      <c r="N2636" s="1">
        <v>38271</v>
      </c>
      <c r="O2636" t="s">
        <v>25</v>
      </c>
      <c r="P2636">
        <v>4</v>
      </c>
      <c r="Q2636">
        <v>10</v>
      </c>
      <c r="R2636">
        <v>2004</v>
      </c>
      <c r="S2636" t="s">
        <v>226</v>
      </c>
    </row>
    <row r="2637" spans="1:19" x14ac:dyDescent="0.25">
      <c r="A2637">
        <v>10204</v>
      </c>
      <c r="B2637" t="s">
        <v>251</v>
      </c>
      <c r="C2637" t="s">
        <v>192</v>
      </c>
      <c r="D2637" t="s">
        <v>21</v>
      </c>
      <c r="E2637" t="s">
        <v>22</v>
      </c>
      <c r="F2637" t="s">
        <v>23</v>
      </c>
      <c r="G2637" t="s">
        <v>33</v>
      </c>
      <c r="H2637">
        <v>14</v>
      </c>
      <c r="I2637">
        <v>27</v>
      </c>
      <c r="J2637">
        <v>100</v>
      </c>
      <c r="K2637">
        <v>132</v>
      </c>
      <c r="L2637">
        <v>4169.88</v>
      </c>
      <c r="M2637">
        <v>605.88</v>
      </c>
      <c r="N2637" s="1">
        <v>37957</v>
      </c>
      <c r="O2637" t="s">
        <v>25</v>
      </c>
      <c r="P2637">
        <v>4</v>
      </c>
      <c r="Q2637">
        <v>12</v>
      </c>
      <c r="R2637">
        <v>2003</v>
      </c>
      <c r="S2637" t="s">
        <v>83</v>
      </c>
    </row>
    <row r="2638" spans="1:19" x14ac:dyDescent="0.25">
      <c r="A2638">
        <v>10103</v>
      </c>
      <c r="B2638" t="s">
        <v>253</v>
      </c>
      <c r="C2638" t="s">
        <v>63</v>
      </c>
      <c r="D2638" t="s">
        <v>64</v>
      </c>
      <c r="E2638" t="s">
        <v>44</v>
      </c>
      <c r="F2638" t="s">
        <v>30</v>
      </c>
      <c r="G2638" t="s">
        <v>24</v>
      </c>
      <c r="H2638">
        <v>14</v>
      </c>
      <c r="I2638">
        <v>35</v>
      </c>
      <c r="J2638">
        <v>57.46</v>
      </c>
      <c r="K2638">
        <v>62</v>
      </c>
      <c r="L2638">
        <v>2011.1</v>
      </c>
      <c r="M2638">
        <v>-158.9</v>
      </c>
      <c r="N2638" s="1">
        <v>37650</v>
      </c>
      <c r="O2638" t="s">
        <v>25</v>
      </c>
      <c r="P2638">
        <v>1</v>
      </c>
      <c r="Q2638">
        <v>1</v>
      </c>
      <c r="R2638">
        <v>2003</v>
      </c>
      <c r="S2638" t="s">
        <v>226</v>
      </c>
    </row>
    <row r="2639" spans="1:19" x14ac:dyDescent="0.25">
      <c r="A2639">
        <v>10126</v>
      </c>
      <c r="B2639" t="s">
        <v>253</v>
      </c>
      <c r="C2639" t="s">
        <v>87</v>
      </c>
      <c r="D2639" t="s">
        <v>79</v>
      </c>
      <c r="E2639" t="s">
        <v>80</v>
      </c>
      <c r="F2639" t="s">
        <v>30</v>
      </c>
      <c r="G2639" t="s">
        <v>33</v>
      </c>
      <c r="H2639">
        <v>14</v>
      </c>
      <c r="I2639">
        <v>46</v>
      </c>
      <c r="J2639">
        <v>73.7</v>
      </c>
      <c r="K2639">
        <v>62</v>
      </c>
      <c r="L2639">
        <v>3390.2</v>
      </c>
      <c r="M2639">
        <v>538.20000000000005</v>
      </c>
      <c r="N2639" s="1">
        <v>37769</v>
      </c>
      <c r="O2639" t="s">
        <v>25</v>
      </c>
      <c r="P2639">
        <v>2</v>
      </c>
      <c r="Q2639">
        <v>5</v>
      </c>
      <c r="R2639">
        <v>2003</v>
      </c>
      <c r="S2639" t="s">
        <v>226</v>
      </c>
    </row>
    <row r="2640" spans="1:19" x14ac:dyDescent="0.25">
      <c r="A2640">
        <v>10291</v>
      </c>
      <c r="B2640" t="s">
        <v>253</v>
      </c>
      <c r="C2640" t="s">
        <v>111</v>
      </c>
      <c r="D2640" t="s">
        <v>112</v>
      </c>
      <c r="E2640" t="s">
        <v>86</v>
      </c>
      <c r="F2640" t="s">
        <v>30</v>
      </c>
      <c r="G2640" t="s">
        <v>24</v>
      </c>
      <c r="H2640">
        <v>14</v>
      </c>
      <c r="I2640">
        <v>37</v>
      </c>
      <c r="J2640">
        <v>50.59</v>
      </c>
      <c r="K2640">
        <v>62</v>
      </c>
      <c r="L2640">
        <v>1871.83</v>
      </c>
      <c r="M2640">
        <v>-422.17</v>
      </c>
      <c r="N2640" s="1">
        <v>38238</v>
      </c>
      <c r="O2640" t="s">
        <v>25</v>
      </c>
      <c r="P2640">
        <v>3</v>
      </c>
      <c r="Q2640">
        <v>9</v>
      </c>
      <c r="R2640">
        <v>2004</v>
      </c>
      <c r="S2640" t="s">
        <v>226</v>
      </c>
    </row>
    <row r="2641" spans="1:19" x14ac:dyDescent="0.25">
      <c r="A2641">
        <v>10148</v>
      </c>
      <c r="B2641" t="s">
        <v>259</v>
      </c>
      <c r="C2641" t="s">
        <v>121</v>
      </c>
      <c r="D2641" t="s">
        <v>122</v>
      </c>
      <c r="E2641" t="s">
        <v>49</v>
      </c>
      <c r="F2641" t="s">
        <v>50</v>
      </c>
      <c r="G2641" t="s">
        <v>33</v>
      </c>
      <c r="H2641">
        <v>14</v>
      </c>
      <c r="I2641">
        <v>32</v>
      </c>
      <c r="J2641">
        <v>100</v>
      </c>
      <c r="K2641">
        <v>169</v>
      </c>
      <c r="L2641">
        <v>5418.88</v>
      </c>
      <c r="M2641">
        <v>10.88</v>
      </c>
      <c r="N2641" s="1">
        <v>37875</v>
      </c>
      <c r="O2641" t="s">
        <v>25</v>
      </c>
      <c r="P2641">
        <v>3</v>
      </c>
      <c r="Q2641">
        <v>9</v>
      </c>
      <c r="R2641">
        <v>2003</v>
      </c>
      <c r="S2641" t="s">
        <v>83</v>
      </c>
    </row>
    <row r="2642" spans="1:19" x14ac:dyDescent="0.25">
      <c r="A2642">
        <v>10248</v>
      </c>
      <c r="B2642" t="s">
        <v>260</v>
      </c>
      <c r="C2642" t="s">
        <v>20</v>
      </c>
      <c r="D2642" t="s">
        <v>21</v>
      </c>
      <c r="E2642" t="s">
        <v>22</v>
      </c>
      <c r="F2642" t="s">
        <v>23</v>
      </c>
      <c r="G2642" t="s">
        <v>33</v>
      </c>
      <c r="H2642">
        <v>14</v>
      </c>
      <c r="I2642">
        <v>42</v>
      </c>
      <c r="J2642">
        <v>100</v>
      </c>
      <c r="K2642">
        <v>100</v>
      </c>
      <c r="L2642">
        <v>5082.42</v>
      </c>
      <c r="M2642">
        <v>882.42</v>
      </c>
      <c r="N2642" s="1">
        <v>38114</v>
      </c>
      <c r="O2642" t="s">
        <v>141</v>
      </c>
      <c r="P2642">
        <v>2</v>
      </c>
      <c r="Q2642">
        <v>5</v>
      </c>
      <c r="R2642">
        <v>2004</v>
      </c>
      <c r="S2642" t="s">
        <v>261</v>
      </c>
    </row>
    <row r="2643" spans="1:19" x14ac:dyDescent="0.25">
      <c r="A2643">
        <v>10414</v>
      </c>
      <c r="B2643" t="s">
        <v>260</v>
      </c>
      <c r="C2643" t="s">
        <v>156</v>
      </c>
      <c r="D2643" t="s">
        <v>157</v>
      </c>
      <c r="E2643" t="s">
        <v>22</v>
      </c>
      <c r="F2643" t="s">
        <v>23</v>
      </c>
      <c r="G2643" t="s">
        <v>33</v>
      </c>
      <c r="H2643">
        <v>14</v>
      </c>
      <c r="I2643">
        <v>48</v>
      </c>
      <c r="J2643">
        <v>100</v>
      </c>
      <c r="K2643">
        <v>100</v>
      </c>
      <c r="L2643">
        <v>5808.48</v>
      </c>
      <c r="M2643">
        <v>1008.48</v>
      </c>
      <c r="N2643" s="1">
        <v>38478</v>
      </c>
      <c r="O2643" t="s">
        <v>164</v>
      </c>
      <c r="P2643">
        <v>2</v>
      </c>
      <c r="Q2643">
        <v>5</v>
      </c>
      <c r="R2643">
        <v>2005</v>
      </c>
      <c r="S2643" t="s">
        <v>261</v>
      </c>
    </row>
    <row r="2644" spans="1:19" x14ac:dyDescent="0.25">
      <c r="A2644">
        <v>10287</v>
      </c>
      <c r="B2644" t="s">
        <v>264</v>
      </c>
      <c r="C2644" t="s">
        <v>181</v>
      </c>
      <c r="D2644" t="s">
        <v>182</v>
      </c>
      <c r="E2644" t="s">
        <v>183</v>
      </c>
      <c r="F2644" t="s">
        <v>30</v>
      </c>
      <c r="G2644" t="s">
        <v>33</v>
      </c>
      <c r="H2644">
        <v>14</v>
      </c>
      <c r="I2644">
        <v>40</v>
      </c>
      <c r="J2644">
        <v>100</v>
      </c>
      <c r="K2644">
        <v>146</v>
      </c>
      <c r="L2644">
        <v>6761.6</v>
      </c>
      <c r="M2644">
        <v>921.6</v>
      </c>
      <c r="N2644" s="1">
        <v>38229</v>
      </c>
      <c r="O2644" t="s">
        <v>25</v>
      </c>
      <c r="P2644">
        <v>3</v>
      </c>
      <c r="Q2644">
        <v>8</v>
      </c>
      <c r="R2644">
        <v>2004</v>
      </c>
      <c r="S2644" t="s">
        <v>83</v>
      </c>
    </row>
    <row r="2645" spans="1:19" x14ac:dyDescent="0.25">
      <c r="A2645">
        <v>10262</v>
      </c>
      <c r="B2645" t="s">
        <v>267</v>
      </c>
      <c r="C2645" t="s">
        <v>78</v>
      </c>
      <c r="D2645" t="s">
        <v>79</v>
      </c>
      <c r="E2645" t="s">
        <v>80</v>
      </c>
      <c r="F2645" t="s">
        <v>30</v>
      </c>
      <c r="G2645" t="s">
        <v>33</v>
      </c>
      <c r="H2645">
        <v>14</v>
      </c>
      <c r="I2645">
        <v>34</v>
      </c>
      <c r="J2645">
        <v>100</v>
      </c>
      <c r="K2645">
        <v>105</v>
      </c>
      <c r="L2645">
        <v>4103.46</v>
      </c>
      <c r="M2645">
        <v>533.46</v>
      </c>
      <c r="N2645" s="1">
        <v>38162</v>
      </c>
      <c r="O2645" t="s">
        <v>141</v>
      </c>
      <c r="P2645">
        <v>2</v>
      </c>
      <c r="Q2645">
        <v>6</v>
      </c>
      <c r="R2645">
        <v>2004</v>
      </c>
      <c r="S2645" t="s">
        <v>226</v>
      </c>
    </row>
    <row r="2646" spans="1:19" x14ac:dyDescent="0.25">
      <c r="A2646">
        <v>10316</v>
      </c>
      <c r="B2646" t="s">
        <v>267</v>
      </c>
      <c r="C2646" t="s">
        <v>158</v>
      </c>
      <c r="D2646" t="s">
        <v>159</v>
      </c>
      <c r="E2646" t="s">
        <v>77</v>
      </c>
      <c r="F2646" t="s">
        <v>30</v>
      </c>
      <c r="G2646" t="s">
        <v>33</v>
      </c>
      <c r="H2646">
        <v>14</v>
      </c>
      <c r="I2646">
        <v>47</v>
      </c>
      <c r="J2646">
        <v>86.81</v>
      </c>
      <c r="K2646">
        <v>105</v>
      </c>
      <c r="L2646">
        <v>4080.07</v>
      </c>
      <c r="M2646">
        <v>-854.93</v>
      </c>
      <c r="N2646" s="1">
        <v>38292</v>
      </c>
      <c r="O2646" t="s">
        <v>25</v>
      </c>
      <c r="P2646">
        <v>4</v>
      </c>
      <c r="Q2646">
        <v>11</v>
      </c>
      <c r="R2646">
        <v>2004</v>
      </c>
      <c r="S2646" t="s">
        <v>226</v>
      </c>
    </row>
    <row r="2647" spans="1:19" x14ac:dyDescent="0.25">
      <c r="A2647">
        <v>10173</v>
      </c>
      <c r="B2647" t="s">
        <v>269</v>
      </c>
      <c r="C2647" t="s">
        <v>227</v>
      </c>
      <c r="D2647" t="s">
        <v>228</v>
      </c>
      <c r="E2647" t="s">
        <v>110</v>
      </c>
      <c r="F2647" t="s">
        <v>30</v>
      </c>
      <c r="G2647" t="s">
        <v>24</v>
      </c>
      <c r="H2647">
        <v>14</v>
      </c>
      <c r="I2647">
        <v>21</v>
      </c>
      <c r="J2647">
        <v>75.459999999999994</v>
      </c>
      <c r="K2647">
        <v>92</v>
      </c>
      <c r="L2647">
        <v>1584.66</v>
      </c>
      <c r="M2647">
        <v>-347.34</v>
      </c>
      <c r="N2647" s="1">
        <v>37930</v>
      </c>
      <c r="O2647" t="s">
        <v>25</v>
      </c>
      <c r="P2647">
        <v>4</v>
      </c>
      <c r="Q2647">
        <v>11</v>
      </c>
      <c r="R2647">
        <v>2003</v>
      </c>
      <c r="S2647" t="s">
        <v>226</v>
      </c>
    </row>
    <row r="2648" spans="1:19" x14ac:dyDescent="0.25">
      <c r="A2648">
        <v>10197</v>
      </c>
      <c r="B2648" t="s">
        <v>270</v>
      </c>
      <c r="C2648" t="s">
        <v>145</v>
      </c>
      <c r="D2648" t="s">
        <v>146</v>
      </c>
      <c r="E2648" t="s">
        <v>80</v>
      </c>
      <c r="F2648" t="s">
        <v>30</v>
      </c>
      <c r="G2648" t="s">
        <v>33</v>
      </c>
      <c r="H2648">
        <v>14</v>
      </c>
      <c r="I2648">
        <v>50</v>
      </c>
      <c r="J2648">
        <v>100</v>
      </c>
      <c r="K2648">
        <v>87</v>
      </c>
      <c r="L2648">
        <v>5090.5</v>
      </c>
      <c r="M2648">
        <v>740.5</v>
      </c>
      <c r="N2648" s="1">
        <v>37951</v>
      </c>
      <c r="O2648" t="s">
        <v>25</v>
      </c>
      <c r="P2648">
        <v>4</v>
      </c>
      <c r="Q2648">
        <v>11</v>
      </c>
      <c r="R2648">
        <v>2003</v>
      </c>
      <c r="S2648" t="s">
        <v>226</v>
      </c>
    </row>
    <row r="2649" spans="1:19" x14ac:dyDescent="0.25">
      <c r="A2649">
        <v>10283</v>
      </c>
      <c r="B2649" t="s">
        <v>270</v>
      </c>
      <c r="C2649" t="s">
        <v>154</v>
      </c>
      <c r="D2649" t="s">
        <v>155</v>
      </c>
      <c r="E2649" t="s">
        <v>99</v>
      </c>
      <c r="F2649" t="s">
        <v>23</v>
      </c>
      <c r="G2649" t="s">
        <v>33</v>
      </c>
      <c r="H2649">
        <v>14</v>
      </c>
      <c r="I2649">
        <v>34</v>
      </c>
      <c r="J2649">
        <v>100</v>
      </c>
      <c r="K2649">
        <v>87</v>
      </c>
      <c r="L2649">
        <v>3580.88</v>
      </c>
      <c r="M2649">
        <v>622.88</v>
      </c>
      <c r="N2649" s="1">
        <v>38219</v>
      </c>
      <c r="O2649" t="s">
        <v>25</v>
      </c>
      <c r="P2649">
        <v>3</v>
      </c>
      <c r="Q2649">
        <v>8</v>
      </c>
      <c r="R2649">
        <v>2004</v>
      </c>
      <c r="S2649" t="s">
        <v>226</v>
      </c>
    </row>
    <row r="2650" spans="1:19" x14ac:dyDescent="0.25">
      <c r="A2650">
        <v>10305</v>
      </c>
      <c r="B2650" t="s">
        <v>271</v>
      </c>
      <c r="C2650" t="s">
        <v>58</v>
      </c>
      <c r="D2650" t="s">
        <v>59</v>
      </c>
      <c r="E2650" t="s">
        <v>22</v>
      </c>
      <c r="F2650" t="s">
        <v>23</v>
      </c>
      <c r="G2650" t="s">
        <v>24</v>
      </c>
      <c r="H2650">
        <v>14</v>
      </c>
      <c r="I2650">
        <v>22</v>
      </c>
      <c r="J2650">
        <v>99.29</v>
      </c>
      <c r="K2650">
        <v>121</v>
      </c>
      <c r="L2650">
        <v>2184.38</v>
      </c>
      <c r="M2650">
        <v>-477.62</v>
      </c>
      <c r="N2650" s="1">
        <v>38273</v>
      </c>
      <c r="O2650" t="s">
        <v>25</v>
      </c>
      <c r="P2650">
        <v>4</v>
      </c>
      <c r="Q2650">
        <v>10</v>
      </c>
      <c r="R2650">
        <v>2004</v>
      </c>
      <c r="S2650" t="s">
        <v>202</v>
      </c>
    </row>
    <row r="2651" spans="1:19" x14ac:dyDescent="0.25">
      <c r="A2651">
        <v>10229</v>
      </c>
      <c r="B2651" t="s">
        <v>272</v>
      </c>
      <c r="C2651" t="s">
        <v>115</v>
      </c>
      <c r="D2651" t="s">
        <v>116</v>
      </c>
      <c r="E2651" t="s">
        <v>22</v>
      </c>
      <c r="F2651" t="s">
        <v>23</v>
      </c>
      <c r="G2651" t="s">
        <v>24</v>
      </c>
      <c r="H2651">
        <v>14</v>
      </c>
      <c r="I2651">
        <v>39</v>
      </c>
      <c r="J2651">
        <v>40.25</v>
      </c>
      <c r="K2651">
        <v>50</v>
      </c>
      <c r="L2651">
        <v>1569.75</v>
      </c>
      <c r="M2651">
        <v>-380.25</v>
      </c>
      <c r="N2651" s="1">
        <v>38057</v>
      </c>
      <c r="O2651" t="s">
        <v>25</v>
      </c>
      <c r="P2651">
        <v>1</v>
      </c>
      <c r="Q2651">
        <v>3</v>
      </c>
      <c r="R2651">
        <v>2004</v>
      </c>
      <c r="S2651" t="s">
        <v>226</v>
      </c>
    </row>
    <row r="2652" spans="1:19" x14ac:dyDescent="0.25">
      <c r="A2652">
        <v>10281</v>
      </c>
      <c r="B2652" t="s">
        <v>272</v>
      </c>
      <c r="C2652" t="s">
        <v>65</v>
      </c>
      <c r="D2652" t="s">
        <v>66</v>
      </c>
      <c r="E2652" t="s">
        <v>22</v>
      </c>
      <c r="F2652" t="s">
        <v>23</v>
      </c>
      <c r="G2652" t="s">
        <v>24</v>
      </c>
      <c r="H2652">
        <v>14</v>
      </c>
      <c r="I2652">
        <v>44</v>
      </c>
      <c r="J2652">
        <v>59.87</v>
      </c>
      <c r="K2652">
        <v>50</v>
      </c>
      <c r="L2652">
        <v>2634.28</v>
      </c>
      <c r="M2652">
        <v>434.28</v>
      </c>
      <c r="N2652" s="1">
        <v>38218</v>
      </c>
      <c r="O2652" t="s">
        <v>25</v>
      </c>
      <c r="P2652">
        <v>3</v>
      </c>
      <c r="Q2652">
        <v>8</v>
      </c>
      <c r="R2652">
        <v>2004</v>
      </c>
      <c r="S2652" t="s">
        <v>226</v>
      </c>
    </row>
    <row r="2653" spans="1:19" x14ac:dyDescent="0.25">
      <c r="A2653">
        <v>10225</v>
      </c>
      <c r="B2653" t="s">
        <v>273</v>
      </c>
      <c r="C2653" t="s">
        <v>181</v>
      </c>
      <c r="D2653" t="s">
        <v>182</v>
      </c>
      <c r="E2653" t="s">
        <v>183</v>
      </c>
      <c r="F2653" t="s">
        <v>30</v>
      </c>
      <c r="G2653" t="s">
        <v>33</v>
      </c>
      <c r="H2653">
        <v>14</v>
      </c>
      <c r="I2653">
        <v>35</v>
      </c>
      <c r="J2653">
        <v>100</v>
      </c>
      <c r="K2653">
        <v>148</v>
      </c>
      <c r="L2653">
        <v>5260.15</v>
      </c>
      <c r="M2653">
        <v>80.150000000000006</v>
      </c>
      <c r="N2653" s="1">
        <v>38039</v>
      </c>
      <c r="O2653" t="s">
        <v>25</v>
      </c>
      <c r="P2653">
        <v>1</v>
      </c>
      <c r="Q2653">
        <v>2</v>
      </c>
      <c r="R2653">
        <v>2004</v>
      </c>
      <c r="S2653" t="s">
        <v>83</v>
      </c>
    </row>
    <row r="2654" spans="1:19" x14ac:dyDescent="0.25">
      <c r="A2654">
        <v>10324</v>
      </c>
      <c r="B2654" t="s">
        <v>276</v>
      </c>
      <c r="C2654" t="s">
        <v>51</v>
      </c>
      <c r="D2654" t="s">
        <v>21</v>
      </c>
      <c r="E2654" t="s">
        <v>22</v>
      </c>
      <c r="F2654" t="s">
        <v>23</v>
      </c>
      <c r="G2654" t="s">
        <v>24</v>
      </c>
      <c r="H2654">
        <v>14</v>
      </c>
      <c r="I2654">
        <v>25</v>
      </c>
      <c r="J2654">
        <v>69.16</v>
      </c>
      <c r="K2654">
        <v>57</v>
      </c>
      <c r="L2654">
        <v>1729</v>
      </c>
      <c r="M2654">
        <v>304</v>
      </c>
      <c r="N2654" s="1">
        <v>38296</v>
      </c>
      <c r="O2654" t="s">
        <v>25</v>
      </c>
      <c r="P2654">
        <v>4</v>
      </c>
      <c r="Q2654">
        <v>11</v>
      </c>
      <c r="R2654">
        <v>2004</v>
      </c>
      <c r="S2654" t="s">
        <v>83</v>
      </c>
    </row>
    <row r="2655" spans="1:19" x14ac:dyDescent="0.25">
      <c r="A2655">
        <v>10358</v>
      </c>
      <c r="B2655" t="s">
        <v>276</v>
      </c>
      <c r="C2655" t="s">
        <v>78</v>
      </c>
      <c r="D2655" t="s">
        <v>79</v>
      </c>
      <c r="E2655" t="s">
        <v>80</v>
      </c>
      <c r="F2655" t="s">
        <v>30</v>
      </c>
      <c r="G2655" t="s">
        <v>24</v>
      </c>
      <c r="H2655">
        <v>14</v>
      </c>
      <c r="I2655">
        <v>44</v>
      </c>
      <c r="J2655">
        <v>60.76</v>
      </c>
      <c r="K2655">
        <v>57</v>
      </c>
      <c r="L2655">
        <v>2673.44</v>
      </c>
      <c r="M2655">
        <v>165.44</v>
      </c>
      <c r="N2655" s="1">
        <v>38331</v>
      </c>
      <c r="O2655" t="s">
        <v>25</v>
      </c>
      <c r="P2655">
        <v>4</v>
      </c>
      <c r="Q2655">
        <v>12</v>
      </c>
      <c r="R2655">
        <v>2004</v>
      </c>
      <c r="S2655" t="s">
        <v>83</v>
      </c>
    </row>
    <row r="2656" spans="1:19" x14ac:dyDescent="0.25">
      <c r="A2656">
        <v>10328</v>
      </c>
      <c r="B2656" t="s">
        <v>279</v>
      </c>
      <c r="C2656" t="s">
        <v>227</v>
      </c>
      <c r="D2656" t="s">
        <v>228</v>
      </c>
      <c r="E2656" t="s">
        <v>110</v>
      </c>
      <c r="F2656" t="s">
        <v>30</v>
      </c>
      <c r="G2656" t="s">
        <v>33</v>
      </c>
      <c r="H2656">
        <v>14</v>
      </c>
      <c r="I2656">
        <v>47</v>
      </c>
      <c r="J2656">
        <v>87.54</v>
      </c>
      <c r="K2656">
        <v>109</v>
      </c>
      <c r="L2656">
        <v>4114.38</v>
      </c>
      <c r="M2656">
        <v>-1008.62</v>
      </c>
      <c r="N2656" s="1">
        <v>38303</v>
      </c>
      <c r="O2656" t="s">
        <v>25</v>
      </c>
      <c r="P2656">
        <v>4</v>
      </c>
      <c r="Q2656">
        <v>11</v>
      </c>
      <c r="R2656">
        <v>2004</v>
      </c>
      <c r="S2656" t="s">
        <v>234</v>
      </c>
    </row>
    <row r="2657" spans="1:19" x14ac:dyDescent="0.25">
      <c r="A2657">
        <v>10180</v>
      </c>
      <c r="B2657" t="s">
        <v>281</v>
      </c>
      <c r="C2657" t="s">
        <v>40</v>
      </c>
      <c r="D2657" t="s">
        <v>41</v>
      </c>
      <c r="E2657" t="s">
        <v>29</v>
      </c>
      <c r="F2657" t="s">
        <v>30</v>
      </c>
      <c r="G2657" t="s">
        <v>24</v>
      </c>
      <c r="H2657">
        <v>14</v>
      </c>
      <c r="I2657">
        <v>28</v>
      </c>
      <c r="J2657">
        <v>68.55</v>
      </c>
      <c r="K2657">
        <v>76</v>
      </c>
      <c r="L2657">
        <v>1919.4</v>
      </c>
      <c r="M2657">
        <v>-208.6</v>
      </c>
      <c r="N2657" s="1">
        <v>37936</v>
      </c>
      <c r="O2657" t="s">
        <v>25</v>
      </c>
      <c r="P2657">
        <v>4</v>
      </c>
      <c r="Q2657">
        <v>11</v>
      </c>
      <c r="R2657">
        <v>2003</v>
      </c>
      <c r="S2657" t="s">
        <v>26</v>
      </c>
    </row>
    <row r="2658" spans="1:19" x14ac:dyDescent="0.25">
      <c r="A2658">
        <v>10363</v>
      </c>
      <c r="B2658" t="s">
        <v>285</v>
      </c>
      <c r="C2658" t="s">
        <v>189</v>
      </c>
      <c r="D2658" t="s">
        <v>190</v>
      </c>
      <c r="E2658" t="s">
        <v>62</v>
      </c>
      <c r="F2658" t="s">
        <v>30</v>
      </c>
      <c r="G2658" t="s">
        <v>24</v>
      </c>
      <c r="H2658">
        <v>14</v>
      </c>
      <c r="I2658">
        <v>43</v>
      </c>
      <c r="J2658">
        <v>61.23</v>
      </c>
      <c r="K2658">
        <v>69</v>
      </c>
      <c r="L2658">
        <v>2632.89</v>
      </c>
      <c r="M2658">
        <v>-334.11</v>
      </c>
      <c r="N2658" s="1">
        <v>38358</v>
      </c>
      <c r="O2658" t="s">
        <v>25</v>
      </c>
      <c r="P2658">
        <v>1</v>
      </c>
      <c r="Q2658">
        <v>1</v>
      </c>
      <c r="R2658">
        <v>2005</v>
      </c>
      <c r="S2658" t="s">
        <v>26</v>
      </c>
    </row>
    <row r="2659" spans="1:19" x14ac:dyDescent="0.25">
      <c r="A2659">
        <v>10375</v>
      </c>
      <c r="B2659" t="s">
        <v>285</v>
      </c>
      <c r="C2659" t="s">
        <v>56</v>
      </c>
      <c r="D2659" t="s">
        <v>57</v>
      </c>
      <c r="E2659" t="s">
        <v>29</v>
      </c>
      <c r="F2659" t="s">
        <v>30</v>
      </c>
      <c r="G2659" t="s">
        <v>24</v>
      </c>
      <c r="H2659">
        <v>14</v>
      </c>
      <c r="I2659">
        <v>20</v>
      </c>
      <c r="J2659">
        <v>100</v>
      </c>
      <c r="K2659">
        <v>69</v>
      </c>
      <c r="L2659">
        <v>2046</v>
      </c>
      <c r="M2659">
        <v>666</v>
      </c>
      <c r="N2659" s="1">
        <v>38386</v>
      </c>
      <c r="O2659" t="s">
        <v>25</v>
      </c>
      <c r="P2659">
        <v>1</v>
      </c>
      <c r="Q2659">
        <v>2</v>
      </c>
      <c r="R2659">
        <v>2005</v>
      </c>
      <c r="S2659" t="s">
        <v>26</v>
      </c>
    </row>
    <row r="2660" spans="1:19" x14ac:dyDescent="0.25">
      <c r="A2660">
        <v>10182</v>
      </c>
      <c r="B2660" t="s">
        <v>286</v>
      </c>
      <c r="C2660" t="s">
        <v>115</v>
      </c>
      <c r="D2660" t="s">
        <v>116</v>
      </c>
      <c r="E2660" t="s">
        <v>22</v>
      </c>
      <c r="F2660" t="s">
        <v>23</v>
      </c>
      <c r="G2660" t="s">
        <v>24</v>
      </c>
      <c r="H2660">
        <v>14</v>
      </c>
      <c r="I2660">
        <v>36</v>
      </c>
      <c r="J2660">
        <v>73.599999999999994</v>
      </c>
      <c r="K2660">
        <v>90</v>
      </c>
      <c r="L2660">
        <v>2649.6</v>
      </c>
      <c r="M2660">
        <v>-590.4</v>
      </c>
      <c r="N2660" s="1">
        <v>37937</v>
      </c>
      <c r="O2660" t="s">
        <v>25</v>
      </c>
      <c r="P2660">
        <v>4</v>
      </c>
      <c r="Q2660">
        <v>11</v>
      </c>
      <c r="R2660">
        <v>2003</v>
      </c>
      <c r="S2660" t="s">
        <v>83</v>
      </c>
    </row>
    <row r="2661" spans="1:19" x14ac:dyDescent="0.25">
      <c r="A2661">
        <v>10227</v>
      </c>
      <c r="B2661" t="s">
        <v>286</v>
      </c>
      <c r="C2661" t="s">
        <v>95</v>
      </c>
      <c r="D2661" t="s">
        <v>96</v>
      </c>
      <c r="E2661" t="s">
        <v>29</v>
      </c>
      <c r="F2661" t="s">
        <v>30</v>
      </c>
      <c r="G2661" t="s">
        <v>33</v>
      </c>
      <c r="H2661">
        <v>14</v>
      </c>
      <c r="I2661">
        <v>47</v>
      </c>
      <c r="J2661">
        <v>88.14</v>
      </c>
      <c r="K2661">
        <v>90</v>
      </c>
      <c r="L2661">
        <v>4142.58</v>
      </c>
      <c r="M2661">
        <v>-87.42</v>
      </c>
      <c r="N2661" s="1">
        <v>38048</v>
      </c>
      <c r="O2661" t="s">
        <v>25</v>
      </c>
      <c r="P2661">
        <v>1</v>
      </c>
      <c r="Q2661">
        <v>3</v>
      </c>
      <c r="R2661">
        <v>2004</v>
      </c>
      <c r="S2661" t="s">
        <v>83</v>
      </c>
    </row>
    <row r="2662" spans="1:19" x14ac:dyDescent="0.25">
      <c r="A2662">
        <v>10222</v>
      </c>
      <c r="B2662" t="s">
        <v>291</v>
      </c>
      <c r="C2662" t="s">
        <v>149</v>
      </c>
      <c r="D2662" t="s">
        <v>150</v>
      </c>
      <c r="E2662" t="s">
        <v>22</v>
      </c>
      <c r="F2662" t="s">
        <v>23</v>
      </c>
      <c r="G2662" t="s">
        <v>33</v>
      </c>
      <c r="H2662">
        <v>14</v>
      </c>
      <c r="I2662">
        <v>47</v>
      </c>
      <c r="J2662">
        <v>70.81</v>
      </c>
      <c r="K2662">
        <v>88</v>
      </c>
      <c r="L2662">
        <v>3328.07</v>
      </c>
      <c r="M2662">
        <v>-807.93</v>
      </c>
      <c r="N2662" s="1">
        <v>38036</v>
      </c>
      <c r="O2662" t="s">
        <v>25</v>
      </c>
      <c r="P2662">
        <v>1</v>
      </c>
      <c r="Q2662">
        <v>2</v>
      </c>
      <c r="R2662">
        <v>2004</v>
      </c>
      <c r="S2662" t="s">
        <v>226</v>
      </c>
    </row>
    <row r="2663" spans="1:19" x14ac:dyDescent="0.25">
      <c r="A2663">
        <v>10106</v>
      </c>
      <c r="B2663" t="s">
        <v>294</v>
      </c>
      <c r="C2663" t="s">
        <v>227</v>
      </c>
      <c r="D2663" t="s">
        <v>228</v>
      </c>
      <c r="E2663" t="s">
        <v>110</v>
      </c>
      <c r="F2663" t="s">
        <v>30</v>
      </c>
      <c r="G2663" t="s">
        <v>24</v>
      </c>
      <c r="H2663">
        <v>14</v>
      </c>
      <c r="I2663">
        <v>31</v>
      </c>
      <c r="J2663">
        <v>52.6</v>
      </c>
      <c r="K2663">
        <v>65</v>
      </c>
      <c r="L2663">
        <v>1630.6</v>
      </c>
      <c r="M2663">
        <v>-384.4</v>
      </c>
      <c r="N2663" s="1">
        <v>37669</v>
      </c>
      <c r="O2663" t="s">
        <v>25</v>
      </c>
      <c r="P2663">
        <v>1</v>
      </c>
      <c r="Q2663">
        <v>2</v>
      </c>
      <c r="R2663">
        <v>2003</v>
      </c>
      <c r="S2663" t="s">
        <v>226</v>
      </c>
    </row>
    <row r="2664" spans="1:19" x14ac:dyDescent="0.25">
      <c r="A2664">
        <v>10339</v>
      </c>
      <c r="B2664" t="s">
        <v>294</v>
      </c>
      <c r="C2664" t="s">
        <v>105</v>
      </c>
      <c r="D2664" t="s">
        <v>106</v>
      </c>
      <c r="E2664" t="s">
        <v>107</v>
      </c>
      <c r="F2664" t="s">
        <v>50</v>
      </c>
      <c r="G2664" t="s">
        <v>24</v>
      </c>
      <c r="H2664">
        <v>14</v>
      </c>
      <c r="I2664">
        <v>29</v>
      </c>
      <c r="J2664">
        <v>99.69</v>
      </c>
      <c r="K2664">
        <v>65</v>
      </c>
      <c r="L2664">
        <v>2891.01</v>
      </c>
      <c r="M2664">
        <v>1006.01</v>
      </c>
      <c r="N2664" s="1">
        <v>38314</v>
      </c>
      <c r="O2664" t="s">
        <v>25</v>
      </c>
      <c r="P2664">
        <v>4</v>
      </c>
      <c r="Q2664">
        <v>11</v>
      </c>
      <c r="R2664">
        <v>2004</v>
      </c>
      <c r="S2664" t="s">
        <v>226</v>
      </c>
    </row>
    <row r="2665" spans="1:19" x14ac:dyDescent="0.25">
      <c r="A2665">
        <v>10110</v>
      </c>
      <c r="B2665" t="s">
        <v>295</v>
      </c>
      <c r="C2665" t="s">
        <v>197</v>
      </c>
      <c r="D2665" t="s">
        <v>198</v>
      </c>
      <c r="E2665" t="s">
        <v>77</v>
      </c>
      <c r="F2665" t="s">
        <v>30</v>
      </c>
      <c r="G2665" t="s">
        <v>33</v>
      </c>
      <c r="H2665">
        <v>14</v>
      </c>
      <c r="I2665">
        <v>37</v>
      </c>
      <c r="J2665">
        <v>100</v>
      </c>
      <c r="K2665">
        <v>107</v>
      </c>
      <c r="L2665">
        <v>3724.42</v>
      </c>
      <c r="M2665">
        <v>-234.58</v>
      </c>
      <c r="N2665" s="1">
        <v>37698</v>
      </c>
      <c r="O2665" t="s">
        <v>25</v>
      </c>
      <c r="P2665">
        <v>1</v>
      </c>
      <c r="Q2665">
        <v>3</v>
      </c>
      <c r="R2665">
        <v>2003</v>
      </c>
      <c r="S2665" t="s">
        <v>83</v>
      </c>
    </row>
    <row r="2666" spans="1:19" x14ac:dyDescent="0.25">
      <c r="A2666">
        <v>10143</v>
      </c>
      <c r="B2666" t="s">
        <v>296</v>
      </c>
      <c r="C2666" t="s">
        <v>140</v>
      </c>
      <c r="D2666" t="s">
        <v>74</v>
      </c>
      <c r="E2666" t="s">
        <v>22</v>
      </c>
      <c r="F2666" t="s">
        <v>23</v>
      </c>
      <c r="G2666" t="s">
        <v>24</v>
      </c>
      <c r="H2666">
        <v>14</v>
      </c>
      <c r="I2666">
        <v>23</v>
      </c>
      <c r="J2666">
        <v>80.510000000000005</v>
      </c>
      <c r="K2666">
        <v>83</v>
      </c>
      <c r="L2666">
        <v>1851.73</v>
      </c>
      <c r="M2666">
        <v>-57.27</v>
      </c>
      <c r="N2666" s="1">
        <v>37843</v>
      </c>
      <c r="O2666" t="s">
        <v>25</v>
      </c>
      <c r="P2666">
        <v>3</v>
      </c>
      <c r="Q2666">
        <v>8</v>
      </c>
      <c r="R2666">
        <v>2003</v>
      </c>
      <c r="S2666" t="s">
        <v>226</v>
      </c>
    </row>
    <row r="2667" spans="1:19" x14ac:dyDescent="0.25">
      <c r="A2667">
        <v>10296</v>
      </c>
      <c r="B2667" t="s">
        <v>296</v>
      </c>
      <c r="C2667" t="s">
        <v>236</v>
      </c>
      <c r="D2667" t="s">
        <v>237</v>
      </c>
      <c r="E2667" t="s">
        <v>180</v>
      </c>
      <c r="F2667" t="s">
        <v>30</v>
      </c>
      <c r="G2667" t="s">
        <v>24</v>
      </c>
      <c r="H2667">
        <v>14</v>
      </c>
      <c r="I2667">
        <v>22</v>
      </c>
      <c r="J2667">
        <v>77.150000000000006</v>
      </c>
      <c r="K2667">
        <v>83</v>
      </c>
      <c r="L2667">
        <v>1697.3</v>
      </c>
      <c r="M2667">
        <v>-128.69999999999999</v>
      </c>
      <c r="N2667" s="1">
        <v>38245</v>
      </c>
      <c r="O2667" t="s">
        <v>25</v>
      </c>
      <c r="P2667">
        <v>3</v>
      </c>
      <c r="Q2667">
        <v>9</v>
      </c>
      <c r="R2667">
        <v>2004</v>
      </c>
      <c r="S2667" t="s">
        <v>226</v>
      </c>
    </row>
    <row r="2668" spans="1:19" x14ac:dyDescent="0.25">
      <c r="A2668">
        <v>10192</v>
      </c>
      <c r="B2668" t="s">
        <v>297</v>
      </c>
      <c r="C2668" t="s">
        <v>117</v>
      </c>
      <c r="D2668" t="s">
        <v>118</v>
      </c>
      <c r="E2668" t="s">
        <v>22</v>
      </c>
      <c r="F2668" t="s">
        <v>23</v>
      </c>
      <c r="G2668" t="s">
        <v>33</v>
      </c>
      <c r="H2668">
        <v>14</v>
      </c>
      <c r="I2668">
        <v>45</v>
      </c>
      <c r="J2668">
        <v>100</v>
      </c>
      <c r="K2668">
        <v>140</v>
      </c>
      <c r="L2668">
        <v>6319.35</v>
      </c>
      <c r="M2668">
        <v>19.350000000000001</v>
      </c>
      <c r="N2668" s="1">
        <v>37945</v>
      </c>
      <c r="O2668" t="s">
        <v>25</v>
      </c>
      <c r="P2668">
        <v>4</v>
      </c>
      <c r="Q2668">
        <v>11</v>
      </c>
      <c r="R2668">
        <v>2003</v>
      </c>
      <c r="S2668" t="s">
        <v>83</v>
      </c>
    </row>
    <row r="2669" spans="1:19" x14ac:dyDescent="0.25">
      <c r="A2669">
        <v>10280</v>
      </c>
      <c r="B2669" t="s">
        <v>299</v>
      </c>
      <c r="C2669" t="s">
        <v>108</v>
      </c>
      <c r="D2669" t="s">
        <v>109</v>
      </c>
      <c r="E2669" t="s">
        <v>110</v>
      </c>
      <c r="F2669" t="s">
        <v>30</v>
      </c>
      <c r="G2669" t="s">
        <v>24</v>
      </c>
      <c r="H2669">
        <v>14</v>
      </c>
      <c r="I2669">
        <v>33</v>
      </c>
      <c r="J2669">
        <v>41.85</v>
      </c>
      <c r="K2669">
        <v>41</v>
      </c>
      <c r="L2669">
        <v>1381.05</v>
      </c>
      <c r="M2669">
        <v>28.05</v>
      </c>
      <c r="N2669" s="1">
        <v>38216</v>
      </c>
      <c r="O2669" t="s">
        <v>25</v>
      </c>
      <c r="P2669">
        <v>3</v>
      </c>
      <c r="Q2669">
        <v>8</v>
      </c>
      <c r="R2669">
        <v>2004</v>
      </c>
      <c r="S2669" t="s">
        <v>226</v>
      </c>
    </row>
    <row r="2670" spans="1:19" x14ac:dyDescent="0.25">
      <c r="A2670">
        <v>10332</v>
      </c>
      <c r="B2670" t="s">
        <v>299</v>
      </c>
      <c r="C2670" t="s">
        <v>197</v>
      </c>
      <c r="D2670" t="s">
        <v>198</v>
      </c>
      <c r="E2670" t="s">
        <v>77</v>
      </c>
      <c r="F2670" t="s">
        <v>30</v>
      </c>
      <c r="G2670" t="s">
        <v>33</v>
      </c>
      <c r="H2670">
        <v>14</v>
      </c>
      <c r="I2670">
        <v>41</v>
      </c>
      <c r="J2670">
        <v>77.239999999999995</v>
      </c>
      <c r="K2670">
        <v>41</v>
      </c>
      <c r="L2670">
        <v>3166.84</v>
      </c>
      <c r="M2670">
        <v>1485.84</v>
      </c>
      <c r="N2670" s="1">
        <v>38308</v>
      </c>
      <c r="O2670" t="s">
        <v>25</v>
      </c>
      <c r="P2670">
        <v>4</v>
      </c>
      <c r="Q2670">
        <v>11</v>
      </c>
      <c r="R2670">
        <v>2004</v>
      </c>
      <c r="S2670" t="s">
        <v>226</v>
      </c>
    </row>
    <row r="2671" spans="1:19" x14ac:dyDescent="0.25">
      <c r="A2671">
        <v>10398</v>
      </c>
      <c r="B2671" t="s">
        <v>302</v>
      </c>
      <c r="C2671" t="s">
        <v>27</v>
      </c>
      <c r="D2671" t="s">
        <v>28</v>
      </c>
      <c r="E2671" t="s">
        <v>29</v>
      </c>
      <c r="F2671" t="s">
        <v>30</v>
      </c>
      <c r="G2671" t="s">
        <v>33</v>
      </c>
      <c r="H2671">
        <v>14</v>
      </c>
      <c r="I2671">
        <v>45</v>
      </c>
      <c r="J2671">
        <v>78.25</v>
      </c>
      <c r="K2671">
        <v>72</v>
      </c>
      <c r="L2671">
        <v>3521.25</v>
      </c>
      <c r="M2671">
        <v>281.25</v>
      </c>
      <c r="N2671" s="1">
        <v>38441</v>
      </c>
      <c r="O2671" t="s">
        <v>25</v>
      </c>
      <c r="P2671">
        <v>1</v>
      </c>
      <c r="Q2671">
        <v>3</v>
      </c>
      <c r="R2671">
        <v>2005</v>
      </c>
      <c r="S2671" t="s">
        <v>234</v>
      </c>
    </row>
    <row r="2672" spans="1:19" x14ac:dyDescent="0.25">
      <c r="A2672">
        <v>10122</v>
      </c>
      <c r="B2672" t="s">
        <v>303</v>
      </c>
      <c r="C2672" t="s">
        <v>176</v>
      </c>
      <c r="D2672" t="s">
        <v>177</v>
      </c>
      <c r="E2672" t="s">
        <v>29</v>
      </c>
      <c r="F2672" t="s">
        <v>30</v>
      </c>
      <c r="G2672" t="s">
        <v>24</v>
      </c>
      <c r="H2672">
        <v>14</v>
      </c>
      <c r="I2672">
        <v>29</v>
      </c>
      <c r="J2672">
        <v>71.14</v>
      </c>
      <c r="K2672">
        <v>80</v>
      </c>
      <c r="L2672">
        <v>2063.06</v>
      </c>
      <c r="M2672">
        <v>-256.94</v>
      </c>
      <c r="N2672" s="1">
        <v>37749</v>
      </c>
      <c r="O2672" t="s">
        <v>25</v>
      </c>
      <c r="P2672">
        <v>2</v>
      </c>
      <c r="Q2672">
        <v>5</v>
      </c>
      <c r="R2672">
        <v>2003</v>
      </c>
      <c r="S2672" t="s">
        <v>83</v>
      </c>
    </row>
    <row r="2673" spans="1:19" x14ac:dyDescent="0.25">
      <c r="A2673">
        <v>10310</v>
      </c>
      <c r="B2673" t="s">
        <v>303</v>
      </c>
      <c r="C2673" t="s">
        <v>178</v>
      </c>
      <c r="D2673" t="s">
        <v>179</v>
      </c>
      <c r="E2673" t="s">
        <v>180</v>
      </c>
      <c r="F2673" t="s">
        <v>30</v>
      </c>
      <c r="G2673" t="s">
        <v>33</v>
      </c>
      <c r="H2673">
        <v>14</v>
      </c>
      <c r="I2673">
        <v>49</v>
      </c>
      <c r="J2673">
        <v>97.01</v>
      </c>
      <c r="K2673">
        <v>80</v>
      </c>
      <c r="L2673">
        <v>4753.49</v>
      </c>
      <c r="M2673">
        <v>833.49</v>
      </c>
      <c r="N2673" s="1">
        <v>38276</v>
      </c>
      <c r="O2673" t="s">
        <v>25</v>
      </c>
      <c r="P2673">
        <v>4</v>
      </c>
      <c r="Q2673">
        <v>10</v>
      </c>
      <c r="R2673">
        <v>2004</v>
      </c>
      <c r="S2673" t="s">
        <v>83</v>
      </c>
    </row>
    <row r="2674" spans="1:19" x14ac:dyDescent="0.25">
      <c r="A2674">
        <v>10207</v>
      </c>
      <c r="B2674" t="s">
        <v>304</v>
      </c>
      <c r="C2674" t="s">
        <v>170</v>
      </c>
      <c r="D2674" t="s">
        <v>157</v>
      </c>
      <c r="E2674" t="s">
        <v>22</v>
      </c>
      <c r="F2674" t="s">
        <v>23</v>
      </c>
      <c r="G2674" t="s">
        <v>33</v>
      </c>
      <c r="H2674">
        <v>14</v>
      </c>
      <c r="I2674">
        <v>49</v>
      </c>
      <c r="J2674">
        <v>80.900000000000006</v>
      </c>
      <c r="K2674">
        <v>96</v>
      </c>
      <c r="L2674">
        <v>3964.1</v>
      </c>
      <c r="M2674">
        <v>-739.9</v>
      </c>
      <c r="N2674" s="1">
        <v>37964</v>
      </c>
      <c r="O2674" t="s">
        <v>25</v>
      </c>
      <c r="P2674">
        <v>4</v>
      </c>
      <c r="Q2674">
        <v>12</v>
      </c>
      <c r="R2674">
        <v>2003</v>
      </c>
      <c r="S2674" t="s">
        <v>202</v>
      </c>
    </row>
    <row r="2675" spans="1:19" x14ac:dyDescent="0.25">
      <c r="A2675">
        <v>10135</v>
      </c>
      <c r="B2675" t="s">
        <v>306</v>
      </c>
      <c r="C2675" t="s">
        <v>115</v>
      </c>
      <c r="D2675" t="s">
        <v>116</v>
      </c>
      <c r="E2675" t="s">
        <v>22</v>
      </c>
      <c r="F2675" t="s">
        <v>23</v>
      </c>
      <c r="G2675" t="s">
        <v>24</v>
      </c>
      <c r="H2675">
        <v>14</v>
      </c>
      <c r="I2675">
        <v>33</v>
      </c>
      <c r="J2675">
        <v>40.229999999999997</v>
      </c>
      <c r="K2675">
        <v>40</v>
      </c>
      <c r="L2675">
        <v>1327.59</v>
      </c>
      <c r="M2675">
        <v>7.59</v>
      </c>
      <c r="N2675" s="1">
        <v>37804</v>
      </c>
      <c r="O2675" t="s">
        <v>25</v>
      </c>
      <c r="P2675">
        <v>3</v>
      </c>
      <c r="Q2675">
        <v>7</v>
      </c>
      <c r="R2675">
        <v>2003</v>
      </c>
      <c r="S2675" t="s">
        <v>26</v>
      </c>
    </row>
    <row r="2676" spans="1:19" x14ac:dyDescent="0.25">
      <c r="A2676">
        <v>10165</v>
      </c>
      <c r="B2676" t="s">
        <v>307</v>
      </c>
      <c r="C2676" t="s">
        <v>88</v>
      </c>
      <c r="D2676" t="s">
        <v>89</v>
      </c>
      <c r="E2676" t="s">
        <v>89</v>
      </c>
      <c r="F2676" t="s">
        <v>50</v>
      </c>
      <c r="G2676" t="s">
        <v>24</v>
      </c>
      <c r="H2676">
        <v>14</v>
      </c>
      <c r="I2676">
        <v>48</v>
      </c>
      <c r="J2676">
        <v>45.99</v>
      </c>
      <c r="K2676">
        <v>54</v>
      </c>
      <c r="L2676">
        <v>2207.52</v>
      </c>
      <c r="M2676">
        <v>-384.48</v>
      </c>
      <c r="N2676" s="1">
        <v>37916</v>
      </c>
      <c r="O2676" t="s">
        <v>25</v>
      </c>
      <c r="P2676">
        <v>4</v>
      </c>
      <c r="Q2676">
        <v>10</v>
      </c>
      <c r="R2676">
        <v>2003</v>
      </c>
      <c r="S2676" t="s">
        <v>202</v>
      </c>
    </row>
    <row r="2677" spans="1:19" x14ac:dyDescent="0.25">
      <c r="A2677">
        <v>10350</v>
      </c>
      <c r="B2677" t="s">
        <v>308</v>
      </c>
      <c r="C2677" t="s">
        <v>78</v>
      </c>
      <c r="D2677" t="s">
        <v>79</v>
      </c>
      <c r="E2677" t="s">
        <v>80</v>
      </c>
      <c r="F2677" t="s">
        <v>30</v>
      </c>
      <c r="G2677" t="s">
        <v>33</v>
      </c>
      <c r="H2677">
        <v>14</v>
      </c>
      <c r="I2677">
        <v>27</v>
      </c>
      <c r="J2677">
        <v>100</v>
      </c>
      <c r="K2677">
        <v>62</v>
      </c>
      <c r="L2677">
        <v>4406.3999999999996</v>
      </c>
      <c r="M2677">
        <v>2732.4</v>
      </c>
      <c r="N2677" s="1">
        <v>38323</v>
      </c>
      <c r="O2677" t="s">
        <v>25</v>
      </c>
      <c r="P2677">
        <v>4</v>
      </c>
      <c r="Q2677">
        <v>12</v>
      </c>
      <c r="R2677">
        <v>2004</v>
      </c>
      <c r="S2677" t="s">
        <v>261</v>
      </c>
    </row>
    <row r="2678" spans="1:19" x14ac:dyDescent="0.25">
      <c r="A2678">
        <v>10142</v>
      </c>
      <c r="B2678" t="s">
        <v>314</v>
      </c>
      <c r="C2678" t="s">
        <v>115</v>
      </c>
      <c r="D2678" t="s">
        <v>116</v>
      </c>
      <c r="E2678" t="s">
        <v>22</v>
      </c>
      <c r="F2678" t="s">
        <v>23</v>
      </c>
      <c r="G2678" t="s">
        <v>24</v>
      </c>
      <c r="H2678">
        <v>14</v>
      </c>
      <c r="I2678">
        <v>42</v>
      </c>
      <c r="J2678">
        <v>49.79</v>
      </c>
      <c r="K2678">
        <v>58</v>
      </c>
      <c r="L2678">
        <v>2091.1799999999998</v>
      </c>
      <c r="M2678">
        <v>-344.82</v>
      </c>
      <c r="N2678" s="1">
        <v>37841</v>
      </c>
      <c r="O2678" t="s">
        <v>25</v>
      </c>
      <c r="P2678">
        <v>3</v>
      </c>
      <c r="Q2678">
        <v>8</v>
      </c>
      <c r="R2678">
        <v>2003</v>
      </c>
      <c r="S2678" t="s">
        <v>261</v>
      </c>
    </row>
    <row r="2679" spans="1:19" x14ac:dyDescent="0.25">
      <c r="A2679">
        <v>10108</v>
      </c>
      <c r="B2679" t="s">
        <v>315</v>
      </c>
      <c r="C2679" t="s">
        <v>173</v>
      </c>
      <c r="D2679" t="s">
        <v>174</v>
      </c>
      <c r="E2679" t="s">
        <v>175</v>
      </c>
      <c r="F2679" t="s">
        <v>50</v>
      </c>
      <c r="G2679" t="s">
        <v>24</v>
      </c>
      <c r="H2679">
        <v>14</v>
      </c>
      <c r="I2679">
        <v>34</v>
      </c>
      <c r="J2679">
        <v>82.99</v>
      </c>
      <c r="K2679">
        <v>81</v>
      </c>
      <c r="L2679">
        <v>2821.66</v>
      </c>
      <c r="M2679">
        <v>67.66</v>
      </c>
      <c r="N2679" s="1">
        <v>37683</v>
      </c>
      <c r="O2679" t="s">
        <v>25</v>
      </c>
      <c r="P2679">
        <v>1</v>
      </c>
      <c r="Q2679">
        <v>3</v>
      </c>
      <c r="R2679">
        <v>2003</v>
      </c>
      <c r="S2679" t="s">
        <v>26</v>
      </c>
    </row>
    <row r="2680" spans="1:19" x14ac:dyDescent="0.25">
      <c r="A2680">
        <v>10119</v>
      </c>
      <c r="B2680" t="s">
        <v>316</v>
      </c>
      <c r="C2680" t="s">
        <v>67</v>
      </c>
      <c r="D2680" t="s">
        <v>68</v>
      </c>
      <c r="E2680" t="s">
        <v>69</v>
      </c>
      <c r="F2680" t="s">
        <v>30</v>
      </c>
      <c r="G2680" t="s">
        <v>24</v>
      </c>
      <c r="H2680">
        <v>14</v>
      </c>
      <c r="I2680">
        <v>25</v>
      </c>
      <c r="J2680">
        <v>76.67</v>
      </c>
      <c r="K2680">
        <v>66</v>
      </c>
      <c r="L2680">
        <v>1916.75</v>
      </c>
      <c r="M2680">
        <v>266.75</v>
      </c>
      <c r="N2680" s="1">
        <v>37739</v>
      </c>
      <c r="O2680" t="s">
        <v>25</v>
      </c>
      <c r="P2680">
        <v>2</v>
      </c>
      <c r="Q2680">
        <v>4</v>
      </c>
      <c r="R2680">
        <v>2003</v>
      </c>
      <c r="S2680" t="s">
        <v>255</v>
      </c>
    </row>
    <row r="2681" spans="1:19" x14ac:dyDescent="0.25">
      <c r="A2681">
        <v>10373</v>
      </c>
      <c r="B2681" t="s">
        <v>316</v>
      </c>
      <c r="C2681" t="s">
        <v>160</v>
      </c>
      <c r="D2681" t="s">
        <v>161</v>
      </c>
      <c r="E2681" t="s">
        <v>62</v>
      </c>
      <c r="F2681" t="s">
        <v>30</v>
      </c>
      <c r="G2681" t="s">
        <v>33</v>
      </c>
      <c r="H2681">
        <v>14</v>
      </c>
      <c r="I2681">
        <v>44</v>
      </c>
      <c r="J2681">
        <v>100</v>
      </c>
      <c r="K2681">
        <v>66</v>
      </c>
      <c r="L2681">
        <v>4627.92</v>
      </c>
      <c r="M2681">
        <v>1723.92</v>
      </c>
      <c r="N2681" s="1">
        <v>38383</v>
      </c>
      <c r="O2681" t="s">
        <v>25</v>
      </c>
      <c r="P2681">
        <v>1</v>
      </c>
      <c r="Q2681">
        <v>1</v>
      </c>
      <c r="R2681">
        <v>2005</v>
      </c>
      <c r="S2681" t="s">
        <v>255</v>
      </c>
    </row>
    <row r="2682" spans="1:19" x14ac:dyDescent="0.25">
      <c r="A2682">
        <v>10168</v>
      </c>
      <c r="B2682" t="s">
        <v>317</v>
      </c>
      <c r="C2682" t="s">
        <v>38</v>
      </c>
      <c r="D2682" t="s">
        <v>39</v>
      </c>
      <c r="E2682" t="s">
        <v>22</v>
      </c>
      <c r="F2682" t="s">
        <v>23</v>
      </c>
      <c r="G2682" t="s">
        <v>24</v>
      </c>
      <c r="H2682">
        <v>14</v>
      </c>
      <c r="I2682">
        <v>28</v>
      </c>
      <c r="J2682">
        <v>98.65</v>
      </c>
      <c r="K2682">
        <v>91</v>
      </c>
      <c r="L2682">
        <v>2762.2</v>
      </c>
      <c r="M2682">
        <v>214.2</v>
      </c>
      <c r="N2682" s="1">
        <v>37922</v>
      </c>
      <c r="O2682" t="s">
        <v>25</v>
      </c>
      <c r="P2682">
        <v>4</v>
      </c>
      <c r="Q2682">
        <v>10</v>
      </c>
      <c r="R2682">
        <v>2003</v>
      </c>
      <c r="S2682" t="s">
        <v>234</v>
      </c>
    </row>
    <row r="2683" spans="1:19" x14ac:dyDescent="0.25">
      <c r="A2683">
        <v>10223</v>
      </c>
      <c r="B2683" t="s">
        <v>317</v>
      </c>
      <c r="C2683" t="s">
        <v>47</v>
      </c>
      <c r="D2683" t="s">
        <v>48</v>
      </c>
      <c r="E2683" t="s">
        <v>49</v>
      </c>
      <c r="F2683" t="s">
        <v>50</v>
      </c>
      <c r="G2683" t="s">
        <v>24</v>
      </c>
      <c r="H2683">
        <v>14</v>
      </c>
      <c r="I2683">
        <v>25</v>
      </c>
      <c r="J2683">
        <v>100</v>
      </c>
      <c r="K2683">
        <v>91</v>
      </c>
      <c r="L2683">
        <v>2534.75</v>
      </c>
      <c r="M2683">
        <v>259.75</v>
      </c>
      <c r="N2683" s="1">
        <v>38037</v>
      </c>
      <c r="O2683" t="s">
        <v>25</v>
      </c>
      <c r="P2683">
        <v>1</v>
      </c>
      <c r="Q2683">
        <v>2</v>
      </c>
      <c r="R2683">
        <v>2004</v>
      </c>
      <c r="S2683" t="s">
        <v>234</v>
      </c>
    </row>
    <row r="2684" spans="1:19" x14ac:dyDescent="0.25">
      <c r="A2684">
        <v>10275</v>
      </c>
      <c r="B2684" t="s">
        <v>317</v>
      </c>
      <c r="C2684" t="s">
        <v>56</v>
      </c>
      <c r="D2684" t="s">
        <v>57</v>
      </c>
      <c r="E2684" t="s">
        <v>29</v>
      </c>
      <c r="F2684" t="s">
        <v>30</v>
      </c>
      <c r="G2684" t="s">
        <v>24</v>
      </c>
      <c r="H2684">
        <v>14</v>
      </c>
      <c r="I2684">
        <v>32</v>
      </c>
      <c r="J2684">
        <v>89.51</v>
      </c>
      <c r="K2684">
        <v>91</v>
      </c>
      <c r="L2684">
        <v>2864.32</v>
      </c>
      <c r="M2684">
        <v>-47.68</v>
      </c>
      <c r="N2684" s="1">
        <v>38191</v>
      </c>
      <c r="O2684" t="s">
        <v>25</v>
      </c>
      <c r="P2684">
        <v>3</v>
      </c>
      <c r="Q2684">
        <v>7</v>
      </c>
      <c r="R2684">
        <v>2004</v>
      </c>
      <c r="S2684" t="s">
        <v>234</v>
      </c>
    </row>
    <row r="2685" spans="1:19" x14ac:dyDescent="0.25">
      <c r="A2685">
        <v>10273</v>
      </c>
      <c r="B2685" t="s">
        <v>318</v>
      </c>
      <c r="C2685" t="s">
        <v>151</v>
      </c>
      <c r="D2685" t="s">
        <v>152</v>
      </c>
      <c r="E2685" t="s">
        <v>153</v>
      </c>
      <c r="F2685" t="s">
        <v>30</v>
      </c>
      <c r="G2685" t="s">
        <v>24</v>
      </c>
      <c r="H2685">
        <v>14</v>
      </c>
      <c r="I2685">
        <v>21</v>
      </c>
      <c r="J2685">
        <v>100</v>
      </c>
      <c r="K2685">
        <v>86</v>
      </c>
      <c r="L2685">
        <v>2146.1999999999998</v>
      </c>
      <c r="M2685">
        <v>340.2</v>
      </c>
      <c r="N2685" s="1">
        <v>38189</v>
      </c>
      <c r="O2685" t="s">
        <v>25</v>
      </c>
      <c r="P2685">
        <v>3</v>
      </c>
      <c r="Q2685">
        <v>7</v>
      </c>
      <c r="R2685">
        <v>2004</v>
      </c>
      <c r="S2685" t="s">
        <v>255</v>
      </c>
    </row>
    <row r="2686" spans="1:19" x14ac:dyDescent="0.25">
      <c r="A2686">
        <v>10361</v>
      </c>
      <c r="B2686" t="s">
        <v>319</v>
      </c>
      <c r="C2686" t="s">
        <v>71</v>
      </c>
      <c r="D2686" t="s">
        <v>72</v>
      </c>
      <c r="E2686" t="s">
        <v>49</v>
      </c>
      <c r="F2686" t="s">
        <v>50</v>
      </c>
      <c r="G2686" t="s">
        <v>24</v>
      </c>
      <c r="H2686">
        <v>14</v>
      </c>
      <c r="I2686">
        <v>24</v>
      </c>
      <c r="J2686">
        <v>45.39</v>
      </c>
      <c r="K2686">
        <v>90</v>
      </c>
      <c r="L2686">
        <v>1089.3599999999999</v>
      </c>
      <c r="M2686">
        <v>-1070.6400000000001</v>
      </c>
      <c r="N2686" s="1">
        <v>38338</v>
      </c>
      <c r="O2686" t="s">
        <v>25</v>
      </c>
      <c r="P2686">
        <v>4</v>
      </c>
      <c r="Q2686">
        <v>12</v>
      </c>
      <c r="R2686">
        <v>2004</v>
      </c>
      <c r="S2686" t="s">
        <v>255</v>
      </c>
    </row>
    <row r="2687" spans="1:19" x14ac:dyDescent="0.25">
      <c r="A2687">
        <v>10210</v>
      </c>
      <c r="B2687" t="s">
        <v>320</v>
      </c>
      <c r="C2687" t="s">
        <v>127</v>
      </c>
      <c r="D2687" t="s">
        <v>128</v>
      </c>
      <c r="E2687" t="s">
        <v>107</v>
      </c>
      <c r="F2687" t="s">
        <v>50</v>
      </c>
      <c r="G2687" t="s">
        <v>24</v>
      </c>
      <c r="H2687">
        <v>14</v>
      </c>
      <c r="I2687">
        <v>26</v>
      </c>
      <c r="J2687">
        <v>99.72</v>
      </c>
      <c r="K2687">
        <v>99</v>
      </c>
      <c r="L2687">
        <v>2592.7199999999998</v>
      </c>
      <c r="M2687">
        <v>18.72</v>
      </c>
      <c r="N2687" s="1">
        <v>37998</v>
      </c>
      <c r="O2687" t="s">
        <v>25</v>
      </c>
      <c r="P2687">
        <v>1</v>
      </c>
      <c r="Q2687">
        <v>1</v>
      </c>
      <c r="R2687">
        <v>2004</v>
      </c>
      <c r="S2687" t="s">
        <v>234</v>
      </c>
    </row>
    <row r="2688" spans="1:19" x14ac:dyDescent="0.25">
      <c r="A2688">
        <v>10308</v>
      </c>
      <c r="B2688" t="s">
        <v>320</v>
      </c>
      <c r="C2688" t="s">
        <v>131</v>
      </c>
      <c r="D2688" t="s">
        <v>132</v>
      </c>
      <c r="E2688" t="s">
        <v>22</v>
      </c>
      <c r="F2688" t="s">
        <v>23</v>
      </c>
      <c r="G2688" t="s">
        <v>33</v>
      </c>
      <c r="H2688">
        <v>14</v>
      </c>
      <c r="I2688">
        <v>35</v>
      </c>
      <c r="J2688">
        <v>88.75</v>
      </c>
      <c r="K2688">
        <v>99</v>
      </c>
      <c r="L2688">
        <v>3106.25</v>
      </c>
      <c r="M2688">
        <v>-358.75</v>
      </c>
      <c r="N2688" s="1">
        <v>38275</v>
      </c>
      <c r="O2688" t="s">
        <v>25</v>
      </c>
      <c r="P2688">
        <v>4</v>
      </c>
      <c r="Q2688">
        <v>10</v>
      </c>
      <c r="R2688">
        <v>2004</v>
      </c>
      <c r="S2688" t="s">
        <v>234</v>
      </c>
    </row>
    <row r="2689" spans="1:19" x14ac:dyDescent="0.25">
      <c r="A2689">
        <v>10386</v>
      </c>
      <c r="B2689" t="s">
        <v>320</v>
      </c>
      <c r="C2689" t="s">
        <v>78</v>
      </c>
      <c r="D2689" t="s">
        <v>79</v>
      </c>
      <c r="E2689" t="s">
        <v>80</v>
      </c>
      <c r="F2689" t="s">
        <v>30</v>
      </c>
      <c r="G2689" t="s">
        <v>33</v>
      </c>
      <c r="H2689">
        <v>14</v>
      </c>
      <c r="I2689">
        <v>37</v>
      </c>
      <c r="J2689">
        <v>83.84</v>
      </c>
      <c r="K2689">
        <v>99</v>
      </c>
      <c r="L2689">
        <v>3102.08</v>
      </c>
      <c r="M2689">
        <v>-560.91999999999996</v>
      </c>
      <c r="N2689" s="1">
        <v>38412</v>
      </c>
      <c r="O2689" t="s">
        <v>169</v>
      </c>
      <c r="P2689">
        <v>1</v>
      </c>
      <c r="Q2689">
        <v>3</v>
      </c>
      <c r="R2689">
        <v>2005</v>
      </c>
      <c r="S2689" t="s">
        <v>234</v>
      </c>
    </row>
    <row r="2690" spans="1:19" x14ac:dyDescent="0.25">
      <c r="A2690">
        <v>10120</v>
      </c>
      <c r="B2690" t="s">
        <v>324</v>
      </c>
      <c r="C2690" t="s">
        <v>47</v>
      </c>
      <c r="D2690" t="s">
        <v>48</v>
      </c>
      <c r="E2690" t="s">
        <v>49</v>
      </c>
      <c r="F2690" t="s">
        <v>50</v>
      </c>
      <c r="G2690" t="s">
        <v>33</v>
      </c>
      <c r="H2690">
        <v>14</v>
      </c>
      <c r="I2690">
        <v>43</v>
      </c>
      <c r="J2690">
        <v>76</v>
      </c>
      <c r="K2690">
        <v>80</v>
      </c>
      <c r="L2690">
        <v>3268</v>
      </c>
      <c r="M2690">
        <v>-172</v>
      </c>
      <c r="N2690" s="1">
        <v>37740</v>
      </c>
      <c r="O2690" t="s">
        <v>25</v>
      </c>
      <c r="P2690">
        <v>2</v>
      </c>
      <c r="Q2690">
        <v>4</v>
      </c>
      <c r="R2690">
        <v>2003</v>
      </c>
      <c r="S2690" t="s">
        <v>234</v>
      </c>
    </row>
    <row r="2691" spans="1:19" x14ac:dyDescent="0.25">
      <c r="A2691">
        <v>10167</v>
      </c>
      <c r="B2691" t="s">
        <v>326</v>
      </c>
      <c r="C2691" t="s">
        <v>111</v>
      </c>
      <c r="D2691" t="s">
        <v>112</v>
      </c>
      <c r="E2691" t="s">
        <v>86</v>
      </c>
      <c r="F2691" t="s">
        <v>30</v>
      </c>
      <c r="G2691" t="s">
        <v>33</v>
      </c>
      <c r="H2691">
        <v>14</v>
      </c>
      <c r="I2691">
        <v>28</v>
      </c>
      <c r="J2691">
        <v>100</v>
      </c>
      <c r="K2691">
        <v>99</v>
      </c>
      <c r="L2691">
        <v>3003</v>
      </c>
      <c r="M2691">
        <v>231</v>
      </c>
      <c r="N2691" s="1">
        <v>37917</v>
      </c>
      <c r="O2691" t="s">
        <v>141</v>
      </c>
      <c r="P2691">
        <v>4</v>
      </c>
      <c r="Q2691">
        <v>10</v>
      </c>
      <c r="R2691">
        <v>2003</v>
      </c>
      <c r="S2691" t="s">
        <v>255</v>
      </c>
    </row>
    <row r="2692" spans="1:19" x14ac:dyDescent="0.25">
      <c r="A2692">
        <v>10143</v>
      </c>
      <c r="B2692" t="s">
        <v>134</v>
      </c>
      <c r="C2692" t="s">
        <v>140</v>
      </c>
      <c r="D2692" t="s">
        <v>74</v>
      </c>
      <c r="E2692" t="s">
        <v>22</v>
      </c>
      <c r="F2692" t="s">
        <v>23</v>
      </c>
      <c r="G2692" t="s">
        <v>33</v>
      </c>
      <c r="H2692">
        <v>15</v>
      </c>
      <c r="I2692">
        <v>49</v>
      </c>
      <c r="J2692">
        <v>100</v>
      </c>
      <c r="K2692">
        <v>136</v>
      </c>
      <c r="L2692">
        <v>5597.76</v>
      </c>
      <c r="M2692">
        <v>-1066.24</v>
      </c>
      <c r="N2692" s="1">
        <v>37843</v>
      </c>
      <c r="O2692" t="s">
        <v>25</v>
      </c>
      <c r="P2692">
        <v>3</v>
      </c>
      <c r="Q2692">
        <v>8</v>
      </c>
      <c r="R2692">
        <v>2003</v>
      </c>
      <c r="S2692" t="s">
        <v>83</v>
      </c>
    </row>
    <row r="2693" spans="1:19" x14ac:dyDescent="0.25">
      <c r="A2693">
        <v>10207</v>
      </c>
      <c r="B2693" t="s">
        <v>165</v>
      </c>
      <c r="C2693" t="s">
        <v>170</v>
      </c>
      <c r="D2693" t="s">
        <v>157</v>
      </c>
      <c r="E2693" t="s">
        <v>22</v>
      </c>
      <c r="F2693" t="s">
        <v>23</v>
      </c>
      <c r="G2693" t="s">
        <v>33</v>
      </c>
      <c r="H2693">
        <v>15</v>
      </c>
      <c r="I2693">
        <v>31</v>
      </c>
      <c r="J2693">
        <v>100</v>
      </c>
      <c r="K2693">
        <v>147</v>
      </c>
      <c r="L2693">
        <v>4076.19</v>
      </c>
      <c r="M2693">
        <v>-480.81</v>
      </c>
      <c r="N2693" s="1">
        <v>37964</v>
      </c>
      <c r="O2693" t="s">
        <v>25</v>
      </c>
      <c r="P2693">
        <v>4</v>
      </c>
      <c r="Q2693">
        <v>12</v>
      </c>
      <c r="R2693">
        <v>2003</v>
      </c>
      <c r="S2693" t="s">
        <v>83</v>
      </c>
    </row>
    <row r="2694" spans="1:19" x14ac:dyDescent="0.25">
      <c r="A2694">
        <v>10105</v>
      </c>
      <c r="B2694" t="s">
        <v>191</v>
      </c>
      <c r="C2694" t="s">
        <v>135</v>
      </c>
      <c r="D2694" t="s">
        <v>136</v>
      </c>
      <c r="E2694" t="s">
        <v>137</v>
      </c>
      <c r="F2694" t="s">
        <v>30</v>
      </c>
      <c r="G2694" t="s">
        <v>70</v>
      </c>
      <c r="H2694">
        <v>15</v>
      </c>
      <c r="I2694">
        <v>41</v>
      </c>
      <c r="J2694">
        <v>100</v>
      </c>
      <c r="K2694">
        <v>207</v>
      </c>
      <c r="L2694">
        <v>8690.36</v>
      </c>
      <c r="M2694">
        <v>203.36</v>
      </c>
      <c r="N2694" s="1">
        <v>37663</v>
      </c>
      <c r="O2694" t="s">
        <v>25</v>
      </c>
      <c r="P2694">
        <v>1</v>
      </c>
      <c r="Q2694">
        <v>2</v>
      </c>
      <c r="R2694">
        <v>2003</v>
      </c>
      <c r="S2694" t="s">
        <v>83</v>
      </c>
    </row>
    <row r="2695" spans="1:19" x14ac:dyDescent="0.25">
      <c r="A2695">
        <v>10181</v>
      </c>
      <c r="B2695" t="s">
        <v>210</v>
      </c>
      <c r="C2695" t="s">
        <v>42</v>
      </c>
      <c r="D2695" t="s">
        <v>43</v>
      </c>
      <c r="E2695" t="s">
        <v>44</v>
      </c>
      <c r="F2695" t="s">
        <v>30</v>
      </c>
      <c r="G2695" t="s">
        <v>24</v>
      </c>
      <c r="H2695">
        <v>15</v>
      </c>
      <c r="I2695">
        <v>20</v>
      </c>
      <c r="J2695">
        <v>81.400000000000006</v>
      </c>
      <c r="K2695">
        <v>79</v>
      </c>
      <c r="L2695">
        <v>1628</v>
      </c>
      <c r="M2695">
        <v>48</v>
      </c>
      <c r="N2695" s="1">
        <v>37937</v>
      </c>
      <c r="O2695" t="s">
        <v>25</v>
      </c>
      <c r="P2695">
        <v>4</v>
      </c>
      <c r="Q2695">
        <v>11</v>
      </c>
      <c r="R2695">
        <v>2003</v>
      </c>
      <c r="S2695" t="s">
        <v>83</v>
      </c>
    </row>
    <row r="2696" spans="1:19" x14ac:dyDescent="0.25">
      <c r="A2696">
        <v>10266</v>
      </c>
      <c r="B2696" t="s">
        <v>210</v>
      </c>
      <c r="C2696" t="s">
        <v>184</v>
      </c>
      <c r="D2696" t="s">
        <v>185</v>
      </c>
      <c r="E2696" t="s">
        <v>110</v>
      </c>
      <c r="F2696" t="s">
        <v>30</v>
      </c>
      <c r="G2696" t="s">
        <v>24</v>
      </c>
      <c r="H2696">
        <v>15</v>
      </c>
      <c r="I2696">
        <v>35</v>
      </c>
      <c r="J2696">
        <v>76.61</v>
      </c>
      <c r="K2696">
        <v>79</v>
      </c>
      <c r="L2696">
        <v>2681.35</v>
      </c>
      <c r="M2696">
        <v>-83.65</v>
      </c>
      <c r="N2696" s="1">
        <v>38174</v>
      </c>
      <c r="O2696" t="s">
        <v>25</v>
      </c>
      <c r="P2696">
        <v>3</v>
      </c>
      <c r="Q2696">
        <v>7</v>
      </c>
      <c r="R2696">
        <v>2004</v>
      </c>
      <c r="S2696" t="s">
        <v>83</v>
      </c>
    </row>
    <row r="2697" spans="1:19" x14ac:dyDescent="0.25">
      <c r="A2697">
        <v>10212</v>
      </c>
      <c r="B2697" t="s">
        <v>216</v>
      </c>
      <c r="C2697" t="s">
        <v>78</v>
      </c>
      <c r="D2697" t="s">
        <v>79</v>
      </c>
      <c r="E2697" t="s">
        <v>80</v>
      </c>
      <c r="F2697" t="s">
        <v>30</v>
      </c>
      <c r="G2697" t="s">
        <v>33</v>
      </c>
      <c r="H2697">
        <v>15</v>
      </c>
      <c r="I2697">
        <v>33</v>
      </c>
      <c r="J2697">
        <v>100</v>
      </c>
      <c r="K2697">
        <v>115</v>
      </c>
      <c r="L2697">
        <v>4180.4399999999996</v>
      </c>
      <c r="M2697">
        <v>385.44</v>
      </c>
      <c r="N2697" s="1">
        <v>38002</v>
      </c>
      <c r="O2697" t="s">
        <v>25</v>
      </c>
      <c r="P2697">
        <v>1</v>
      </c>
      <c r="Q2697">
        <v>1</v>
      </c>
      <c r="R2697">
        <v>2004</v>
      </c>
      <c r="S2697" t="s">
        <v>83</v>
      </c>
    </row>
    <row r="2698" spans="1:19" x14ac:dyDescent="0.25">
      <c r="A2698">
        <v>10321</v>
      </c>
      <c r="B2698" t="s">
        <v>216</v>
      </c>
      <c r="C2698" t="s">
        <v>73</v>
      </c>
      <c r="D2698" t="s">
        <v>74</v>
      </c>
      <c r="E2698" t="s">
        <v>22</v>
      </c>
      <c r="F2698" t="s">
        <v>23</v>
      </c>
      <c r="G2698" t="s">
        <v>24</v>
      </c>
      <c r="H2698">
        <v>15</v>
      </c>
      <c r="I2698">
        <v>24</v>
      </c>
      <c r="J2698">
        <v>100</v>
      </c>
      <c r="K2698">
        <v>115</v>
      </c>
      <c r="L2698">
        <v>2984.88</v>
      </c>
      <c r="M2698">
        <v>224.88</v>
      </c>
      <c r="N2698" s="1">
        <v>38295</v>
      </c>
      <c r="O2698" t="s">
        <v>25</v>
      </c>
      <c r="P2698">
        <v>4</v>
      </c>
      <c r="Q2698">
        <v>11</v>
      </c>
      <c r="R2698">
        <v>2004</v>
      </c>
      <c r="S2698" t="s">
        <v>83</v>
      </c>
    </row>
    <row r="2699" spans="1:19" x14ac:dyDescent="0.25">
      <c r="A2699">
        <v>10329</v>
      </c>
      <c r="B2699" t="s">
        <v>216</v>
      </c>
      <c r="C2699" t="s">
        <v>20</v>
      </c>
      <c r="D2699" t="s">
        <v>21</v>
      </c>
      <c r="E2699" t="s">
        <v>22</v>
      </c>
      <c r="F2699" t="s">
        <v>23</v>
      </c>
      <c r="G2699" t="s">
        <v>24</v>
      </c>
      <c r="H2699">
        <v>15</v>
      </c>
      <c r="I2699">
        <v>39</v>
      </c>
      <c r="J2699">
        <v>64.739999999999995</v>
      </c>
      <c r="K2699">
        <v>115</v>
      </c>
      <c r="L2699">
        <v>2524.86</v>
      </c>
      <c r="M2699">
        <v>-1960.14</v>
      </c>
      <c r="N2699" s="1">
        <v>38306</v>
      </c>
      <c r="O2699" t="s">
        <v>25</v>
      </c>
      <c r="P2699">
        <v>4</v>
      </c>
      <c r="Q2699">
        <v>11</v>
      </c>
      <c r="R2699">
        <v>2004</v>
      </c>
      <c r="S2699" t="s">
        <v>83</v>
      </c>
    </row>
    <row r="2700" spans="1:19" x14ac:dyDescent="0.25">
      <c r="A2700">
        <v>10332</v>
      </c>
      <c r="B2700" t="s">
        <v>225</v>
      </c>
      <c r="C2700" t="s">
        <v>197</v>
      </c>
      <c r="D2700" t="s">
        <v>198</v>
      </c>
      <c r="E2700" t="s">
        <v>77</v>
      </c>
      <c r="F2700" t="s">
        <v>30</v>
      </c>
      <c r="G2700" t="s">
        <v>33</v>
      </c>
      <c r="H2700">
        <v>15</v>
      </c>
      <c r="I2700">
        <v>46</v>
      </c>
      <c r="J2700">
        <v>95.13</v>
      </c>
      <c r="K2700">
        <v>102</v>
      </c>
      <c r="L2700">
        <v>4375.9799999999996</v>
      </c>
      <c r="M2700">
        <v>-316.02</v>
      </c>
      <c r="N2700" s="1">
        <v>38308</v>
      </c>
      <c r="O2700" t="s">
        <v>25</v>
      </c>
      <c r="P2700">
        <v>4</v>
      </c>
      <c r="Q2700">
        <v>11</v>
      </c>
      <c r="R2700">
        <v>2004</v>
      </c>
      <c r="S2700" t="s">
        <v>226</v>
      </c>
    </row>
    <row r="2701" spans="1:19" x14ac:dyDescent="0.25">
      <c r="A2701">
        <v>10192</v>
      </c>
      <c r="B2701" t="s">
        <v>241</v>
      </c>
      <c r="C2701" t="s">
        <v>117</v>
      </c>
      <c r="D2701" t="s">
        <v>118</v>
      </c>
      <c r="E2701" t="s">
        <v>22</v>
      </c>
      <c r="F2701" t="s">
        <v>23</v>
      </c>
      <c r="G2701" t="s">
        <v>33</v>
      </c>
      <c r="H2701">
        <v>15</v>
      </c>
      <c r="I2701">
        <v>45</v>
      </c>
      <c r="J2701">
        <v>90.86</v>
      </c>
      <c r="K2701">
        <v>77</v>
      </c>
      <c r="L2701">
        <v>4088.7</v>
      </c>
      <c r="M2701">
        <v>623.70000000000005</v>
      </c>
      <c r="N2701" s="1">
        <v>37945</v>
      </c>
      <c r="O2701" t="s">
        <v>25</v>
      </c>
      <c r="P2701">
        <v>4</v>
      </c>
      <c r="Q2701">
        <v>11</v>
      </c>
      <c r="R2701">
        <v>2003</v>
      </c>
      <c r="S2701" t="s">
        <v>83</v>
      </c>
    </row>
    <row r="2702" spans="1:19" x14ac:dyDescent="0.25">
      <c r="A2702">
        <v>10390</v>
      </c>
      <c r="B2702" t="s">
        <v>242</v>
      </c>
      <c r="C2702" t="s">
        <v>115</v>
      </c>
      <c r="D2702" t="s">
        <v>116</v>
      </c>
      <c r="E2702" t="s">
        <v>22</v>
      </c>
      <c r="F2702" t="s">
        <v>23</v>
      </c>
      <c r="G2702" t="s">
        <v>24</v>
      </c>
      <c r="H2702">
        <v>15</v>
      </c>
      <c r="I2702">
        <v>34</v>
      </c>
      <c r="J2702">
        <v>43.05</v>
      </c>
      <c r="K2702">
        <v>142</v>
      </c>
      <c r="L2702">
        <v>1463.7</v>
      </c>
      <c r="M2702">
        <v>-3364.3</v>
      </c>
      <c r="N2702" s="1">
        <v>38415</v>
      </c>
      <c r="O2702" t="s">
        <v>25</v>
      </c>
      <c r="P2702">
        <v>1</v>
      </c>
      <c r="Q2702">
        <v>3</v>
      </c>
      <c r="R2702">
        <v>2005</v>
      </c>
      <c r="S2702" t="s">
        <v>83</v>
      </c>
    </row>
    <row r="2703" spans="1:19" x14ac:dyDescent="0.25">
      <c r="A2703">
        <v>10280</v>
      </c>
      <c r="B2703" t="s">
        <v>244</v>
      </c>
      <c r="C2703" t="s">
        <v>108</v>
      </c>
      <c r="D2703" t="s">
        <v>109</v>
      </c>
      <c r="E2703" t="s">
        <v>110</v>
      </c>
      <c r="F2703" t="s">
        <v>30</v>
      </c>
      <c r="G2703" t="s">
        <v>24</v>
      </c>
      <c r="H2703">
        <v>15</v>
      </c>
      <c r="I2703">
        <v>25</v>
      </c>
      <c r="J2703">
        <v>62.96</v>
      </c>
      <c r="K2703">
        <v>60</v>
      </c>
      <c r="L2703">
        <v>1574</v>
      </c>
      <c r="M2703">
        <v>74</v>
      </c>
      <c r="N2703" s="1">
        <v>38216</v>
      </c>
      <c r="O2703" t="s">
        <v>25</v>
      </c>
      <c r="P2703">
        <v>3</v>
      </c>
      <c r="Q2703">
        <v>8</v>
      </c>
      <c r="R2703">
        <v>2004</v>
      </c>
      <c r="S2703" t="s">
        <v>226</v>
      </c>
    </row>
    <row r="2704" spans="1:19" x14ac:dyDescent="0.25">
      <c r="A2704">
        <v>10165</v>
      </c>
      <c r="B2704" t="s">
        <v>245</v>
      </c>
      <c r="C2704" t="s">
        <v>88</v>
      </c>
      <c r="D2704" t="s">
        <v>89</v>
      </c>
      <c r="E2704" t="s">
        <v>89</v>
      </c>
      <c r="F2704" t="s">
        <v>50</v>
      </c>
      <c r="G2704" t="s">
        <v>33</v>
      </c>
      <c r="H2704">
        <v>15</v>
      </c>
      <c r="I2704">
        <v>46</v>
      </c>
      <c r="J2704">
        <v>100</v>
      </c>
      <c r="K2704">
        <v>122</v>
      </c>
      <c r="L2704">
        <v>5984.14</v>
      </c>
      <c r="M2704">
        <v>372.14</v>
      </c>
      <c r="N2704" s="1">
        <v>37916</v>
      </c>
      <c r="O2704" t="s">
        <v>25</v>
      </c>
      <c r="P2704">
        <v>4</v>
      </c>
      <c r="Q2704">
        <v>10</v>
      </c>
      <c r="R2704">
        <v>2003</v>
      </c>
      <c r="S2704" t="s">
        <v>202</v>
      </c>
    </row>
    <row r="2705" spans="1:19" x14ac:dyDescent="0.25">
      <c r="A2705">
        <v>10398</v>
      </c>
      <c r="B2705" t="s">
        <v>248</v>
      </c>
      <c r="C2705" t="s">
        <v>27</v>
      </c>
      <c r="D2705" t="s">
        <v>28</v>
      </c>
      <c r="E2705" t="s">
        <v>29</v>
      </c>
      <c r="F2705" t="s">
        <v>30</v>
      </c>
      <c r="G2705" t="s">
        <v>24</v>
      </c>
      <c r="H2705">
        <v>15</v>
      </c>
      <c r="I2705">
        <v>34</v>
      </c>
      <c r="J2705">
        <v>76.88</v>
      </c>
      <c r="K2705">
        <v>84</v>
      </c>
      <c r="L2705">
        <v>2613.92</v>
      </c>
      <c r="M2705">
        <v>-242.08</v>
      </c>
      <c r="N2705" s="1">
        <v>38441</v>
      </c>
      <c r="O2705" t="s">
        <v>25</v>
      </c>
      <c r="P2705">
        <v>1</v>
      </c>
      <c r="Q2705">
        <v>3</v>
      </c>
      <c r="R2705">
        <v>2005</v>
      </c>
      <c r="S2705" t="s">
        <v>234</v>
      </c>
    </row>
    <row r="2706" spans="1:19" x14ac:dyDescent="0.25">
      <c r="A2706">
        <v>10262</v>
      </c>
      <c r="B2706" t="s">
        <v>254</v>
      </c>
      <c r="C2706" t="s">
        <v>78</v>
      </c>
      <c r="D2706" t="s">
        <v>79</v>
      </c>
      <c r="E2706" t="s">
        <v>80</v>
      </c>
      <c r="F2706" t="s">
        <v>30</v>
      </c>
      <c r="G2706" t="s">
        <v>24</v>
      </c>
      <c r="H2706">
        <v>15</v>
      </c>
      <c r="I2706">
        <v>32</v>
      </c>
      <c r="J2706">
        <v>84.3</v>
      </c>
      <c r="K2706">
        <v>86</v>
      </c>
      <c r="L2706">
        <v>2697.6</v>
      </c>
      <c r="M2706">
        <v>-54.4</v>
      </c>
      <c r="N2706" s="1">
        <v>38162</v>
      </c>
      <c r="O2706" t="s">
        <v>141</v>
      </c>
      <c r="P2706">
        <v>2</v>
      </c>
      <c r="Q2706">
        <v>6</v>
      </c>
      <c r="R2706">
        <v>2004</v>
      </c>
      <c r="S2706" t="s">
        <v>255</v>
      </c>
    </row>
    <row r="2707" spans="1:19" x14ac:dyDescent="0.25">
      <c r="A2707">
        <v>10316</v>
      </c>
      <c r="B2707" t="s">
        <v>254</v>
      </c>
      <c r="C2707" t="s">
        <v>158</v>
      </c>
      <c r="D2707" t="s">
        <v>159</v>
      </c>
      <c r="E2707" t="s">
        <v>77</v>
      </c>
      <c r="F2707" t="s">
        <v>30</v>
      </c>
      <c r="G2707" t="s">
        <v>24</v>
      </c>
      <c r="H2707">
        <v>15</v>
      </c>
      <c r="I2707">
        <v>21</v>
      </c>
      <c r="J2707">
        <v>94.62</v>
      </c>
      <c r="K2707">
        <v>86</v>
      </c>
      <c r="L2707">
        <v>1987.02</v>
      </c>
      <c r="M2707">
        <v>181.02</v>
      </c>
      <c r="N2707" s="1">
        <v>38292</v>
      </c>
      <c r="O2707" t="s">
        <v>25</v>
      </c>
      <c r="P2707">
        <v>4</v>
      </c>
      <c r="Q2707">
        <v>11</v>
      </c>
      <c r="R2707">
        <v>2004</v>
      </c>
      <c r="S2707" t="s">
        <v>255</v>
      </c>
    </row>
    <row r="2708" spans="1:19" x14ac:dyDescent="0.25">
      <c r="A2708">
        <v>10127</v>
      </c>
      <c r="B2708" t="s">
        <v>259</v>
      </c>
      <c r="C2708" t="s">
        <v>192</v>
      </c>
      <c r="D2708" t="s">
        <v>21</v>
      </c>
      <c r="E2708" t="s">
        <v>22</v>
      </c>
      <c r="F2708" t="s">
        <v>23</v>
      </c>
      <c r="G2708" t="s">
        <v>33</v>
      </c>
      <c r="H2708">
        <v>15</v>
      </c>
      <c r="I2708">
        <v>22</v>
      </c>
      <c r="J2708">
        <v>100</v>
      </c>
      <c r="K2708">
        <v>169</v>
      </c>
      <c r="L2708">
        <v>3837.24</v>
      </c>
      <c r="M2708">
        <v>119.24</v>
      </c>
      <c r="N2708" s="1">
        <v>37775</v>
      </c>
      <c r="O2708" t="s">
        <v>25</v>
      </c>
      <c r="P2708">
        <v>2</v>
      </c>
      <c r="Q2708">
        <v>6</v>
      </c>
      <c r="R2708">
        <v>2003</v>
      </c>
      <c r="S2708" t="s">
        <v>83</v>
      </c>
    </row>
    <row r="2709" spans="1:19" x14ac:dyDescent="0.25">
      <c r="A2709">
        <v>10273</v>
      </c>
      <c r="B2709" t="s">
        <v>260</v>
      </c>
      <c r="C2709" t="s">
        <v>151</v>
      </c>
      <c r="D2709" t="s">
        <v>152</v>
      </c>
      <c r="E2709" t="s">
        <v>153</v>
      </c>
      <c r="F2709" t="s">
        <v>30</v>
      </c>
      <c r="G2709" t="s">
        <v>33</v>
      </c>
      <c r="H2709">
        <v>15</v>
      </c>
      <c r="I2709">
        <v>47</v>
      </c>
      <c r="J2709">
        <v>100</v>
      </c>
      <c r="K2709">
        <v>100</v>
      </c>
      <c r="L2709">
        <v>5450.59</v>
      </c>
      <c r="M2709">
        <v>750.59</v>
      </c>
      <c r="N2709" s="1">
        <v>38189</v>
      </c>
      <c r="O2709" t="s">
        <v>25</v>
      </c>
      <c r="P2709">
        <v>3</v>
      </c>
      <c r="Q2709">
        <v>7</v>
      </c>
      <c r="R2709">
        <v>2004</v>
      </c>
      <c r="S2709" t="s">
        <v>261</v>
      </c>
    </row>
    <row r="2710" spans="1:19" x14ac:dyDescent="0.25">
      <c r="A2710">
        <v>10287</v>
      </c>
      <c r="B2710" t="s">
        <v>262</v>
      </c>
      <c r="C2710" t="s">
        <v>181</v>
      </c>
      <c r="D2710" t="s">
        <v>182</v>
      </c>
      <c r="E2710" t="s">
        <v>183</v>
      </c>
      <c r="F2710" t="s">
        <v>30</v>
      </c>
      <c r="G2710" t="s">
        <v>33</v>
      </c>
      <c r="H2710">
        <v>15</v>
      </c>
      <c r="I2710">
        <v>43</v>
      </c>
      <c r="J2710">
        <v>70.760000000000005</v>
      </c>
      <c r="K2710">
        <v>80</v>
      </c>
      <c r="L2710">
        <v>3042.68</v>
      </c>
      <c r="M2710">
        <v>-397.32</v>
      </c>
      <c r="N2710" s="1">
        <v>38229</v>
      </c>
      <c r="O2710" t="s">
        <v>25</v>
      </c>
      <c r="P2710">
        <v>3</v>
      </c>
      <c r="Q2710">
        <v>8</v>
      </c>
      <c r="R2710">
        <v>2004</v>
      </c>
      <c r="S2710" t="s">
        <v>83</v>
      </c>
    </row>
    <row r="2711" spans="1:19" x14ac:dyDescent="0.25">
      <c r="A2711">
        <v>10204</v>
      </c>
      <c r="B2711" t="s">
        <v>265</v>
      </c>
      <c r="C2711" t="s">
        <v>192</v>
      </c>
      <c r="D2711" t="s">
        <v>21</v>
      </c>
      <c r="E2711" t="s">
        <v>22</v>
      </c>
      <c r="F2711" t="s">
        <v>23</v>
      </c>
      <c r="G2711" t="s">
        <v>33</v>
      </c>
      <c r="H2711">
        <v>15</v>
      </c>
      <c r="I2711">
        <v>35</v>
      </c>
      <c r="J2711">
        <v>100</v>
      </c>
      <c r="K2711">
        <v>141</v>
      </c>
      <c r="L2711">
        <v>5735.8</v>
      </c>
      <c r="M2711">
        <v>800.8</v>
      </c>
      <c r="N2711" s="1">
        <v>37957</v>
      </c>
      <c r="O2711" t="s">
        <v>25</v>
      </c>
      <c r="P2711">
        <v>4</v>
      </c>
      <c r="Q2711">
        <v>12</v>
      </c>
      <c r="R2711">
        <v>2003</v>
      </c>
      <c r="S2711" t="s">
        <v>83</v>
      </c>
    </row>
    <row r="2712" spans="1:19" x14ac:dyDescent="0.25">
      <c r="A2712">
        <v>10142</v>
      </c>
      <c r="B2712" t="s">
        <v>268</v>
      </c>
      <c r="C2712" t="s">
        <v>115</v>
      </c>
      <c r="D2712" t="s">
        <v>116</v>
      </c>
      <c r="E2712" t="s">
        <v>22</v>
      </c>
      <c r="F2712" t="s">
        <v>23</v>
      </c>
      <c r="G2712" t="s">
        <v>33</v>
      </c>
      <c r="H2712">
        <v>15</v>
      </c>
      <c r="I2712">
        <v>24</v>
      </c>
      <c r="J2712">
        <v>100</v>
      </c>
      <c r="K2712">
        <v>143</v>
      </c>
      <c r="L2712">
        <v>3791.52</v>
      </c>
      <c r="M2712">
        <v>359.52</v>
      </c>
      <c r="N2712" s="1">
        <v>37841</v>
      </c>
      <c r="O2712" t="s">
        <v>25</v>
      </c>
      <c r="P2712">
        <v>3</v>
      </c>
      <c r="Q2712">
        <v>8</v>
      </c>
      <c r="R2712">
        <v>2003</v>
      </c>
      <c r="S2712" t="s">
        <v>83</v>
      </c>
    </row>
    <row r="2713" spans="1:19" x14ac:dyDescent="0.25">
      <c r="A2713">
        <v>10193</v>
      </c>
      <c r="B2713" t="s">
        <v>269</v>
      </c>
      <c r="C2713" t="s">
        <v>229</v>
      </c>
      <c r="D2713" t="s">
        <v>230</v>
      </c>
      <c r="E2713" t="s">
        <v>49</v>
      </c>
      <c r="F2713" t="s">
        <v>50</v>
      </c>
      <c r="G2713" t="s">
        <v>24</v>
      </c>
      <c r="H2713">
        <v>15</v>
      </c>
      <c r="I2713">
        <v>24</v>
      </c>
      <c r="J2713">
        <v>97.55</v>
      </c>
      <c r="K2713">
        <v>92</v>
      </c>
      <c r="L2713">
        <v>2341.1999999999998</v>
      </c>
      <c r="M2713">
        <v>133.19999999999999</v>
      </c>
      <c r="N2713" s="1">
        <v>37946</v>
      </c>
      <c r="O2713" t="s">
        <v>25</v>
      </c>
      <c r="P2713">
        <v>4</v>
      </c>
      <c r="Q2713">
        <v>11</v>
      </c>
      <c r="R2713">
        <v>2003</v>
      </c>
      <c r="S2713" t="s">
        <v>226</v>
      </c>
    </row>
    <row r="2714" spans="1:19" x14ac:dyDescent="0.25">
      <c r="A2714">
        <v>10122</v>
      </c>
      <c r="B2714" t="s">
        <v>273</v>
      </c>
      <c r="C2714" t="s">
        <v>176</v>
      </c>
      <c r="D2714" t="s">
        <v>177</v>
      </c>
      <c r="E2714" t="s">
        <v>29</v>
      </c>
      <c r="F2714" t="s">
        <v>30</v>
      </c>
      <c r="G2714" t="s">
        <v>33</v>
      </c>
      <c r="H2714">
        <v>15</v>
      </c>
      <c r="I2714">
        <v>28</v>
      </c>
      <c r="J2714">
        <v>100</v>
      </c>
      <c r="K2714">
        <v>148</v>
      </c>
      <c r="L2714">
        <v>3583.16</v>
      </c>
      <c r="M2714">
        <v>-560.84</v>
      </c>
      <c r="N2714" s="1">
        <v>37749</v>
      </c>
      <c r="O2714" t="s">
        <v>25</v>
      </c>
      <c r="P2714">
        <v>2</v>
      </c>
      <c r="Q2714">
        <v>5</v>
      </c>
      <c r="R2714">
        <v>2003</v>
      </c>
      <c r="S2714" t="s">
        <v>83</v>
      </c>
    </row>
    <row r="2715" spans="1:19" x14ac:dyDescent="0.25">
      <c r="A2715">
        <v>10310</v>
      </c>
      <c r="B2715" t="s">
        <v>273</v>
      </c>
      <c r="C2715" t="s">
        <v>178</v>
      </c>
      <c r="D2715" t="s">
        <v>179</v>
      </c>
      <c r="E2715" t="s">
        <v>180</v>
      </c>
      <c r="F2715" t="s">
        <v>30</v>
      </c>
      <c r="G2715" t="s">
        <v>33</v>
      </c>
      <c r="H2715">
        <v>15</v>
      </c>
      <c r="I2715">
        <v>40</v>
      </c>
      <c r="J2715">
        <v>100</v>
      </c>
      <c r="K2715">
        <v>148</v>
      </c>
      <c r="L2715">
        <v>5356.8</v>
      </c>
      <c r="M2715">
        <v>-563.20000000000005</v>
      </c>
      <c r="N2715" s="1">
        <v>38276</v>
      </c>
      <c r="O2715" t="s">
        <v>25</v>
      </c>
      <c r="P2715">
        <v>4</v>
      </c>
      <c r="Q2715">
        <v>10</v>
      </c>
      <c r="R2715">
        <v>2004</v>
      </c>
      <c r="S2715" t="s">
        <v>83</v>
      </c>
    </row>
    <row r="2716" spans="1:19" x14ac:dyDescent="0.25">
      <c r="A2716">
        <v>10173</v>
      </c>
      <c r="B2716" t="s">
        <v>274</v>
      </c>
      <c r="C2716" t="s">
        <v>227</v>
      </c>
      <c r="D2716" t="s">
        <v>228</v>
      </c>
      <c r="E2716" t="s">
        <v>110</v>
      </c>
      <c r="F2716" t="s">
        <v>30</v>
      </c>
      <c r="G2716" t="s">
        <v>24</v>
      </c>
      <c r="H2716">
        <v>15</v>
      </c>
      <c r="I2716">
        <v>39</v>
      </c>
      <c r="J2716">
        <v>71.98</v>
      </c>
      <c r="K2716">
        <v>71</v>
      </c>
      <c r="L2716">
        <v>2807.22</v>
      </c>
      <c r="M2716">
        <v>38.22</v>
      </c>
      <c r="N2716" s="1">
        <v>37930</v>
      </c>
      <c r="O2716" t="s">
        <v>25</v>
      </c>
      <c r="P2716">
        <v>4</v>
      </c>
      <c r="Q2716">
        <v>11</v>
      </c>
      <c r="R2716">
        <v>2003</v>
      </c>
      <c r="S2716" t="s">
        <v>83</v>
      </c>
    </row>
    <row r="2717" spans="1:19" x14ac:dyDescent="0.25">
      <c r="A2717">
        <v>10159</v>
      </c>
      <c r="B2717" t="s">
        <v>277</v>
      </c>
      <c r="C2717" t="s">
        <v>36</v>
      </c>
      <c r="D2717" t="s">
        <v>37</v>
      </c>
      <c r="E2717" t="s">
        <v>22</v>
      </c>
      <c r="F2717" t="s">
        <v>23</v>
      </c>
      <c r="G2717" t="s">
        <v>33</v>
      </c>
      <c r="H2717">
        <v>15</v>
      </c>
      <c r="I2717">
        <v>44</v>
      </c>
      <c r="J2717">
        <v>100</v>
      </c>
      <c r="K2717">
        <v>112</v>
      </c>
      <c r="L2717">
        <v>5355.68</v>
      </c>
      <c r="M2717">
        <v>427.68</v>
      </c>
      <c r="N2717" s="1">
        <v>37904</v>
      </c>
      <c r="O2717" t="s">
        <v>25</v>
      </c>
      <c r="P2717">
        <v>4</v>
      </c>
      <c r="Q2717">
        <v>10</v>
      </c>
      <c r="R2717">
        <v>2003</v>
      </c>
      <c r="S2717" t="s">
        <v>26</v>
      </c>
    </row>
    <row r="2718" spans="1:19" x14ac:dyDescent="0.25">
      <c r="A2718">
        <v>10211</v>
      </c>
      <c r="B2718" t="s">
        <v>277</v>
      </c>
      <c r="C2718" t="s">
        <v>46</v>
      </c>
      <c r="D2718" t="s">
        <v>32</v>
      </c>
      <c r="E2718" t="s">
        <v>29</v>
      </c>
      <c r="F2718" t="s">
        <v>30</v>
      </c>
      <c r="G2718" t="s">
        <v>24</v>
      </c>
      <c r="H2718">
        <v>15</v>
      </c>
      <c r="I2718">
        <v>25</v>
      </c>
      <c r="J2718">
        <v>90.16</v>
      </c>
      <c r="K2718">
        <v>112</v>
      </c>
      <c r="L2718">
        <v>2254</v>
      </c>
      <c r="M2718">
        <v>-546</v>
      </c>
      <c r="N2718" s="1">
        <v>38001</v>
      </c>
      <c r="O2718" t="s">
        <v>25</v>
      </c>
      <c r="P2718">
        <v>1</v>
      </c>
      <c r="Q2718">
        <v>1</v>
      </c>
      <c r="R2718">
        <v>2004</v>
      </c>
      <c r="S2718" t="s">
        <v>26</v>
      </c>
    </row>
    <row r="2719" spans="1:19" x14ac:dyDescent="0.25">
      <c r="A2719">
        <v>10110</v>
      </c>
      <c r="B2719" t="s">
        <v>278</v>
      </c>
      <c r="C2719" t="s">
        <v>197</v>
      </c>
      <c r="D2719" t="s">
        <v>198</v>
      </c>
      <c r="E2719" t="s">
        <v>77</v>
      </c>
      <c r="F2719" t="s">
        <v>30</v>
      </c>
      <c r="G2719" t="s">
        <v>24</v>
      </c>
      <c r="H2719">
        <v>15</v>
      </c>
      <c r="I2719">
        <v>29</v>
      </c>
      <c r="J2719">
        <v>59.37</v>
      </c>
      <c r="K2719">
        <v>50</v>
      </c>
      <c r="L2719">
        <v>1721.73</v>
      </c>
      <c r="M2719">
        <v>271.73</v>
      </c>
      <c r="N2719" s="1">
        <v>37698</v>
      </c>
      <c r="O2719" t="s">
        <v>25</v>
      </c>
      <c r="P2719">
        <v>1</v>
      </c>
      <c r="Q2719">
        <v>3</v>
      </c>
      <c r="R2719">
        <v>2003</v>
      </c>
      <c r="S2719" t="s">
        <v>83</v>
      </c>
    </row>
    <row r="2720" spans="1:19" x14ac:dyDescent="0.25">
      <c r="A2720">
        <v>10304</v>
      </c>
      <c r="B2720" t="s">
        <v>283</v>
      </c>
      <c r="C2720" t="s">
        <v>113</v>
      </c>
      <c r="D2720" t="s">
        <v>114</v>
      </c>
      <c r="E2720" t="s">
        <v>29</v>
      </c>
      <c r="F2720" t="s">
        <v>30</v>
      </c>
      <c r="G2720" t="s">
        <v>24</v>
      </c>
      <c r="H2720">
        <v>15</v>
      </c>
      <c r="I2720">
        <v>44</v>
      </c>
      <c r="J2720">
        <v>39.42</v>
      </c>
      <c r="K2720">
        <v>44</v>
      </c>
      <c r="L2720">
        <v>1734.48</v>
      </c>
      <c r="M2720">
        <v>-201.52</v>
      </c>
      <c r="N2720" s="1">
        <v>38271</v>
      </c>
      <c r="O2720" t="s">
        <v>25</v>
      </c>
      <c r="P2720">
        <v>4</v>
      </c>
      <c r="Q2720">
        <v>10</v>
      </c>
      <c r="R2720">
        <v>2004</v>
      </c>
      <c r="S2720" t="s">
        <v>226</v>
      </c>
    </row>
    <row r="2721" spans="1:19" x14ac:dyDescent="0.25">
      <c r="A2721">
        <v>10108</v>
      </c>
      <c r="B2721" t="s">
        <v>285</v>
      </c>
      <c r="C2721" t="s">
        <v>173</v>
      </c>
      <c r="D2721" t="s">
        <v>174</v>
      </c>
      <c r="E2721" t="s">
        <v>175</v>
      </c>
      <c r="F2721" t="s">
        <v>50</v>
      </c>
      <c r="G2721" t="s">
        <v>24</v>
      </c>
      <c r="H2721">
        <v>15</v>
      </c>
      <c r="I2721">
        <v>35</v>
      </c>
      <c r="J2721">
        <v>58.87</v>
      </c>
      <c r="K2721">
        <v>69</v>
      </c>
      <c r="L2721">
        <v>2060.4499999999998</v>
      </c>
      <c r="M2721">
        <v>-354.55</v>
      </c>
      <c r="N2721" s="1">
        <v>37683</v>
      </c>
      <c r="O2721" t="s">
        <v>25</v>
      </c>
      <c r="P2721">
        <v>1</v>
      </c>
      <c r="Q2721">
        <v>3</v>
      </c>
      <c r="R2721">
        <v>2003</v>
      </c>
      <c r="S2721" t="s">
        <v>26</v>
      </c>
    </row>
    <row r="2722" spans="1:19" x14ac:dyDescent="0.25">
      <c r="A2722">
        <v>10314</v>
      </c>
      <c r="B2722" t="s">
        <v>287</v>
      </c>
      <c r="C2722" t="s">
        <v>199</v>
      </c>
      <c r="D2722" t="s">
        <v>200</v>
      </c>
      <c r="E2722" t="s">
        <v>137</v>
      </c>
      <c r="F2722" t="s">
        <v>30</v>
      </c>
      <c r="G2722" t="s">
        <v>24</v>
      </c>
      <c r="H2722">
        <v>15</v>
      </c>
      <c r="I2722">
        <v>39</v>
      </c>
      <c r="J2722">
        <v>37.130000000000003</v>
      </c>
      <c r="K2722">
        <v>35</v>
      </c>
      <c r="L2722">
        <v>1448.07</v>
      </c>
      <c r="M2722">
        <v>83.07</v>
      </c>
      <c r="N2722" s="1">
        <v>38282</v>
      </c>
      <c r="O2722" t="s">
        <v>25</v>
      </c>
      <c r="P2722">
        <v>4</v>
      </c>
      <c r="Q2722">
        <v>10</v>
      </c>
      <c r="R2722">
        <v>2004</v>
      </c>
      <c r="S2722" t="s">
        <v>83</v>
      </c>
    </row>
    <row r="2723" spans="1:19" x14ac:dyDescent="0.25">
      <c r="A2723">
        <v>10182</v>
      </c>
      <c r="B2723" t="s">
        <v>292</v>
      </c>
      <c r="C2723" t="s">
        <v>115</v>
      </c>
      <c r="D2723" t="s">
        <v>116</v>
      </c>
      <c r="E2723" t="s">
        <v>22</v>
      </c>
      <c r="F2723" t="s">
        <v>23</v>
      </c>
      <c r="G2723" t="s">
        <v>33</v>
      </c>
      <c r="H2723">
        <v>15</v>
      </c>
      <c r="I2723">
        <v>33</v>
      </c>
      <c r="J2723">
        <v>94.17</v>
      </c>
      <c r="K2723">
        <v>85</v>
      </c>
      <c r="L2723">
        <v>3107.61</v>
      </c>
      <c r="M2723">
        <v>302.61</v>
      </c>
      <c r="N2723" s="1">
        <v>37937</v>
      </c>
      <c r="O2723" t="s">
        <v>25</v>
      </c>
      <c r="P2723">
        <v>4</v>
      </c>
      <c r="Q2723">
        <v>11</v>
      </c>
      <c r="R2723">
        <v>2003</v>
      </c>
      <c r="S2723" t="s">
        <v>83</v>
      </c>
    </row>
    <row r="2724" spans="1:19" x14ac:dyDescent="0.25">
      <c r="A2724">
        <v>10227</v>
      </c>
      <c r="B2724" t="s">
        <v>292</v>
      </c>
      <c r="C2724" t="s">
        <v>95</v>
      </c>
      <c r="D2724" t="s">
        <v>96</v>
      </c>
      <c r="E2724" t="s">
        <v>29</v>
      </c>
      <c r="F2724" t="s">
        <v>30</v>
      </c>
      <c r="G2724" t="s">
        <v>33</v>
      </c>
      <c r="H2724">
        <v>15</v>
      </c>
      <c r="I2724">
        <v>40</v>
      </c>
      <c r="J2724">
        <v>79.62</v>
      </c>
      <c r="K2724">
        <v>85</v>
      </c>
      <c r="L2724">
        <v>3184.8</v>
      </c>
      <c r="M2724">
        <v>-215.2</v>
      </c>
      <c r="N2724" s="1">
        <v>38048</v>
      </c>
      <c r="O2724" t="s">
        <v>25</v>
      </c>
      <c r="P2724">
        <v>1</v>
      </c>
      <c r="Q2724">
        <v>3</v>
      </c>
      <c r="R2724">
        <v>2004</v>
      </c>
      <c r="S2724" t="s">
        <v>83</v>
      </c>
    </row>
    <row r="2725" spans="1:19" x14ac:dyDescent="0.25">
      <c r="A2725">
        <v>10363</v>
      </c>
      <c r="B2725" t="s">
        <v>293</v>
      </c>
      <c r="C2725" t="s">
        <v>189</v>
      </c>
      <c r="D2725" t="s">
        <v>190</v>
      </c>
      <c r="E2725" t="s">
        <v>62</v>
      </c>
      <c r="F2725" t="s">
        <v>30</v>
      </c>
      <c r="G2725" t="s">
        <v>24</v>
      </c>
      <c r="H2725">
        <v>15</v>
      </c>
      <c r="I2725">
        <v>21</v>
      </c>
      <c r="J2725">
        <v>100</v>
      </c>
      <c r="K2725">
        <v>61</v>
      </c>
      <c r="L2725">
        <v>2447.7600000000002</v>
      </c>
      <c r="M2725">
        <v>1166.76</v>
      </c>
      <c r="N2725" s="1">
        <v>38358</v>
      </c>
      <c r="O2725" t="s">
        <v>25</v>
      </c>
      <c r="P2725">
        <v>1</v>
      </c>
      <c r="Q2725">
        <v>1</v>
      </c>
      <c r="R2725">
        <v>2005</v>
      </c>
      <c r="S2725" t="s">
        <v>83</v>
      </c>
    </row>
    <row r="2726" spans="1:19" x14ac:dyDescent="0.25">
      <c r="A2726">
        <v>10312</v>
      </c>
      <c r="B2726" t="s">
        <v>299</v>
      </c>
      <c r="C2726" t="s">
        <v>115</v>
      </c>
      <c r="D2726" t="s">
        <v>116</v>
      </c>
      <c r="E2726" t="s">
        <v>22</v>
      </c>
      <c r="F2726" t="s">
        <v>23</v>
      </c>
      <c r="G2726" t="s">
        <v>24</v>
      </c>
      <c r="H2726">
        <v>15</v>
      </c>
      <c r="I2726">
        <v>31</v>
      </c>
      <c r="J2726">
        <v>35.29</v>
      </c>
      <c r="K2726">
        <v>41</v>
      </c>
      <c r="L2726">
        <v>1093.99</v>
      </c>
      <c r="M2726">
        <v>-177.01</v>
      </c>
      <c r="N2726" s="1">
        <v>38281</v>
      </c>
      <c r="O2726" t="s">
        <v>25</v>
      </c>
      <c r="P2726">
        <v>4</v>
      </c>
      <c r="Q2726">
        <v>10</v>
      </c>
      <c r="R2726">
        <v>2004</v>
      </c>
      <c r="S2726" t="s">
        <v>226</v>
      </c>
    </row>
    <row r="2727" spans="1:19" x14ac:dyDescent="0.25">
      <c r="A2727">
        <v>10103</v>
      </c>
      <c r="B2727" t="s">
        <v>301</v>
      </c>
      <c r="C2727" t="s">
        <v>63</v>
      </c>
      <c r="D2727" t="s">
        <v>64</v>
      </c>
      <c r="E2727" t="s">
        <v>44</v>
      </c>
      <c r="F2727" t="s">
        <v>30</v>
      </c>
      <c r="G2727" t="s">
        <v>24</v>
      </c>
      <c r="H2727">
        <v>15</v>
      </c>
      <c r="I2727">
        <v>25</v>
      </c>
      <c r="J2727">
        <v>100</v>
      </c>
      <c r="K2727">
        <v>97</v>
      </c>
      <c r="L2727">
        <v>2873</v>
      </c>
      <c r="M2727">
        <v>448</v>
      </c>
      <c r="N2727" s="1">
        <v>37650</v>
      </c>
      <c r="O2727" t="s">
        <v>25</v>
      </c>
      <c r="P2727">
        <v>1</v>
      </c>
      <c r="Q2727">
        <v>1</v>
      </c>
      <c r="R2727">
        <v>2003</v>
      </c>
      <c r="S2727" t="s">
        <v>226</v>
      </c>
    </row>
    <row r="2728" spans="1:19" x14ac:dyDescent="0.25">
      <c r="A2728">
        <v>10126</v>
      </c>
      <c r="B2728" t="s">
        <v>301</v>
      </c>
      <c r="C2728" t="s">
        <v>87</v>
      </c>
      <c r="D2728" t="s">
        <v>79</v>
      </c>
      <c r="E2728" t="s">
        <v>80</v>
      </c>
      <c r="F2728" t="s">
        <v>30</v>
      </c>
      <c r="G2728" t="s">
        <v>33</v>
      </c>
      <c r="H2728">
        <v>15</v>
      </c>
      <c r="I2728">
        <v>34</v>
      </c>
      <c r="J2728">
        <v>100</v>
      </c>
      <c r="K2728">
        <v>97</v>
      </c>
      <c r="L2728">
        <v>3576.12</v>
      </c>
      <c r="M2728">
        <v>278.12</v>
      </c>
      <c r="N2728" s="1">
        <v>37769</v>
      </c>
      <c r="O2728" t="s">
        <v>25</v>
      </c>
      <c r="P2728">
        <v>2</v>
      </c>
      <c r="Q2728">
        <v>5</v>
      </c>
      <c r="R2728">
        <v>2003</v>
      </c>
      <c r="S2728" t="s">
        <v>226</v>
      </c>
    </row>
    <row r="2729" spans="1:19" x14ac:dyDescent="0.25">
      <c r="A2729">
        <v>10145</v>
      </c>
      <c r="B2729" t="s">
        <v>302</v>
      </c>
      <c r="C2729" t="s">
        <v>34</v>
      </c>
      <c r="D2729" t="s">
        <v>35</v>
      </c>
      <c r="E2729" t="s">
        <v>22</v>
      </c>
      <c r="F2729" t="s">
        <v>23</v>
      </c>
      <c r="G2729" t="s">
        <v>24</v>
      </c>
      <c r="H2729">
        <v>15</v>
      </c>
      <c r="I2729">
        <v>33</v>
      </c>
      <c r="J2729">
        <v>84.77</v>
      </c>
      <c r="K2729">
        <v>72</v>
      </c>
      <c r="L2729">
        <v>2797.41</v>
      </c>
      <c r="M2729">
        <v>421.41</v>
      </c>
      <c r="N2729" s="1">
        <v>37858</v>
      </c>
      <c r="O2729" t="s">
        <v>25</v>
      </c>
      <c r="P2729">
        <v>3</v>
      </c>
      <c r="Q2729">
        <v>8</v>
      </c>
      <c r="R2729">
        <v>2003</v>
      </c>
      <c r="S2729" t="s">
        <v>234</v>
      </c>
    </row>
    <row r="2730" spans="1:19" x14ac:dyDescent="0.25">
      <c r="A2730">
        <v>10375</v>
      </c>
      <c r="B2730" t="s">
        <v>311</v>
      </c>
      <c r="C2730" t="s">
        <v>56</v>
      </c>
      <c r="D2730" t="s">
        <v>57</v>
      </c>
      <c r="E2730" t="s">
        <v>29</v>
      </c>
      <c r="F2730" t="s">
        <v>30</v>
      </c>
      <c r="G2730" t="s">
        <v>33</v>
      </c>
      <c r="H2730">
        <v>15</v>
      </c>
      <c r="I2730">
        <v>41</v>
      </c>
      <c r="J2730">
        <v>100</v>
      </c>
      <c r="K2730">
        <v>102</v>
      </c>
      <c r="L2730">
        <v>4701.88</v>
      </c>
      <c r="M2730">
        <v>519.88</v>
      </c>
      <c r="N2730" s="1">
        <v>38386</v>
      </c>
      <c r="O2730" t="s">
        <v>25</v>
      </c>
      <c r="P2730">
        <v>1</v>
      </c>
      <c r="Q2730">
        <v>2</v>
      </c>
      <c r="R2730">
        <v>2005</v>
      </c>
      <c r="S2730" t="s">
        <v>26</v>
      </c>
    </row>
    <row r="2731" spans="1:19" x14ac:dyDescent="0.25">
      <c r="A2731">
        <v>10185</v>
      </c>
      <c r="B2731" t="s">
        <v>314</v>
      </c>
      <c r="C2731" t="s">
        <v>140</v>
      </c>
      <c r="D2731" t="s">
        <v>74</v>
      </c>
      <c r="E2731" t="s">
        <v>22</v>
      </c>
      <c r="F2731" t="s">
        <v>23</v>
      </c>
      <c r="G2731" t="s">
        <v>24</v>
      </c>
      <c r="H2731">
        <v>15</v>
      </c>
      <c r="I2731">
        <v>20</v>
      </c>
      <c r="J2731">
        <v>48.62</v>
      </c>
      <c r="K2731">
        <v>58</v>
      </c>
      <c r="L2731">
        <v>972.4</v>
      </c>
      <c r="M2731">
        <v>-187.6</v>
      </c>
      <c r="N2731" s="1">
        <v>37939</v>
      </c>
      <c r="O2731" t="s">
        <v>25</v>
      </c>
      <c r="P2731">
        <v>4</v>
      </c>
      <c r="Q2731">
        <v>11</v>
      </c>
      <c r="R2731">
        <v>2003</v>
      </c>
      <c r="S2731" t="s">
        <v>261</v>
      </c>
    </row>
    <row r="2732" spans="1:19" x14ac:dyDescent="0.25">
      <c r="A2732">
        <v>10208</v>
      </c>
      <c r="B2732" t="s">
        <v>314</v>
      </c>
      <c r="C2732" t="s">
        <v>95</v>
      </c>
      <c r="D2732" t="s">
        <v>96</v>
      </c>
      <c r="E2732" t="s">
        <v>29</v>
      </c>
      <c r="F2732" t="s">
        <v>30</v>
      </c>
      <c r="G2732" t="s">
        <v>24</v>
      </c>
      <c r="H2732">
        <v>15</v>
      </c>
      <c r="I2732">
        <v>30</v>
      </c>
      <c r="J2732">
        <v>65.61</v>
      </c>
      <c r="K2732">
        <v>58</v>
      </c>
      <c r="L2732">
        <v>1968.3</v>
      </c>
      <c r="M2732">
        <v>228.3</v>
      </c>
      <c r="N2732" s="1">
        <v>37988</v>
      </c>
      <c r="O2732" t="s">
        <v>25</v>
      </c>
      <c r="P2732">
        <v>1</v>
      </c>
      <c r="Q2732">
        <v>1</v>
      </c>
      <c r="R2732">
        <v>2004</v>
      </c>
      <c r="S2732" t="s">
        <v>261</v>
      </c>
    </row>
    <row r="2733" spans="1:19" x14ac:dyDescent="0.25">
      <c r="A2733">
        <v>10306</v>
      </c>
      <c r="B2733" t="s">
        <v>314</v>
      </c>
      <c r="C2733" t="s">
        <v>197</v>
      </c>
      <c r="D2733" t="s">
        <v>198</v>
      </c>
      <c r="E2733" t="s">
        <v>77</v>
      </c>
      <c r="F2733" t="s">
        <v>30</v>
      </c>
      <c r="G2733" t="s">
        <v>24</v>
      </c>
      <c r="H2733">
        <v>15</v>
      </c>
      <c r="I2733">
        <v>34</v>
      </c>
      <c r="J2733">
        <v>60.34</v>
      </c>
      <c r="K2733">
        <v>58</v>
      </c>
      <c r="L2733">
        <v>2051.56</v>
      </c>
      <c r="M2733">
        <v>79.56</v>
      </c>
      <c r="N2733" s="1">
        <v>38274</v>
      </c>
      <c r="O2733" t="s">
        <v>25</v>
      </c>
      <c r="P2733">
        <v>4</v>
      </c>
      <c r="Q2733">
        <v>10</v>
      </c>
      <c r="R2733">
        <v>2004</v>
      </c>
      <c r="S2733" t="s">
        <v>261</v>
      </c>
    </row>
    <row r="2734" spans="1:19" x14ac:dyDescent="0.25">
      <c r="A2734">
        <v>10135</v>
      </c>
      <c r="B2734" t="s">
        <v>315</v>
      </c>
      <c r="C2734" t="s">
        <v>115</v>
      </c>
      <c r="D2734" t="s">
        <v>116</v>
      </c>
      <c r="E2734" t="s">
        <v>22</v>
      </c>
      <c r="F2734" t="s">
        <v>23</v>
      </c>
      <c r="G2734" t="s">
        <v>33</v>
      </c>
      <c r="H2734">
        <v>15</v>
      </c>
      <c r="I2734">
        <v>44</v>
      </c>
      <c r="J2734">
        <v>96</v>
      </c>
      <c r="K2734">
        <v>81</v>
      </c>
      <c r="L2734">
        <v>4224</v>
      </c>
      <c r="M2734">
        <v>660</v>
      </c>
      <c r="N2734" s="1">
        <v>37804</v>
      </c>
      <c r="O2734" t="s">
        <v>25</v>
      </c>
      <c r="P2734">
        <v>3</v>
      </c>
      <c r="Q2734">
        <v>7</v>
      </c>
      <c r="R2734">
        <v>2003</v>
      </c>
      <c r="S2734" t="s">
        <v>26</v>
      </c>
    </row>
    <row r="2735" spans="1:19" x14ac:dyDescent="0.25">
      <c r="A2735">
        <v>10222</v>
      </c>
      <c r="B2735" t="s">
        <v>316</v>
      </c>
      <c r="C2735" t="s">
        <v>149</v>
      </c>
      <c r="D2735" t="s">
        <v>150</v>
      </c>
      <c r="E2735" t="s">
        <v>22</v>
      </c>
      <c r="F2735" t="s">
        <v>23</v>
      </c>
      <c r="G2735" t="s">
        <v>24</v>
      </c>
      <c r="H2735">
        <v>15</v>
      </c>
      <c r="I2735">
        <v>31</v>
      </c>
      <c r="J2735">
        <v>62.67</v>
      </c>
      <c r="K2735">
        <v>66</v>
      </c>
      <c r="L2735">
        <v>1942.77</v>
      </c>
      <c r="M2735">
        <v>-103.23</v>
      </c>
      <c r="N2735" s="1">
        <v>38036</v>
      </c>
      <c r="O2735" t="s">
        <v>25</v>
      </c>
      <c r="P2735">
        <v>1</v>
      </c>
      <c r="Q2735">
        <v>2</v>
      </c>
      <c r="R2735">
        <v>2004</v>
      </c>
      <c r="S2735" t="s">
        <v>255</v>
      </c>
    </row>
    <row r="2736" spans="1:19" x14ac:dyDescent="0.25">
      <c r="A2736">
        <v>10339</v>
      </c>
      <c r="B2736" t="s">
        <v>319</v>
      </c>
      <c r="C2736" t="s">
        <v>105</v>
      </c>
      <c r="D2736" t="s">
        <v>106</v>
      </c>
      <c r="E2736" t="s">
        <v>107</v>
      </c>
      <c r="F2736" t="s">
        <v>50</v>
      </c>
      <c r="G2736" t="s">
        <v>33</v>
      </c>
      <c r="H2736">
        <v>15</v>
      </c>
      <c r="I2736">
        <v>55</v>
      </c>
      <c r="J2736">
        <v>71.25</v>
      </c>
      <c r="K2736">
        <v>90</v>
      </c>
      <c r="L2736">
        <v>3918.75</v>
      </c>
      <c r="M2736">
        <v>-1031.25</v>
      </c>
      <c r="N2736" s="1">
        <v>38314</v>
      </c>
      <c r="O2736" t="s">
        <v>25</v>
      </c>
      <c r="P2736">
        <v>4</v>
      </c>
      <c r="Q2736">
        <v>11</v>
      </c>
      <c r="R2736">
        <v>2004</v>
      </c>
      <c r="S2736" t="s">
        <v>255</v>
      </c>
    </row>
    <row r="2737" spans="1:19" x14ac:dyDescent="0.25">
      <c r="A2737">
        <v>10373</v>
      </c>
      <c r="B2737" t="s">
        <v>319</v>
      </c>
      <c r="C2737" t="s">
        <v>160</v>
      </c>
      <c r="D2737" t="s">
        <v>161</v>
      </c>
      <c r="E2737" t="s">
        <v>62</v>
      </c>
      <c r="F2737" t="s">
        <v>30</v>
      </c>
      <c r="G2737" t="s">
        <v>24</v>
      </c>
      <c r="H2737">
        <v>15</v>
      </c>
      <c r="I2737">
        <v>32</v>
      </c>
      <c r="J2737">
        <v>84.41</v>
      </c>
      <c r="K2737">
        <v>90</v>
      </c>
      <c r="L2737">
        <v>2701.12</v>
      </c>
      <c r="M2737">
        <v>-178.88</v>
      </c>
      <c r="N2737" s="1">
        <v>38383</v>
      </c>
      <c r="O2737" t="s">
        <v>25</v>
      </c>
      <c r="P2737">
        <v>1</v>
      </c>
      <c r="Q2737">
        <v>1</v>
      </c>
      <c r="R2737">
        <v>2005</v>
      </c>
      <c r="S2737" t="s">
        <v>255</v>
      </c>
    </row>
    <row r="2738" spans="1:19" x14ac:dyDescent="0.25">
      <c r="A2738">
        <v>10120</v>
      </c>
      <c r="B2738" t="s">
        <v>320</v>
      </c>
      <c r="C2738" t="s">
        <v>47</v>
      </c>
      <c r="D2738" t="s">
        <v>48</v>
      </c>
      <c r="E2738" t="s">
        <v>49</v>
      </c>
      <c r="F2738" t="s">
        <v>50</v>
      </c>
      <c r="G2738" t="s">
        <v>24</v>
      </c>
      <c r="H2738">
        <v>15</v>
      </c>
      <c r="I2738">
        <v>24</v>
      </c>
      <c r="J2738">
        <v>100</v>
      </c>
      <c r="K2738">
        <v>99</v>
      </c>
      <c r="L2738">
        <v>2584.8000000000002</v>
      </c>
      <c r="M2738">
        <v>208.8</v>
      </c>
      <c r="N2738" s="1">
        <v>37740</v>
      </c>
      <c r="O2738" t="s">
        <v>25</v>
      </c>
      <c r="P2738">
        <v>2</v>
      </c>
      <c r="Q2738">
        <v>4</v>
      </c>
      <c r="R2738">
        <v>2003</v>
      </c>
      <c r="S2738" t="s">
        <v>234</v>
      </c>
    </row>
    <row r="2739" spans="1:19" x14ac:dyDescent="0.25">
      <c r="A2739">
        <v>10168</v>
      </c>
      <c r="B2739" t="s">
        <v>324</v>
      </c>
      <c r="C2739" t="s">
        <v>38</v>
      </c>
      <c r="D2739" t="s">
        <v>39</v>
      </c>
      <c r="E2739" t="s">
        <v>22</v>
      </c>
      <c r="F2739" t="s">
        <v>23</v>
      </c>
      <c r="G2739" t="s">
        <v>33</v>
      </c>
      <c r="H2739">
        <v>15</v>
      </c>
      <c r="I2739">
        <v>48</v>
      </c>
      <c r="J2739">
        <v>96</v>
      </c>
      <c r="K2739">
        <v>80</v>
      </c>
      <c r="L2739">
        <v>4608</v>
      </c>
      <c r="M2739">
        <v>768</v>
      </c>
      <c r="N2739" s="1">
        <v>37922</v>
      </c>
      <c r="O2739" t="s">
        <v>25</v>
      </c>
      <c r="P2739">
        <v>4</v>
      </c>
      <c r="Q2739">
        <v>10</v>
      </c>
      <c r="R2739">
        <v>2003</v>
      </c>
      <c r="S2739" t="s">
        <v>234</v>
      </c>
    </row>
    <row r="2740" spans="1:19" x14ac:dyDescent="0.25">
      <c r="A2740">
        <v>10223</v>
      </c>
      <c r="B2740" t="s">
        <v>324</v>
      </c>
      <c r="C2740" t="s">
        <v>47</v>
      </c>
      <c r="D2740" t="s">
        <v>48</v>
      </c>
      <c r="E2740" t="s">
        <v>49</v>
      </c>
      <c r="F2740" t="s">
        <v>50</v>
      </c>
      <c r="G2740" t="s">
        <v>24</v>
      </c>
      <c r="H2740">
        <v>15</v>
      </c>
      <c r="I2740">
        <v>26</v>
      </c>
      <c r="J2740">
        <v>67.2</v>
      </c>
      <c r="K2740">
        <v>80</v>
      </c>
      <c r="L2740">
        <v>1747.2</v>
      </c>
      <c r="M2740">
        <v>-332.8</v>
      </c>
      <c r="N2740" s="1">
        <v>38037</v>
      </c>
      <c r="O2740" t="s">
        <v>25</v>
      </c>
      <c r="P2740">
        <v>1</v>
      </c>
      <c r="Q2740">
        <v>2</v>
      </c>
      <c r="R2740">
        <v>2004</v>
      </c>
      <c r="S2740" t="s">
        <v>234</v>
      </c>
    </row>
    <row r="2741" spans="1:19" x14ac:dyDescent="0.25">
      <c r="A2741">
        <v>10275</v>
      </c>
      <c r="B2741" t="s">
        <v>324</v>
      </c>
      <c r="C2741" t="s">
        <v>56</v>
      </c>
      <c r="D2741" t="s">
        <v>57</v>
      </c>
      <c r="E2741" t="s">
        <v>29</v>
      </c>
      <c r="F2741" t="s">
        <v>30</v>
      </c>
      <c r="G2741" t="s">
        <v>33</v>
      </c>
      <c r="H2741">
        <v>15</v>
      </c>
      <c r="I2741">
        <v>43</v>
      </c>
      <c r="J2741">
        <v>73.599999999999994</v>
      </c>
      <c r="K2741">
        <v>80</v>
      </c>
      <c r="L2741">
        <v>3164.8</v>
      </c>
      <c r="M2741">
        <v>-275.2</v>
      </c>
      <c r="N2741" s="1">
        <v>38191</v>
      </c>
      <c r="O2741" t="s">
        <v>25</v>
      </c>
      <c r="P2741">
        <v>3</v>
      </c>
      <c r="Q2741">
        <v>7</v>
      </c>
      <c r="R2741">
        <v>2004</v>
      </c>
      <c r="S2741" t="s">
        <v>234</v>
      </c>
    </row>
    <row r="2742" spans="1:19" x14ac:dyDescent="0.25">
      <c r="A2742">
        <v>10210</v>
      </c>
      <c r="B2742" t="s">
        <v>327</v>
      </c>
      <c r="C2742" t="s">
        <v>127</v>
      </c>
      <c r="D2742" t="s">
        <v>128</v>
      </c>
      <c r="E2742" t="s">
        <v>107</v>
      </c>
      <c r="F2742" t="s">
        <v>50</v>
      </c>
      <c r="G2742" t="s">
        <v>24</v>
      </c>
      <c r="H2742">
        <v>15</v>
      </c>
      <c r="I2742">
        <v>42</v>
      </c>
      <c r="J2742">
        <v>70.33</v>
      </c>
      <c r="K2742">
        <v>74</v>
      </c>
      <c r="L2742">
        <v>2953.86</v>
      </c>
      <c r="M2742">
        <v>-154.13999999999999</v>
      </c>
      <c r="N2742" s="1">
        <v>37998</v>
      </c>
      <c r="O2742" t="s">
        <v>25</v>
      </c>
      <c r="P2742">
        <v>1</v>
      </c>
      <c r="Q2742">
        <v>1</v>
      </c>
      <c r="R2742">
        <v>2004</v>
      </c>
      <c r="S2742" t="s">
        <v>234</v>
      </c>
    </row>
    <row r="2743" spans="1:19" x14ac:dyDescent="0.25">
      <c r="A2743">
        <v>10308</v>
      </c>
      <c r="B2743" t="s">
        <v>327</v>
      </c>
      <c r="C2743" t="s">
        <v>131</v>
      </c>
      <c r="D2743" t="s">
        <v>132</v>
      </c>
      <c r="E2743" t="s">
        <v>22</v>
      </c>
      <c r="F2743" t="s">
        <v>23</v>
      </c>
      <c r="G2743" t="s">
        <v>24</v>
      </c>
      <c r="H2743">
        <v>15</v>
      </c>
      <c r="I2743">
        <v>39</v>
      </c>
      <c r="J2743">
        <v>68.11</v>
      </c>
      <c r="K2743">
        <v>74</v>
      </c>
      <c r="L2743">
        <v>2656.29</v>
      </c>
      <c r="M2743">
        <v>-229.71</v>
      </c>
      <c r="N2743" s="1">
        <v>38275</v>
      </c>
      <c r="O2743" t="s">
        <v>25</v>
      </c>
      <c r="P2743">
        <v>4</v>
      </c>
      <c r="Q2743">
        <v>10</v>
      </c>
      <c r="R2743">
        <v>2004</v>
      </c>
      <c r="S2743" t="s">
        <v>234</v>
      </c>
    </row>
    <row r="2744" spans="1:19" x14ac:dyDescent="0.25">
      <c r="A2744">
        <v>10386</v>
      </c>
      <c r="B2744" t="s">
        <v>327</v>
      </c>
      <c r="C2744" t="s">
        <v>78</v>
      </c>
      <c r="D2744" t="s">
        <v>79</v>
      </c>
      <c r="E2744" t="s">
        <v>80</v>
      </c>
      <c r="F2744" t="s">
        <v>30</v>
      </c>
      <c r="G2744" t="s">
        <v>33</v>
      </c>
      <c r="H2744">
        <v>15</v>
      </c>
      <c r="I2744">
        <v>44</v>
      </c>
      <c r="J2744">
        <v>86.4</v>
      </c>
      <c r="K2744">
        <v>74</v>
      </c>
      <c r="L2744">
        <v>3801.6</v>
      </c>
      <c r="M2744">
        <v>545.6</v>
      </c>
      <c r="N2744" s="1">
        <v>38412</v>
      </c>
      <c r="O2744" t="s">
        <v>169</v>
      </c>
      <c r="P2744">
        <v>1</v>
      </c>
      <c r="Q2744">
        <v>3</v>
      </c>
      <c r="R2744">
        <v>2005</v>
      </c>
      <c r="S2744" t="s">
        <v>234</v>
      </c>
    </row>
    <row r="2745" spans="1:19" x14ac:dyDescent="0.25">
      <c r="A2745">
        <v>10106</v>
      </c>
      <c r="B2745" t="s">
        <v>328</v>
      </c>
      <c r="C2745" t="s">
        <v>227</v>
      </c>
      <c r="D2745" t="s">
        <v>228</v>
      </c>
      <c r="E2745" t="s">
        <v>110</v>
      </c>
      <c r="F2745" t="s">
        <v>30</v>
      </c>
      <c r="G2745" t="s">
        <v>24</v>
      </c>
      <c r="H2745">
        <v>15</v>
      </c>
      <c r="I2745">
        <v>48</v>
      </c>
      <c r="J2745">
        <v>52.64</v>
      </c>
      <c r="K2745">
        <v>49</v>
      </c>
      <c r="L2745">
        <v>2526.7199999999998</v>
      </c>
      <c r="M2745">
        <v>174.72</v>
      </c>
      <c r="N2745" s="1">
        <v>37669</v>
      </c>
      <c r="O2745" t="s">
        <v>25</v>
      </c>
      <c r="P2745">
        <v>1</v>
      </c>
      <c r="Q2745">
        <v>2</v>
      </c>
      <c r="R2745">
        <v>2003</v>
      </c>
      <c r="S2745" t="s">
        <v>234</v>
      </c>
    </row>
    <row r="2746" spans="1:19" x14ac:dyDescent="0.25">
      <c r="A2746">
        <v>10167</v>
      </c>
      <c r="B2746" t="s">
        <v>329</v>
      </c>
      <c r="C2746" t="s">
        <v>111</v>
      </c>
      <c r="D2746" t="s">
        <v>112</v>
      </c>
      <c r="E2746" t="s">
        <v>86</v>
      </c>
      <c r="F2746" t="s">
        <v>30</v>
      </c>
      <c r="G2746" t="s">
        <v>24</v>
      </c>
      <c r="H2746">
        <v>15</v>
      </c>
      <c r="I2746">
        <v>38</v>
      </c>
      <c r="J2746">
        <v>48.59</v>
      </c>
      <c r="K2746">
        <v>54</v>
      </c>
      <c r="L2746">
        <v>1846.42</v>
      </c>
      <c r="M2746">
        <v>-205.58</v>
      </c>
      <c r="N2746" s="1">
        <v>37917</v>
      </c>
      <c r="O2746" t="s">
        <v>141</v>
      </c>
      <c r="P2746">
        <v>4</v>
      </c>
      <c r="Q2746">
        <v>10</v>
      </c>
      <c r="R2746">
        <v>2003</v>
      </c>
      <c r="S2746" t="s">
        <v>255</v>
      </c>
    </row>
    <row r="2747" spans="1:19" x14ac:dyDescent="0.25">
      <c r="A2747">
        <v>10350</v>
      </c>
      <c r="B2747" t="s">
        <v>329</v>
      </c>
      <c r="C2747" t="s">
        <v>78</v>
      </c>
      <c r="D2747" t="s">
        <v>79</v>
      </c>
      <c r="E2747" t="s">
        <v>80</v>
      </c>
      <c r="F2747" t="s">
        <v>30</v>
      </c>
      <c r="G2747" t="s">
        <v>24</v>
      </c>
      <c r="H2747">
        <v>15</v>
      </c>
      <c r="I2747">
        <v>20</v>
      </c>
      <c r="J2747">
        <v>100</v>
      </c>
      <c r="K2747">
        <v>54</v>
      </c>
      <c r="L2747">
        <v>2244.4</v>
      </c>
      <c r="M2747">
        <v>1164.4000000000001</v>
      </c>
      <c r="N2747" s="1">
        <v>38323</v>
      </c>
      <c r="O2747" t="s">
        <v>25</v>
      </c>
      <c r="P2747">
        <v>4</v>
      </c>
      <c r="Q2747">
        <v>12</v>
      </c>
      <c r="R2747">
        <v>2004</v>
      </c>
      <c r="S2747" t="s">
        <v>255</v>
      </c>
    </row>
    <row r="2748" spans="1:19" x14ac:dyDescent="0.25">
      <c r="A2748">
        <v>10159</v>
      </c>
      <c r="B2748" t="s">
        <v>133</v>
      </c>
      <c r="C2748" t="s">
        <v>36</v>
      </c>
      <c r="D2748" t="s">
        <v>37</v>
      </c>
      <c r="E2748" t="s">
        <v>22</v>
      </c>
      <c r="F2748" t="s">
        <v>23</v>
      </c>
      <c r="G2748" t="s">
        <v>33</v>
      </c>
      <c r="H2748">
        <v>16</v>
      </c>
      <c r="I2748">
        <v>22</v>
      </c>
      <c r="J2748">
        <v>100</v>
      </c>
      <c r="K2748">
        <v>193</v>
      </c>
      <c r="L2748">
        <v>4132.7</v>
      </c>
      <c r="M2748">
        <v>-113.3</v>
      </c>
      <c r="N2748" s="1">
        <v>37904</v>
      </c>
      <c r="O2748" t="s">
        <v>25</v>
      </c>
      <c r="P2748">
        <v>4</v>
      </c>
      <c r="Q2748">
        <v>10</v>
      </c>
      <c r="R2748">
        <v>2003</v>
      </c>
      <c r="S2748" t="s">
        <v>26</v>
      </c>
    </row>
    <row r="2749" spans="1:19" x14ac:dyDescent="0.25">
      <c r="A2749">
        <v>10212</v>
      </c>
      <c r="B2749" t="s">
        <v>206</v>
      </c>
      <c r="C2749" t="s">
        <v>78</v>
      </c>
      <c r="D2749" t="s">
        <v>79</v>
      </c>
      <c r="E2749" t="s">
        <v>80</v>
      </c>
      <c r="F2749" t="s">
        <v>30</v>
      </c>
      <c r="G2749" t="s">
        <v>33</v>
      </c>
      <c r="H2749">
        <v>16</v>
      </c>
      <c r="I2749">
        <v>39</v>
      </c>
      <c r="J2749">
        <v>100</v>
      </c>
      <c r="K2749">
        <v>117</v>
      </c>
      <c r="L2749">
        <v>4946.76</v>
      </c>
      <c r="M2749">
        <v>383.76</v>
      </c>
      <c r="N2749" s="1">
        <v>38002</v>
      </c>
      <c r="O2749" t="s">
        <v>25</v>
      </c>
      <c r="P2749">
        <v>1</v>
      </c>
      <c r="Q2749">
        <v>1</v>
      </c>
      <c r="R2749">
        <v>2004</v>
      </c>
      <c r="S2749" t="s">
        <v>83</v>
      </c>
    </row>
    <row r="2750" spans="1:19" x14ac:dyDescent="0.25">
      <c r="A2750">
        <v>10192</v>
      </c>
      <c r="B2750" t="s">
        <v>216</v>
      </c>
      <c r="C2750" t="s">
        <v>117</v>
      </c>
      <c r="D2750" t="s">
        <v>118</v>
      </c>
      <c r="E2750" t="s">
        <v>22</v>
      </c>
      <c r="F2750" t="s">
        <v>23</v>
      </c>
      <c r="G2750" t="s">
        <v>33</v>
      </c>
      <c r="H2750">
        <v>16</v>
      </c>
      <c r="I2750">
        <v>27</v>
      </c>
      <c r="J2750">
        <v>100</v>
      </c>
      <c r="K2750">
        <v>115</v>
      </c>
      <c r="L2750">
        <v>3544.56</v>
      </c>
      <c r="M2750">
        <v>439.56</v>
      </c>
      <c r="N2750" s="1">
        <v>37945</v>
      </c>
      <c r="O2750" t="s">
        <v>25</v>
      </c>
      <c r="P2750">
        <v>4</v>
      </c>
      <c r="Q2750">
        <v>11</v>
      </c>
      <c r="R2750">
        <v>2003</v>
      </c>
      <c r="S2750" t="s">
        <v>83</v>
      </c>
    </row>
    <row r="2751" spans="1:19" x14ac:dyDescent="0.25">
      <c r="A2751">
        <v>10332</v>
      </c>
      <c r="B2751" t="s">
        <v>231</v>
      </c>
      <c r="C2751" t="s">
        <v>197</v>
      </c>
      <c r="D2751" t="s">
        <v>198</v>
      </c>
      <c r="E2751" t="s">
        <v>77</v>
      </c>
      <c r="F2751" t="s">
        <v>30</v>
      </c>
      <c r="G2751" t="s">
        <v>24</v>
      </c>
      <c r="H2751">
        <v>16</v>
      </c>
      <c r="I2751">
        <v>27</v>
      </c>
      <c r="J2751">
        <v>89.89</v>
      </c>
      <c r="K2751">
        <v>53</v>
      </c>
      <c r="L2751">
        <v>2427.0300000000002</v>
      </c>
      <c r="M2751">
        <v>996.03</v>
      </c>
      <c r="N2751" s="1">
        <v>38308</v>
      </c>
      <c r="O2751" t="s">
        <v>25</v>
      </c>
      <c r="P2751">
        <v>4</v>
      </c>
      <c r="Q2751">
        <v>11</v>
      </c>
      <c r="R2751">
        <v>2004</v>
      </c>
      <c r="S2751" t="s">
        <v>226</v>
      </c>
    </row>
    <row r="2752" spans="1:19" x14ac:dyDescent="0.25">
      <c r="A2752">
        <v>10110</v>
      </c>
      <c r="B2752" t="s">
        <v>232</v>
      </c>
      <c r="C2752" t="s">
        <v>197</v>
      </c>
      <c r="D2752" t="s">
        <v>198</v>
      </c>
      <c r="E2752" t="s">
        <v>77</v>
      </c>
      <c r="F2752" t="s">
        <v>30</v>
      </c>
      <c r="G2752" t="s">
        <v>33</v>
      </c>
      <c r="H2752">
        <v>16</v>
      </c>
      <c r="I2752">
        <v>37</v>
      </c>
      <c r="J2752">
        <v>100</v>
      </c>
      <c r="K2752">
        <v>124</v>
      </c>
      <c r="L2752">
        <v>5433.08</v>
      </c>
      <c r="M2752">
        <v>845.08</v>
      </c>
      <c r="N2752" s="1">
        <v>37698</v>
      </c>
      <c r="O2752" t="s">
        <v>25</v>
      </c>
      <c r="P2752">
        <v>1</v>
      </c>
      <c r="Q2752">
        <v>3</v>
      </c>
      <c r="R2752">
        <v>2003</v>
      </c>
      <c r="S2752" t="s">
        <v>83</v>
      </c>
    </row>
    <row r="2753" spans="1:19" x14ac:dyDescent="0.25">
      <c r="A2753">
        <v>10280</v>
      </c>
      <c r="B2753" t="s">
        <v>240</v>
      </c>
      <c r="C2753" t="s">
        <v>108</v>
      </c>
      <c r="D2753" t="s">
        <v>109</v>
      </c>
      <c r="E2753" t="s">
        <v>110</v>
      </c>
      <c r="F2753" t="s">
        <v>30</v>
      </c>
      <c r="G2753" t="s">
        <v>33</v>
      </c>
      <c r="H2753">
        <v>16</v>
      </c>
      <c r="I2753">
        <v>26</v>
      </c>
      <c r="J2753">
        <v>100</v>
      </c>
      <c r="K2753">
        <v>170</v>
      </c>
      <c r="L2753">
        <v>3668.6</v>
      </c>
      <c r="M2753">
        <v>-751.4</v>
      </c>
      <c r="N2753" s="1">
        <v>38216</v>
      </c>
      <c r="O2753" t="s">
        <v>25</v>
      </c>
      <c r="P2753">
        <v>3</v>
      </c>
      <c r="Q2753">
        <v>8</v>
      </c>
      <c r="R2753">
        <v>2004</v>
      </c>
      <c r="S2753" t="s">
        <v>226</v>
      </c>
    </row>
    <row r="2754" spans="1:19" x14ac:dyDescent="0.25">
      <c r="A2754">
        <v>10204</v>
      </c>
      <c r="B2754" t="s">
        <v>242</v>
      </c>
      <c r="C2754" t="s">
        <v>192</v>
      </c>
      <c r="D2754" t="s">
        <v>21</v>
      </c>
      <c r="E2754" t="s">
        <v>22</v>
      </c>
      <c r="F2754" t="s">
        <v>23</v>
      </c>
      <c r="G2754" t="s">
        <v>33</v>
      </c>
      <c r="H2754">
        <v>16</v>
      </c>
      <c r="I2754">
        <v>38</v>
      </c>
      <c r="J2754">
        <v>100</v>
      </c>
      <c r="K2754">
        <v>142</v>
      </c>
      <c r="L2754">
        <v>6432.64</v>
      </c>
      <c r="M2754">
        <v>1036.6400000000001</v>
      </c>
      <c r="N2754" s="1">
        <v>37957</v>
      </c>
      <c r="O2754" t="s">
        <v>25</v>
      </c>
      <c r="P2754">
        <v>4</v>
      </c>
      <c r="Q2754">
        <v>12</v>
      </c>
      <c r="R2754">
        <v>2003</v>
      </c>
      <c r="S2754" t="s">
        <v>83</v>
      </c>
    </row>
    <row r="2755" spans="1:19" x14ac:dyDescent="0.25">
      <c r="A2755">
        <v>10312</v>
      </c>
      <c r="B2755" t="s">
        <v>244</v>
      </c>
      <c r="C2755" t="s">
        <v>115</v>
      </c>
      <c r="D2755" t="s">
        <v>116</v>
      </c>
      <c r="E2755" t="s">
        <v>22</v>
      </c>
      <c r="F2755" t="s">
        <v>23</v>
      </c>
      <c r="G2755" t="s">
        <v>24</v>
      </c>
      <c r="H2755">
        <v>16</v>
      </c>
      <c r="I2755">
        <v>30</v>
      </c>
      <c r="J2755">
        <v>61.15</v>
      </c>
      <c r="K2755">
        <v>60</v>
      </c>
      <c r="L2755">
        <v>1834.5</v>
      </c>
      <c r="M2755">
        <v>34.5</v>
      </c>
      <c r="N2755" s="1">
        <v>38281</v>
      </c>
      <c r="O2755" t="s">
        <v>25</v>
      </c>
      <c r="P2755">
        <v>4</v>
      </c>
      <c r="Q2755">
        <v>10</v>
      </c>
      <c r="R2755">
        <v>2004</v>
      </c>
      <c r="S2755" t="s">
        <v>226</v>
      </c>
    </row>
    <row r="2756" spans="1:19" x14ac:dyDescent="0.25">
      <c r="A2756">
        <v>10390</v>
      </c>
      <c r="B2756" t="s">
        <v>246</v>
      </c>
      <c r="C2756" t="s">
        <v>115</v>
      </c>
      <c r="D2756" t="s">
        <v>116</v>
      </c>
      <c r="E2756" t="s">
        <v>22</v>
      </c>
      <c r="F2756" t="s">
        <v>23</v>
      </c>
      <c r="G2756" t="s">
        <v>33</v>
      </c>
      <c r="H2756">
        <v>16</v>
      </c>
      <c r="I2756">
        <v>31</v>
      </c>
      <c r="J2756">
        <v>98.99</v>
      </c>
      <c r="K2756">
        <v>127</v>
      </c>
      <c r="L2756">
        <v>3068.69</v>
      </c>
      <c r="M2756">
        <v>-868.31</v>
      </c>
      <c r="N2756" s="1">
        <v>38415</v>
      </c>
      <c r="O2756" t="s">
        <v>25</v>
      </c>
      <c r="P2756">
        <v>1</v>
      </c>
      <c r="Q2756">
        <v>3</v>
      </c>
      <c r="R2756">
        <v>2005</v>
      </c>
      <c r="S2756" t="s">
        <v>226</v>
      </c>
    </row>
    <row r="2757" spans="1:19" x14ac:dyDescent="0.25">
      <c r="A2757">
        <v>10165</v>
      </c>
      <c r="B2757" t="s">
        <v>259</v>
      </c>
      <c r="C2757" t="s">
        <v>88</v>
      </c>
      <c r="D2757" t="s">
        <v>89</v>
      </c>
      <c r="E2757" t="s">
        <v>89</v>
      </c>
      <c r="F2757" t="s">
        <v>50</v>
      </c>
      <c r="G2757" t="s">
        <v>70</v>
      </c>
      <c r="H2757">
        <v>16</v>
      </c>
      <c r="I2757">
        <v>47</v>
      </c>
      <c r="J2757">
        <v>100</v>
      </c>
      <c r="K2757">
        <v>169</v>
      </c>
      <c r="L2757">
        <v>8754.69</v>
      </c>
      <c r="M2757">
        <v>811.69</v>
      </c>
      <c r="N2757" s="1">
        <v>37916</v>
      </c>
      <c r="O2757" t="s">
        <v>25</v>
      </c>
      <c r="P2757">
        <v>4</v>
      </c>
      <c r="Q2757">
        <v>10</v>
      </c>
      <c r="R2757">
        <v>2003</v>
      </c>
      <c r="S2757" t="s">
        <v>83</v>
      </c>
    </row>
    <row r="2758" spans="1:19" x14ac:dyDescent="0.25">
      <c r="A2758">
        <v>10103</v>
      </c>
      <c r="B2758" t="s">
        <v>263</v>
      </c>
      <c r="C2758" t="s">
        <v>63</v>
      </c>
      <c r="D2758" t="s">
        <v>64</v>
      </c>
      <c r="E2758" t="s">
        <v>44</v>
      </c>
      <c r="F2758" t="s">
        <v>30</v>
      </c>
      <c r="G2758" t="s">
        <v>33</v>
      </c>
      <c r="H2758">
        <v>16</v>
      </c>
      <c r="I2758">
        <v>46</v>
      </c>
      <c r="J2758">
        <v>100</v>
      </c>
      <c r="K2758">
        <v>99</v>
      </c>
      <c r="L2758">
        <v>4791.82</v>
      </c>
      <c r="M2758">
        <v>237.82</v>
      </c>
      <c r="N2758" s="1">
        <v>37650</v>
      </c>
      <c r="O2758" t="s">
        <v>25</v>
      </c>
      <c r="P2758">
        <v>1</v>
      </c>
      <c r="Q2758">
        <v>1</v>
      </c>
      <c r="R2758">
        <v>2003</v>
      </c>
      <c r="S2758" t="s">
        <v>226</v>
      </c>
    </row>
    <row r="2759" spans="1:19" x14ac:dyDescent="0.25">
      <c r="A2759">
        <v>10126</v>
      </c>
      <c r="B2759" t="s">
        <v>263</v>
      </c>
      <c r="C2759" t="s">
        <v>87</v>
      </c>
      <c r="D2759" t="s">
        <v>79</v>
      </c>
      <c r="E2759" t="s">
        <v>80</v>
      </c>
      <c r="F2759" t="s">
        <v>30</v>
      </c>
      <c r="G2759" t="s">
        <v>33</v>
      </c>
      <c r="H2759">
        <v>16</v>
      </c>
      <c r="I2759">
        <v>38</v>
      </c>
      <c r="J2759">
        <v>82.34</v>
      </c>
      <c r="K2759">
        <v>99</v>
      </c>
      <c r="L2759">
        <v>3128.92</v>
      </c>
      <c r="M2759">
        <v>-633.08000000000004</v>
      </c>
      <c r="N2759" s="1">
        <v>37769</v>
      </c>
      <c r="O2759" t="s">
        <v>25</v>
      </c>
      <c r="P2759">
        <v>2</v>
      </c>
      <c r="Q2759">
        <v>5</v>
      </c>
      <c r="R2759">
        <v>2003</v>
      </c>
      <c r="S2759" t="s">
        <v>226</v>
      </c>
    </row>
    <row r="2760" spans="1:19" x14ac:dyDescent="0.25">
      <c r="A2760">
        <v>10181</v>
      </c>
      <c r="B2760" t="s">
        <v>264</v>
      </c>
      <c r="C2760" t="s">
        <v>42</v>
      </c>
      <c r="D2760" t="s">
        <v>43</v>
      </c>
      <c r="E2760" t="s">
        <v>44</v>
      </c>
      <c r="F2760" t="s">
        <v>30</v>
      </c>
      <c r="G2760" t="s">
        <v>33</v>
      </c>
      <c r="H2760">
        <v>16</v>
      </c>
      <c r="I2760">
        <v>22</v>
      </c>
      <c r="J2760">
        <v>100</v>
      </c>
      <c r="K2760">
        <v>146</v>
      </c>
      <c r="L2760">
        <v>3395.48</v>
      </c>
      <c r="M2760">
        <v>183.48</v>
      </c>
      <c r="N2760" s="1">
        <v>37937</v>
      </c>
      <c r="O2760" t="s">
        <v>25</v>
      </c>
      <c r="P2760">
        <v>4</v>
      </c>
      <c r="Q2760">
        <v>11</v>
      </c>
      <c r="R2760">
        <v>2003</v>
      </c>
      <c r="S2760" t="s">
        <v>83</v>
      </c>
    </row>
    <row r="2761" spans="1:19" x14ac:dyDescent="0.25">
      <c r="A2761">
        <v>10122</v>
      </c>
      <c r="B2761" t="s">
        <v>266</v>
      </c>
      <c r="C2761" t="s">
        <v>176</v>
      </c>
      <c r="D2761" t="s">
        <v>177</v>
      </c>
      <c r="E2761" t="s">
        <v>29</v>
      </c>
      <c r="F2761" t="s">
        <v>30</v>
      </c>
      <c r="G2761" t="s">
        <v>24</v>
      </c>
      <c r="H2761">
        <v>16</v>
      </c>
      <c r="I2761">
        <v>35</v>
      </c>
      <c r="J2761">
        <v>49.74</v>
      </c>
      <c r="K2761">
        <v>62</v>
      </c>
      <c r="L2761">
        <v>1740.9</v>
      </c>
      <c r="M2761">
        <v>-429.1</v>
      </c>
      <c r="N2761" s="1">
        <v>37749</v>
      </c>
      <c r="O2761" t="s">
        <v>25</v>
      </c>
      <c r="P2761">
        <v>2</v>
      </c>
      <c r="Q2761">
        <v>5</v>
      </c>
      <c r="R2761">
        <v>2003</v>
      </c>
      <c r="S2761" t="s">
        <v>26</v>
      </c>
    </row>
    <row r="2762" spans="1:19" x14ac:dyDescent="0.25">
      <c r="A2762">
        <v>10310</v>
      </c>
      <c r="B2762" t="s">
        <v>266</v>
      </c>
      <c r="C2762" t="s">
        <v>178</v>
      </c>
      <c r="D2762" t="s">
        <v>179</v>
      </c>
      <c r="E2762" t="s">
        <v>180</v>
      </c>
      <c r="F2762" t="s">
        <v>30</v>
      </c>
      <c r="G2762" t="s">
        <v>24</v>
      </c>
      <c r="H2762">
        <v>16</v>
      </c>
      <c r="I2762">
        <v>42</v>
      </c>
      <c r="J2762">
        <v>67.14</v>
      </c>
      <c r="K2762">
        <v>62</v>
      </c>
      <c r="L2762">
        <v>2819.88</v>
      </c>
      <c r="M2762">
        <v>215.88</v>
      </c>
      <c r="N2762" s="1">
        <v>38276</v>
      </c>
      <c r="O2762" t="s">
        <v>25</v>
      </c>
      <c r="P2762">
        <v>4</v>
      </c>
      <c r="Q2762">
        <v>10</v>
      </c>
      <c r="R2762">
        <v>2004</v>
      </c>
      <c r="S2762" t="s">
        <v>26</v>
      </c>
    </row>
    <row r="2763" spans="1:19" x14ac:dyDescent="0.25">
      <c r="A2763">
        <v>10185</v>
      </c>
      <c r="B2763" t="s">
        <v>268</v>
      </c>
      <c r="C2763" t="s">
        <v>140</v>
      </c>
      <c r="D2763" t="s">
        <v>74</v>
      </c>
      <c r="E2763" t="s">
        <v>22</v>
      </c>
      <c r="F2763" t="s">
        <v>23</v>
      </c>
      <c r="G2763" t="s">
        <v>33</v>
      </c>
      <c r="H2763">
        <v>16</v>
      </c>
      <c r="I2763">
        <v>39</v>
      </c>
      <c r="J2763">
        <v>100</v>
      </c>
      <c r="K2763">
        <v>143</v>
      </c>
      <c r="L2763">
        <v>5096.91</v>
      </c>
      <c r="M2763">
        <v>-480.09</v>
      </c>
      <c r="N2763" s="1">
        <v>37939</v>
      </c>
      <c r="O2763" t="s">
        <v>25</v>
      </c>
      <c r="P2763">
        <v>4</v>
      </c>
      <c r="Q2763">
        <v>11</v>
      </c>
      <c r="R2763">
        <v>2003</v>
      </c>
      <c r="S2763" t="s">
        <v>83</v>
      </c>
    </row>
    <row r="2764" spans="1:19" x14ac:dyDescent="0.25">
      <c r="A2764">
        <v>10306</v>
      </c>
      <c r="B2764" t="s">
        <v>268</v>
      </c>
      <c r="C2764" t="s">
        <v>197</v>
      </c>
      <c r="D2764" t="s">
        <v>198</v>
      </c>
      <c r="E2764" t="s">
        <v>77</v>
      </c>
      <c r="F2764" t="s">
        <v>30</v>
      </c>
      <c r="G2764" t="s">
        <v>33</v>
      </c>
      <c r="H2764">
        <v>16</v>
      </c>
      <c r="I2764">
        <v>23</v>
      </c>
      <c r="J2764">
        <v>100</v>
      </c>
      <c r="K2764">
        <v>143</v>
      </c>
      <c r="L2764">
        <v>3600.65</v>
      </c>
      <c r="M2764">
        <v>311.64999999999998</v>
      </c>
      <c r="N2764" s="1">
        <v>38274</v>
      </c>
      <c r="O2764" t="s">
        <v>25</v>
      </c>
      <c r="P2764">
        <v>4</v>
      </c>
      <c r="Q2764">
        <v>10</v>
      </c>
      <c r="R2764">
        <v>2004</v>
      </c>
      <c r="S2764" t="s">
        <v>83</v>
      </c>
    </row>
    <row r="2765" spans="1:19" x14ac:dyDescent="0.25">
      <c r="A2765">
        <v>10207</v>
      </c>
      <c r="B2765" t="s">
        <v>271</v>
      </c>
      <c r="C2765" t="s">
        <v>170</v>
      </c>
      <c r="D2765" t="s">
        <v>157</v>
      </c>
      <c r="E2765" t="s">
        <v>22</v>
      </c>
      <c r="F2765" t="s">
        <v>23</v>
      </c>
      <c r="G2765" t="s">
        <v>33</v>
      </c>
      <c r="H2765">
        <v>16</v>
      </c>
      <c r="I2765">
        <v>47</v>
      </c>
      <c r="J2765">
        <v>100</v>
      </c>
      <c r="K2765">
        <v>121</v>
      </c>
      <c r="L2765">
        <v>6658.02</v>
      </c>
      <c r="M2765">
        <v>971.02</v>
      </c>
      <c r="N2765" s="1">
        <v>37964</v>
      </c>
      <c r="O2765" t="s">
        <v>25</v>
      </c>
      <c r="P2765">
        <v>4</v>
      </c>
      <c r="Q2765">
        <v>12</v>
      </c>
      <c r="R2765">
        <v>2003</v>
      </c>
      <c r="S2765" t="s">
        <v>202</v>
      </c>
    </row>
    <row r="2766" spans="1:19" x14ac:dyDescent="0.25">
      <c r="A2766">
        <v>10193</v>
      </c>
      <c r="B2766" t="s">
        <v>274</v>
      </c>
      <c r="C2766" t="s">
        <v>229</v>
      </c>
      <c r="D2766" t="s">
        <v>230</v>
      </c>
      <c r="E2766" t="s">
        <v>49</v>
      </c>
      <c r="F2766" t="s">
        <v>50</v>
      </c>
      <c r="G2766" t="s">
        <v>24</v>
      </c>
      <c r="H2766">
        <v>16</v>
      </c>
      <c r="I2766">
        <v>25</v>
      </c>
      <c r="J2766">
        <v>76.260000000000005</v>
      </c>
      <c r="K2766">
        <v>71</v>
      </c>
      <c r="L2766">
        <v>1906.5</v>
      </c>
      <c r="M2766">
        <v>131.5</v>
      </c>
      <c r="N2766" s="1">
        <v>37946</v>
      </c>
      <c r="O2766" t="s">
        <v>25</v>
      </c>
      <c r="P2766">
        <v>4</v>
      </c>
      <c r="Q2766">
        <v>11</v>
      </c>
      <c r="R2766">
        <v>2003</v>
      </c>
      <c r="S2766" t="s">
        <v>83</v>
      </c>
    </row>
    <row r="2767" spans="1:19" x14ac:dyDescent="0.25">
      <c r="A2767">
        <v>10182</v>
      </c>
      <c r="B2767" t="s">
        <v>275</v>
      </c>
      <c r="C2767" t="s">
        <v>115</v>
      </c>
      <c r="D2767" t="s">
        <v>116</v>
      </c>
      <c r="E2767" t="s">
        <v>22</v>
      </c>
      <c r="F2767" t="s">
        <v>23</v>
      </c>
      <c r="G2767" t="s">
        <v>33</v>
      </c>
      <c r="H2767">
        <v>16</v>
      </c>
      <c r="I2767">
        <v>47</v>
      </c>
      <c r="J2767">
        <v>74.22</v>
      </c>
      <c r="K2767">
        <v>73</v>
      </c>
      <c r="L2767">
        <v>3488.34</v>
      </c>
      <c r="M2767">
        <v>57.34</v>
      </c>
      <c r="N2767" s="1">
        <v>37937</v>
      </c>
      <c r="O2767" t="s">
        <v>25</v>
      </c>
      <c r="P2767">
        <v>4</v>
      </c>
      <c r="Q2767">
        <v>11</v>
      </c>
      <c r="R2767">
        <v>2003</v>
      </c>
      <c r="S2767" t="s">
        <v>83</v>
      </c>
    </row>
    <row r="2768" spans="1:19" x14ac:dyDescent="0.25">
      <c r="A2768">
        <v>10145</v>
      </c>
      <c r="B2768" t="s">
        <v>279</v>
      </c>
      <c r="C2768" t="s">
        <v>34</v>
      </c>
      <c r="D2768" t="s">
        <v>35</v>
      </c>
      <c r="E2768" t="s">
        <v>22</v>
      </c>
      <c r="F2768" t="s">
        <v>23</v>
      </c>
      <c r="G2768" t="s">
        <v>33</v>
      </c>
      <c r="H2768">
        <v>16</v>
      </c>
      <c r="I2768">
        <v>40</v>
      </c>
      <c r="J2768">
        <v>87.54</v>
      </c>
      <c r="K2768">
        <v>109</v>
      </c>
      <c r="L2768">
        <v>3501.6</v>
      </c>
      <c r="M2768">
        <v>-858.4</v>
      </c>
      <c r="N2768" s="1">
        <v>37858</v>
      </c>
      <c r="O2768" t="s">
        <v>25</v>
      </c>
      <c r="P2768">
        <v>3</v>
      </c>
      <c r="Q2768">
        <v>8</v>
      </c>
      <c r="R2768">
        <v>2003</v>
      </c>
      <c r="S2768" t="s">
        <v>234</v>
      </c>
    </row>
    <row r="2769" spans="1:19" x14ac:dyDescent="0.25">
      <c r="A2769">
        <v>10398</v>
      </c>
      <c r="B2769" t="s">
        <v>279</v>
      </c>
      <c r="C2769" t="s">
        <v>27</v>
      </c>
      <c r="D2769" t="s">
        <v>28</v>
      </c>
      <c r="E2769" t="s">
        <v>29</v>
      </c>
      <c r="F2769" t="s">
        <v>30</v>
      </c>
      <c r="G2769" t="s">
        <v>33</v>
      </c>
      <c r="H2769">
        <v>16</v>
      </c>
      <c r="I2769">
        <v>43</v>
      </c>
      <c r="J2769">
        <v>100</v>
      </c>
      <c r="K2769">
        <v>109</v>
      </c>
      <c r="L2769">
        <v>5552.16</v>
      </c>
      <c r="M2769">
        <v>865.16</v>
      </c>
      <c r="N2769" s="1">
        <v>38441</v>
      </c>
      <c r="O2769" t="s">
        <v>25</v>
      </c>
      <c r="P2769">
        <v>1</v>
      </c>
      <c r="Q2769">
        <v>3</v>
      </c>
      <c r="R2769">
        <v>2005</v>
      </c>
      <c r="S2769" t="s">
        <v>234</v>
      </c>
    </row>
    <row r="2770" spans="1:19" x14ac:dyDescent="0.25">
      <c r="A2770">
        <v>10304</v>
      </c>
      <c r="B2770" t="s">
        <v>280</v>
      </c>
      <c r="C2770" t="s">
        <v>113</v>
      </c>
      <c r="D2770" t="s">
        <v>114</v>
      </c>
      <c r="E2770" t="s">
        <v>29</v>
      </c>
      <c r="F2770" t="s">
        <v>30</v>
      </c>
      <c r="G2770" t="s">
        <v>24</v>
      </c>
      <c r="H2770">
        <v>16</v>
      </c>
      <c r="I2770">
        <v>23</v>
      </c>
      <c r="J2770">
        <v>30.2</v>
      </c>
      <c r="K2770">
        <v>33</v>
      </c>
      <c r="L2770">
        <v>694.6</v>
      </c>
      <c r="M2770">
        <v>-64.400000000000006</v>
      </c>
      <c r="N2770" s="1">
        <v>38271</v>
      </c>
      <c r="O2770" t="s">
        <v>25</v>
      </c>
      <c r="P2770">
        <v>4</v>
      </c>
      <c r="Q2770">
        <v>10</v>
      </c>
      <c r="R2770">
        <v>2004</v>
      </c>
      <c r="S2770" t="s">
        <v>226</v>
      </c>
    </row>
    <row r="2771" spans="1:19" x14ac:dyDescent="0.25">
      <c r="A2771">
        <v>10167</v>
      </c>
      <c r="B2771" t="s">
        <v>282</v>
      </c>
      <c r="C2771" t="s">
        <v>111</v>
      </c>
      <c r="D2771" t="s">
        <v>112</v>
      </c>
      <c r="E2771" t="s">
        <v>86</v>
      </c>
      <c r="F2771" t="s">
        <v>30</v>
      </c>
      <c r="G2771" t="s">
        <v>33</v>
      </c>
      <c r="H2771">
        <v>16</v>
      </c>
      <c r="I2771">
        <v>33</v>
      </c>
      <c r="J2771">
        <v>100</v>
      </c>
      <c r="K2771">
        <v>122</v>
      </c>
      <c r="L2771">
        <v>3812.16</v>
      </c>
      <c r="M2771">
        <v>-213.84</v>
      </c>
      <c r="N2771" s="1">
        <v>37917</v>
      </c>
      <c r="O2771" t="s">
        <v>141</v>
      </c>
      <c r="P2771">
        <v>4</v>
      </c>
      <c r="Q2771">
        <v>10</v>
      </c>
      <c r="R2771">
        <v>2003</v>
      </c>
      <c r="S2771" t="s">
        <v>255</v>
      </c>
    </row>
    <row r="2772" spans="1:19" x14ac:dyDescent="0.25">
      <c r="A2772">
        <v>10135</v>
      </c>
      <c r="B2772" t="s">
        <v>285</v>
      </c>
      <c r="C2772" t="s">
        <v>115</v>
      </c>
      <c r="D2772" t="s">
        <v>116</v>
      </c>
      <c r="E2772" t="s">
        <v>22</v>
      </c>
      <c r="F2772" t="s">
        <v>23</v>
      </c>
      <c r="G2772" t="s">
        <v>24</v>
      </c>
      <c r="H2772">
        <v>16</v>
      </c>
      <c r="I2772">
        <v>29</v>
      </c>
      <c r="J2772">
        <v>61.64</v>
      </c>
      <c r="K2772">
        <v>69</v>
      </c>
      <c r="L2772">
        <v>1787.56</v>
      </c>
      <c r="M2772">
        <v>-213.44</v>
      </c>
      <c r="N2772" s="1">
        <v>37804</v>
      </c>
      <c r="O2772" t="s">
        <v>25</v>
      </c>
      <c r="P2772">
        <v>3</v>
      </c>
      <c r="Q2772">
        <v>7</v>
      </c>
      <c r="R2772">
        <v>2003</v>
      </c>
      <c r="S2772" t="s">
        <v>26</v>
      </c>
    </row>
    <row r="2773" spans="1:19" x14ac:dyDescent="0.25">
      <c r="A2773">
        <v>10173</v>
      </c>
      <c r="B2773" t="s">
        <v>289</v>
      </c>
      <c r="C2773" t="s">
        <v>227</v>
      </c>
      <c r="D2773" t="s">
        <v>228</v>
      </c>
      <c r="E2773" t="s">
        <v>110</v>
      </c>
      <c r="F2773" t="s">
        <v>30</v>
      </c>
      <c r="G2773" t="s">
        <v>24</v>
      </c>
      <c r="H2773">
        <v>16</v>
      </c>
      <c r="I2773">
        <v>23</v>
      </c>
      <c r="J2773">
        <v>100</v>
      </c>
      <c r="K2773">
        <v>117</v>
      </c>
      <c r="L2773">
        <v>2728.03</v>
      </c>
      <c r="M2773">
        <v>37.03</v>
      </c>
      <c r="N2773" s="1">
        <v>37930</v>
      </c>
      <c r="O2773" t="s">
        <v>25</v>
      </c>
      <c r="P2773">
        <v>4</v>
      </c>
      <c r="Q2773">
        <v>11</v>
      </c>
      <c r="R2773">
        <v>2003</v>
      </c>
      <c r="S2773" t="s">
        <v>83</v>
      </c>
    </row>
    <row r="2774" spans="1:19" x14ac:dyDescent="0.25">
      <c r="A2774">
        <v>10262</v>
      </c>
      <c r="B2774" t="s">
        <v>296</v>
      </c>
      <c r="C2774" t="s">
        <v>78</v>
      </c>
      <c r="D2774" t="s">
        <v>79</v>
      </c>
      <c r="E2774" t="s">
        <v>80</v>
      </c>
      <c r="F2774" t="s">
        <v>30</v>
      </c>
      <c r="G2774" t="s">
        <v>33</v>
      </c>
      <c r="H2774">
        <v>16</v>
      </c>
      <c r="I2774">
        <v>49</v>
      </c>
      <c r="J2774">
        <v>87.21</v>
      </c>
      <c r="K2774">
        <v>83</v>
      </c>
      <c r="L2774">
        <v>4273.29</v>
      </c>
      <c r="M2774">
        <v>206.29</v>
      </c>
      <c r="N2774" s="1">
        <v>38162</v>
      </c>
      <c r="O2774" t="s">
        <v>141</v>
      </c>
      <c r="P2774">
        <v>2</v>
      </c>
      <c r="Q2774">
        <v>6</v>
      </c>
      <c r="R2774">
        <v>2004</v>
      </c>
      <c r="S2774" t="s">
        <v>226</v>
      </c>
    </row>
    <row r="2775" spans="1:19" x14ac:dyDescent="0.25">
      <c r="A2775">
        <v>10316</v>
      </c>
      <c r="B2775" t="s">
        <v>296</v>
      </c>
      <c r="C2775" t="s">
        <v>158</v>
      </c>
      <c r="D2775" t="s">
        <v>159</v>
      </c>
      <c r="E2775" t="s">
        <v>77</v>
      </c>
      <c r="F2775" t="s">
        <v>30</v>
      </c>
      <c r="G2775" t="s">
        <v>24</v>
      </c>
      <c r="H2775">
        <v>16</v>
      </c>
      <c r="I2775">
        <v>25</v>
      </c>
      <c r="J2775">
        <v>92.25</v>
      </c>
      <c r="K2775">
        <v>83</v>
      </c>
      <c r="L2775">
        <v>2306.25</v>
      </c>
      <c r="M2775">
        <v>231.25</v>
      </c>
      <c r="N2775" s="1">
        <v>38292</v>
      </c>
      <c r="O2775" t="s">
        <v>25</v>
      </c>
      <c r="P2775">
        <v>4</v>
      </c>
      <c r="Q2775">
        <v>11</v>
      </c>
      <c r="R2775">
        <v>2004</v>
      </c>
      <c r="S2775" t="s">
        <v>226</v>
      </c>
    </row>
    <row r="2776" spans="1:19" x14ac:dyDescent="0.25">
      <c r="A2776">
        <v>10339</v>
      </c>
      <c r="B2776" t="s">
        <v>296</v>
      </c>
      <c r="C2776" t="s">
        <v>105</v>
      </c>
      <c r="D2776" t="s">
        <v>106</v>
      </c>
      <c r="E2776" t="s">
        <v>107</v>
      </c>
      <c r="F2776" t="s">
        <v>50</v>
      </c>
      <c r="G2776" t="s">
        <v>24</v>
      </c>
      <c r="H2776">
        <v>16</v>
      </c>
      <c r="I2776">
        <v>42</v>
      </c>
      <c r="J2776">
        <v>59.36</v>
      </c>
      <c r="K2776">
        <v>83</v>
      </c>
      <c r="L2776">
        <v>2493.12</v>
      </c>
      <c r="M2776">
        <v>-992.88</v>
      </c>
      <c r="N2776" s="1">
        <v>38314</v>
      </c>
      <c r="O2776" t="s">
        <v>25</v>
      </c>
      <c r="P2776">
        <v>4</v>
      </c>
      <c r="Q2776">
        <v>11</v>
      </c>
      <c r="R2776">
        <v>2004</v>
      </c>
      <c r="S2776" t="s">
        <v>226</v>
      </c>
    </row>
    <row r="2777" spans="1:19" x14ac:dyDescent="0.25">
      <c r="A2777">
        <v>10210</v>
      </c>
      <c r="B2777" t="s">
        <v>298</v>
      </c>
      <c r="C2777" t="s">
        <v>127</v>
      </c>
      <c r="D2777" t="s">
        <v>128</v>
      </c>
      <c r="E2777" t="s">
        <v>107</v>
      </c>
      <c r="F2777" t="s">
        <v>50</v>
      </c>
      <c r="G2777" t="s">
        <v>24</v>
      </c>
      <c r="H2777">
        <v>16</v>
      </c>
      <c r="I2777">
        <v>29</v>
      </c>
      <c r="J2777">
        <v>69.599999999999994</v>
      </c>
      <c r="K2777">
        <v>68</v>
      </c>
      <c r="L2777">
        <v>2018.4</v>
      </c>
      <c r="M2777">
        <v>46.4</v>
      </c>
      <c r="N2777" s="1">
        <v>37998</v>
      </c>
      <c r="O2777" t="s">
        <v>25</v>
      </c>
      <c r="P2777">
        <v>1</v>
      </c>
      <c r="Q2777">
        <v>1</v>
      </c>
      <c r="R2777">
        <v>2004</v>
      </c>
      <c r="S2777" t="s">
        <v>234</v>
      </c>
    </row>
    <row r="2778" spans="1:19" x14ac:dyDescent="0.25">
      <c r="A2778">
        <v>10308</v>
      </c>
      <c r="B2778" t="s">
        <v>298</v>
      </c>
      <c r="C2778" t="s">
        <v>131</v>
      </c>
      <c r="D2778" t="s">
        <v>132</v>
      </c>
      <c r="E2778" t="s">
        <v>22</v>
      </c>
      <c r="F2778" t="s">
        <v>23</v>
      </c>
      <c r="G2778" t="s">
        <v>33</v>
      </c>
      <c r="H2778">
        <v>16</v>
      </c>
      <c r="I2778">
        <v>43</v>
      </c>
      <c r="J2778">
        <v>76.430000000000007</v>
      </c>
      <c r="K2778">
        <v>68</v>
      </c>
      <c r="L2778">
        <v>3286.49</v>
      </c>
      <c r="M2778">
        <v>362.49</v>
      </c>
      <c r="N2778" s="1">
        <v>38275</v>
      </c>
      <c r="O2778" t="s">
        <v>25</v>
      </c>
      <c r="P2778">
        <v>4</v>
      </c>
      <c r="Q2778">
        <v>10</v>
      </c>
      <c r="R2778">
        <v>2004</v>
      </c>
      <c r="S2778" t="s">
        <v>234</v>
      </c>
    </row>
    <row r="2779" spans="1:19" x14ac:dyDescent="0.25">
      <c r="A2779">
        <v>10287</v>
      </c>
      <c r="B2779" t="s">
        <v>303</v>
      </c>
      <c r="C2779" t="s">
        <v>181</v>
      </c>
      <c r="D2779" t="s">
        <v>182</v>
      </c>
      <c r="E2779" t="s">
        <v>183</v>
      </c>
      <c r="F2779" t="s">
        <v>30</v>
      </c>
      <c r="G2779" t="s">
        <v>33</v>
      </c>
      <c r="H2779">
        <v>16</v>
      </c>
      <c r="I2779">
        <v>40</v>
      </c>
      <c r="J2779">
        <v>88.12</v>
      </c>
      <c r="K2779">
        <v>80</v>
      </c>
      <c r="L2779">
        <v>3524.8</v>
      </c>
      <c r="M2779">
        <v>324.8</v>
      </c>
      <c r="N2779" s="1">
        <v>38229</v>
      </c>
      <c r="O2779" t="s">
        <v>25</v>
      </c>
      <c r="P2779">
        <v>3</v>
      </c>
      <c r="Q2779">
        <v>8</v>
      </c>
      <c r="R2779">
        <v>2004</v>
      </c>
      <c r="S2779" t="s">
        <v>83</v>
      </c>
    </row>
    <row r="2780" spans="1:19" x14ac:dyDescent="0.25">
      <c r="A2780">
        <v>10142</v>
      </c>
      <c r="B2780" t="s">
        <v>308</v>
      </c>
      <c r="C2780" t="s">
        <v>115</v>
      </c>
      <c r="D2780" t="s">
        <v>116</v>
      </c>
      <c r="E2780" t="s">
        <v>22</v>
      </c>
      <c r="F2780" t="s">
        <v>23</v>
      </c>
      <c r="G2780" t="s">
        <v>33</v>
      </c>
      <c r="H2780">
        <v>16</v>
      </c>
      <c r="I2780">
        <v>42</v>
      </c>
      <c r="J2780">
        <v>74.569999999999993</v>
      </c>
      <c r="K2780">
        <v>62</v>
      </c>
      <c r="L2780">
        <v>3131.94</v>
      </c>
      <c r="M2780">
        <v>527.94000000000005</v>
      </c>
      <c r="N2780" s="1">
        <v>37841</v>
      </c>
      <c r="O2780" t="s">
        <v>25</v>
      </c>
      <c r="P2780">
        <v>3</v>
      </c>
      <c r="Q2780">
        <v>8</v>
      </c>
      <c r="R2780">
        <v>2003</v>
      </c>
      <c r="S2780" t="s">
        <v>261</v>
      </c>
    </row>
    <row r="2781" spans="1:19" x14ac:dyDescent="0.25">
      <c r="A2781">
        <v>10108</v>
      </c>
      <c r="B2781" t="s">
        <v>311</v>
      </c>
      <c r="C2781" t="s">
        <v>173</v>
      </c>
      <c r="D2781" t="s">
        <v>174</v>
      </c>
      <c r="E2781" t="s">
        <v>175</v>
      </c>
      <c r="F2781" t="s">
        <v>50</v>
      </c>
      <c r="G2781" t="s">
        <v>33</v>
      </c>
      <c r="H2781">
        <v>16</v>
      </c>
      <c r="I2781">
        <v>31</v>
      </c>
      <c r="J2781">
        <v>100</v>
      </c>
      <c r="K2781">
        <v>102</v>
      </c>
      <c r="L2781">
        <v>3669.78</v>
      </c>
      <c r="M2781">
        <v>507.78</v>
      </c>
      <c r="N2781" s="1">
        <v>37683</v>
      </c>
      <c r="O2781" t="s">
        <v>25</v>
      </c>
      <c r="P2781">
        <v>1</v>
      </c>
      <c r="Q2781">
        <v>3</v>
      </c>
      <c r="R2781">
        <v>2003</v>
      </c>
      <c r="S2781" t="s">
        <v>26</v>
      </c>
    </row>
    <row r="2782" spans="1:19" x14ac:dyDescent="0.25">
      <c r="A2782">
        <v>10106</v>
      </c>
      <c r="B2782" t="s">
        <v>319</v>
      </c>
      <c r="C2782" t="s">
        <v>227</v>
      </c>
      <c r="D2782" t="s">
        <v>228</v>
      </c>
      <c r="E2782" t="s">
        <v>110</v>
      </c>
      <c r="F2782" t="s">
        <v>30</v>
      </c>
      <c r="G2782" t="s">
        <v>33</v>
      </c>
      <c r="H2782">
        <v>16</v>
      </c>
      <c r="I2782">
        <v>30</v>
      </c>
      <c r="J2782">
        <v>100</v>
      </c>
      <c r="K2782">
        <v>90</v>
      </c>
      <c r="L2782">
        <v>3177.3</v>
      </c>
      <c r="M2782">
        <v>477.3</v>
      </c>
      <c r="N2782" s="1">
        <v>37669</v>
      </c>
      <c r="O2782" t="s">
        <v>25</v>
      </c>
      <c r="P2782">
        <v>1</v>
      </c>
      <c r="Q2782">
        <v>2</v>
      </c>
      <c r="R2782">
        <v>2003</v>
      </c>
      <c r="S2782" t="s">
        <v>255</v>
      </c>
    </row>
    <row r="2783" spans="1:19" x14ac:dyDescent="0.25">
      <c r="A2783">
        <v>10168</v>
      </c>
      <c r="B2783" t="s">
        <v>320</v>
      </c>
      <c r="C2783" t="s">
        <v>38</v>
      </c>
      <c r="D2783" t="s">
        <v>39</v>
      </c>
      <c r="E2783" t="s">
        <v>22</v>
      </c>
      <c r="F2783" t="s">
        <v>23</v>
      </c>
      <c r="G2783" t="s">
        <v>33</v>
      </c>
      <c r="H2783">
        <v>16</v>
      </c>
      <c r="I2783">
        <v>31</v>
      </c>
      <c r="J2783">
        <v>100</v>
      </c>
      <c r="K2783">
        <v>99</v>
      </c>
      <c r="L2783">
        <v>3431.39</v>
      </c>
      <c r="M2783">
        <v>362.39</v>
      </c>
      <c r="N2783" s="1">
        <v>37922</v>
      </c>
      <c r="O2783" t="s">
        <v>25</v>
      </c>
      <c r="P2783">
        <v>4</v>
      </c>
      <c r="Q2783">
        <v>10</v>
      </c>
      <c r="R2783">
        <v>2003</v>
      </c>
      <c r="S2783" t="s">
        <v>234</v>
      </c>
    </row>
    <row r="2784" spans="1:19" x14ac:dyDescent="0.25">
      <c r="A2784">
        <v>10275</v>
      </c>
      <c r="B2784" t="s">
        <v>320</v>
      </c>
      <c r="C2784" t="s">
        <v>56</v>
      </c>
      <c r="D2784" t="s">
        <v>57</v>
      </c>
      <c r="E2784" t="s">
        <v>29</v>
      </c>
      <c r="F2784" t="s">
        <v>30</v>
      </c>
      <c r="G2784" t="s">
        <v>33</v>
      </c>
      <c r="H2784">
        <v>16</v>
      </c>
      <c r="I2784">
        <v>39</v>
      </c>
      <c r="J2784">
        <v>100</v>
      </c>
      <c r="K2784">
        <v>99</v>
      </c>
      <c r="L2784">
        <v>4472.5200000000004</v>
      </c>
      <c r="M2784">
        <v>611.52</v>
      </c>
      <c r="N2784" s="1">
        <v>38191</v>
      </c>
      <c r="O2784" t="s">
        <v>25</v>
      </c>
      <c r="P2784">
        <v>3</v>
      </c>
      <c r="Q2784">
        <v>7</v>
      </c>
      <c r="R2784">
        <v>2004</v>
      </c>
      <c r="S2784" t="s">
        <v>234</v>
      </c>
    </row>
    <row r="2785" spans="1:19" x14ac:dyDescent="0.25">
      <c r="A2785">
        <v>10143</v>
      </c>
      <c r="B2785" t="s">
        <v>321</v>
      </c>
      <c r="C2785" t="s">
        <v>140</v>
      </c>
      <c r="D2785" t="s">
        <v>74</v>
      </c>
      <c r="E2785" t="s">
        <v>22</v>
      </c>
      <c r="F2785" t="s">
        <v>23</v>
      </c>
      <c r="G2785" t="s">
        <v>24</v>
      </c>
      <c r="H2785">
        <v>16</v>
      </c>
      <c r="I2785">
        <v>31</v>
      </c>
      <c r="J2785">
        <v>85.29</v>
      </c>
      <c r="K2785">
        <v>72</v>
      </c>
      <c r="L2785">
        <v>2643.99</v>
      </c>
      <c r="M2785">
        <v>411.99</v>
      </c>
      <c r="N2785" s="1">
        <v>37843</v>
      </c>
      <c r="O2785" t="s">
        <v>25</v>
      </c>
      <c r="P2785">
        <v>3</v>
      </c>
      <c r="Q2785">
        <v>8</v>
      </c>
      <c r="R2785">
        <v>2003</v>
      </c>
      <c r="S2785" t="s">
        <v>255</v>
      </c>
    </row>
    <row r="2786" spans="1:19" x14ac:dyDescent="0.25">
      <c r="A2786">
        <v>10373</v>
      </c>
      <c r="B2786" t="s">
        <v>321</v>
      </c>
      <c r="C2786" t="s">
        <v>160</v>
      </c>
      <c r="D2786" t="s">
        <v>161</v>
      </c>
      <c r="E2786" t="s">
        <v>62</v>
      </c>
      <c r="F2786" t="s">
        <v>30</v>
      </c>
      <c r="G2786" t="s">
        <v>24</v>
      </c>
      <c r="H2786">
        <v>16</v>
      </c>
      <c r="I2786">
        <v>41</v>
      </c>
      <c r="J2786">
        <v>70.33</v>
      </c>
      <c r="K2786">
        <v>72</v>
      </c>
      <c r="L2786">
        <v>2883.53</v>
      </c>
      <c r="M2786">
        <v>-68.47</v>
      </c>
      <c r="N2786" s="1">
        <v>38383</v>
      </c>
      <c r="O2786" t="s">
        <v>25</v>
      </c>
      <c r="P2786">
        <v>1</v>
      </c>
      <c r="Q2786">
        <v>1</v>
      </c>
      <c r="R2786">
        <v>2005</v>
      </c>
      <c r="S2786" t="s">
        <v>255</v>
      </c>
    </row>
    <row r="2787" spans="1:19" x14ac:dyDescent="0.25">
      <c r="A2787">
        <v>10222</v>
      </c>
      <c r="B2787" t="s">
        <v>325</v>
      </c>
      <c r="C2787" t="s">
        <v>149</v>
      </c>
      <c r="D2787" t="s">
        <v>150</v>
      </c>
      <c r="E2787" t="s">
        <v>22</v>
      </c>
      <c r="F2787" t="s">
        <v>23</v>
      </c>
      <c r="G2787" t="s">
        <v>33</v>
      </c>
      <c r="H2787">
        <v>16</v>
      </c>
      <c r="I2787">
        <v>38</v>
      </c>
      <c r="J2787">
        <v>100</v>
      </c>
      <c r="K2787">
        <v>100</v>
      </c>
      <c r="L2787">
        <v>4187.22</v>
      </c>
      <c r="M2787">
        <v>387.22</v>
      </c>
      <c r="N2787" s="1">
        <v>38036</v>
      </c>
      <c r="O2787" t="s">
        <v>25</v>
      </c>
      <c r="P2787">
        <v>1</v>
      </c>
      <c r="Q2787">
        <v>2</v>
      </c>
      <c r="R2787">
        <v>2004</v>
      </c>
      <c r="S2787" t="s">
        <v>255</v>
      </c>
    </row>
    <row r="2788" spans="1:19" x14ac:dyDescent="0.25">
      <c r="A2788">
        <v>10350</v>
      </c>
      <c r="B2788" t="s">
        <v>326</v>
      </c>
      <c r="C2788" t="s">
        <v>78</v>
      </c>
      <c r="D2788" t="s">
        <v>79</v>
      </c>
      <c r="E2788" t="s">
        <v>80</v>
      </c>
      <c r="F2788" t="s">
        <v>30</v>
      </c>
      <c r="G2788" t="s">
        <v>24</v>
      </c>
      <c r="H2788">
        <v>16</v>
      </c>
      <c r="I2788">
        <v>25</v>
      </c>
      <c r="J2788">
        <v>100</v>
      </c>
      <c r="K2788">
        <v>99</v>
      </c>
      <c r="L2788">
        <v>2854.75</v>
      </c>
      <c r="M2788">
        <v>379.75</v>
      </c>
      <c r="N2788" s="1">
        <v>38323</v>
      </c>
      <c r="O2788" t="s">
        <v>25</v>
      </c>
      <c r="P2788">
        <v>4</v>
      </c>
      <c r="Q2788">
        <v>12</v>
      </c>
      <c r="R2788">
        <v>2004</v>
      </c>
      <c r="S2788" t="s">
        <v>255</v>
      </c>
    </row>
    <row r="2789" spans="1:19" x14ac:dyDescent="0.25">
      <c r="A2789">
        <v>10386</v>
      </c>
      <c r="B2789" t="s">
        <v>328</v>
      </c>
      <c r="C2789" t="s">
        <v>78</v>
      </c>
      <c r="D2789" t="s">
        <v>79</v>
      </c>
      <c r="E2789" t="s">
        <v>80</v>
      </c>
      <c r="F2789" t="s">
        <v>30</v>
      </c>
      <c r="G2789" t="s">
        <v>33</v>
      </c>
      <c r="H2789">
        <v>16</v>
      </c>
      <c r="I2789">
        <v>50</v>
      </c>
      <c r="J2789">
        <v>87.15</v>
      </c>
      <c r="K2789">
        <v>49</v>
      </c>
      <c r="L2789">
        <v>4357.5</v>
      </c>
      <c r="M2789">
        <v>1907.5</v>
      </c>
      <c r="N2789" s="1">
        <v>38412</v>
      </c>
      <c r="O2789" t="s">
        <v>169</v>
      </c>
      <c r="P2789">
        <v>1</v>
      </c>
      <c r="Q2789">
        <v>3</v>
      </c>
      <c r="R2789">
        <v>2005</v>
      </c>
      <c r="S2789" t="s">
        <v>234</v>
      </c>
    </row>
    <row r="2790" spans="1:19" x14ac:dyDescent="0.25">
      <c r="A2790">
        <v>10159</v>
      </c>
      <c r="B2790" t="s">
        <v>126</v>
      </c>
      <c r="C2790" t="s">
        <v>36</v>
      </c>
      <c r="D2790" t="s">
        <v>37</v>
      </c>
      <c r="E2790" t="s">
        <v>22</v>
      </c>
      <c r="F2790" t="s">
        <v>23</v>
      </c>
      <c r="G2790" t="s">
        <v>33</v>
      </c>
      <c r="H2790">
        <v>17</v>
      </c>
      <c r="I2790">
        <v>37</v>
      </c>
      <c r="J2790">
        <v>100</v>
      </c>
      <c r="K2790">
        <v>118</v>
      </c>
      <c r="L2790">
        <v>5016.83</v>
      </c>
      <c r="M2790">
        <v>650.83000000000004</v>
      </c>
      <c r="N2790" s="1">
        <v>37904</v>
      </c>
      <c r="O2790" t="s">
        <v>25</v>
      </c>
      <c r="P2790">
        <v>4</v>
      </c>
      <c r="Q2790">
        <v>10</v>
      </c>
      <c r="R2790">
        <v>2003</v>
      </c>
      <c r="S2790" t="s">
        <v>26</v>
      </c>
    </row>
    <row r="2791" spans="1:19" x14ac:dyDescent="0.25">
      <c r="A2791">
        <v>10316</v>
      </c>
      <c r="B2791" t="s">
        <v>134</v>
      </c>
      <c r="C2791" t="s">
        <v>158</v>
      </c>
      <c r="D2791" t="s">
        <v>159</v>
      </c>
      <c r="E2791" t="s">
        <v>77</v>
      </c>
      <c r="F2791" t="s">
        <v>30</v>
      </c>
      <c r="G2791" t="s">
        <v>33</v>
      </c>
      <c r="H2791">
        <v>17</v>
      </c>
      <c r="I2791">
        <v>33</v>
      </c>
      <c r="J2791">
        <v>100</v>
      </c>
      <c r="K2791">
        <v>136</v>
      </c>
      <c r="L2791">
        <v>4128.96</v>
      </c>
      <c r="M2791">
        <v>-359.04</v>
      </c>
      <c r="N2791" s="1">
        <v>38292</v>
      </c>
      <c r="O2791" t="s">
        <v>25</v>
      </c>
      <c r="P2791">
        <v>4</v>
      </c>
      <c r="Q2791">
        <v>11</v>
      </c>
      <c r="R2791">
        <v>2004</v>
      </c>
      <c r="S2791" t="s">
        <v>83</v>
      </c>
    </row>
    <row r="2792" spans="1:19" x14ac:dyDescent="0.25">
      <c r="A2792">
        <v>10204</v>
      </c>
      <c r="B2792" t="s">
        <v>220</v>
      </c>
      <c r="C2792" t="s">
        <v>192</v>
      </c>
      <c r="D2792" t="s">
        <v>21</v>
      </c>
      <c r="E2792" t="s">
        <v>22</v>
      </c>
      <c r="F2792" t="s">
        <v>23</v>
      </c>
      <c r="G2792" t="s">
        <v>33</v>
      </c>
      <c r="H2792">
        <v>17</v>
      </c>
      <c r="I2792">
        <v>42</v>
      </c>
      <c r="J2792">
        <v>100</v>
      </c>
      <c r="K2792">
        <v>141</v>
      </c>
      <c r="L2792">
        <v>6182.4</v>
      </c>
      <c r="M2792">
        <v>260.39999999999998</v>
      </c>
      <c r="N2792" s="1">
        <v>37957</v>
      </c>
      <c r="O2792" t="s">
        <v>25</v>
      </c>
      <c r="P2792">
        <v>4</v>
      </c>
      <c r="Q2792">
        <v>12</v>
      </c>
      <c r="R2792">
        <v>2003</v>
      </c>
      <c r="S2792" t="s">
        <v>83</v>
      </c>
    </row>
    <row r="2793" spans="1:19" x14ac:dyDescent="0.25">
      <c r="A2793">
        <v>10126</v>
      </c>
      <c r="B2793" t="s">
        <v>231</v>
      </c>
      <c r="C2793" t="s">
        <v>87</v>
      </c>
      <c r="D2793" t="s">
        <v>79</v>
      </c>
      <c r="E2793" t="s">
        <v>80</v>
      </c>
      <c r="F2793" t="s">
        <v>30</v>
      </c>
      <c r="G2793" t="s">
        <v>24</v>
      </c>
      <c r="H2793">
        <v>17</v>
      </c>
      <c r="I2793">
        <v>42</v>
      </c>
      <c r="J2793">
        <v>54.99</v>
      </c>
      <c r="K2793">
        <v>53</v>
      </c>
      <c r="L2793">
        <v>2309.58</v>
      </c>
      <c r="M2793">
        <v>83.58</v>
      </c>
      <c r="N2793" s="1">
        <v>37769</v>
      </c>
      <c r="O2793" t="s">
        <v>25</v>
      </c>
      <c r="P2793">
        <v>2</v>
      </c>
      <c r="Q2793">
        <v>5</v>
      </c>
      <c r="R2793">
        <v>2003</v>
      </c>
      <c r="S2793" t="s">
        <v>226</v>
      </c>
    </row>
    <row r="2794" spans="1:19" x14ac:dyDescent="0.25">
      <c r="A2794">
        <v>10210</v>
      </c>
      <c r="B2794" t="s">
        <v>233</v>
      </c>
      <c r="C2794" t="s">
        <v>127</v>
      </c>
      <c r="D2794" t="s">
        <v>128</v>
      </c>
      <c r="E2794" t="s">
        <v>107</v>
      </c>
      <c r="F2794" t="s">
        <v>50</v>
      </c>
      <c r="G2794" t="s">
        <v>33</v>
      </c>
      <c r="H2794">
        <v>17</v>
      </c>
      <c r="I2794">
        <v>31</v>
      </c>
      <c r="J2794">
        <v>100</v>
      </c>
      <c r="K2794">
        <v>157</v>
      </c>
      <c r="L2794">
        <v>5719.5</v>
      </c>
      <c r="M2794">
        <v>852.5</v>
      </c>
      <c r="N2794" s="1">
        <v>37998</v>
      </c>
      <c r="O2794" t="s">
        <v>25</v>
      </c>
      <c r="P2794">
        <v>1</v>
      </c>
      <c r="Q2794">
        <v>1</v>
      </c>
      <c r="R2794">
        <v>2004</v>
      </c>
      <c r="S2794" t="s">
        <v>234</v>
      </c>
    </row>
    <row r="2795" spans="1:19" x14ac:dyDescent="0.25">
      <c r="A2795">
        <v>10312</v>
      </c>
      <c r="B2795" t="s">
        <v>240</v>
      </c>
      <c r="C2795" t="s">
        <v>115</v>
      </c>
      <c r="D2795" t="s">
        <v>116</v>
      </c>
      <c r="E2795" t="s">
        <v>22</v>
      </c>
      <c r="F2795" t="s">
        <v>23</v>
      </c>
      <c r="G2795" t="s">
        <v>70</v>
      </c>
      <c r="H2795">
        <v>17</v>
      </c>
      <c r="I2795">
        <v>48</v>
      </c>
      <c r="J2795">
        <v>100</v>
      </c>
      <c r="K2795">
        <v>170</v>
      </c>
      <c r="L2795">
        <v>8078.4</v>
      </c>
      <c r="M2795">
        <v>-81.599999999999994</v>
      </c>
      <c r="N2795" s="1">
        <v>38281</v>
      </c>
      <c r="O2795" t="s">
        <v>25</v>
      </c>
      <c r="P2795">
        <v>4</v>
      </c>
      <c r="Q2795">
        <v>10</v>
      </c>
      <c r="R2795">
        <v>2004</v>
      </c>
      <c r="S2795" t="s">
        <v>226</v>
      </c>
    </row>
    <row r="2796" spans="1:19" x14ac:dyDescent="0.25">
      <c r="A2796">
        <v>10304</v>
      </c>
      <c r="B2796" t="s">
        <v>246</v>
      </c>
      <c r="C2796" t="s">
        <v>113</v>
      </c>
      <c r="D2796" t="s">
        <v>114</v>
      </c>
      <c r="E2796" t="s">
        <v>29</v>
      </c>
      <c r="F2796" t="s">
        <v>30</v>
      </c>
      <c r="G2796" t="s">
        <v>24</v>
      </c>
      <c r="H2796">
        <v>17</v>
      </c>
      <c r="I2796">
        <v>24</v>
      </c>
      <c r="J2796">
        <v>100</v>
      </c>
      <c r="K2796">
        <v>127</v>
      </c>
      <c r="L2796">
        <v>2440.8000000000002</v>
      </c>
      <c r="M2796">
        <v>-607.20000000000005</v>
      </c>
      <c r="N2796" s="1">
        <v>38271</v>
      </c>
      <c r="O2796" t="s">
        <v>25</v>
      </c>
      <c r="P2796">
        <v>4</v>
      </c>
      <c r="Q2796">
        <v>10</v>
      </c>
      <c r="R2796">
        <v>2004</v>
      </c>
      <c r="S2796" t="s">
        <v>226</v>
      </c>
    </row>
    <row r="2797" spans="1:19" x14ac:dyDescent="0.25">
      <c r="A2797">
        <v>10332</v>
      </c>
      <c r="B2797" t="s">
        <v>253</v>
      </c>
      <c r="C2797" t="s">
        <v>197</v>
      </c>
      <c r="D2797" t="s">
        <v>198</v>
      </c>
      <c r="E2797" t="s">
        <v>77</v>
      </c>
      <c r="F2797" t="s">
        <v>30</v>
      </c>
      <c r="G2797" t="s">
        <v>24</v>
      </c>
      <c r="H2797">
        <v>17</v>
      </c>
      <c r="I2797">
        <v>26</v>
      </c>
      <c r="J2797">
        <v>100</v>
      </c>
      <c r="K2797">
        <v>62</v>
      </c>
      <c r="L2797">
        <v>2979.08</v>
      </c>
      <c r="M2797">
        <v>1367.08</v>
      </c>
      <c r="N2797" s="1">
        <v>38308</v>
      </c>
      <c r="O2797" t="s">
        <v>25</v>
      </c>
      <c r="P2797">
        <v>4</v>
      </c>
      <c r="Q2797">
        <v>11</v>
      </c>
      <c r="R2797">
        <v>2004</v>
      </c>
      <c r="S2797" t="s">
        <v>226</v>
      </c>
    </row>
    <row r="2798" spans="1:19" x14ac:dyDescent="0.25">
      <c r="A2798">
        <v>10181</v>
      </c>
      <c r="B2798" t="s">
        <v>262</v>
      </c>
      <c r="C2798" t="s">
        <v>42</v>
      </c>
      <c r="D2798" t="s">
        <v>43</v>
      </c>
      <c r="E2798" t="s">
        <v>44</v>
      </c>
      <c r="F2798" t="s">
        <v>30</v>
      </c>
      <c r="G2798" t="s">
        <v>24</v>
      </c>
      <c r="H2798">
        <v>17</v>
      </c>
      <c r="I2798">
        <v>30</v>
      </c>
      <c r="J2798">
        <v>82.82</v>
      </c>
      <c r="K2798">
        <v>80</v>
      </c>
      <c r="L2798">
        <v>2484.6</v>
      </c>
      <c r="M2798">
        <v>84.6</v>
      </c>
      <c r="N2798" s="1">
        <v>37937</v>
      </c>
      <c r="O2798" t="s">
        <v>25</v>
      </c>
      <c r="P2798">
        <v>4</v>
      </c>
      <c r="Q2798">
        <v>11</v>
      </c>
      <c r="R2798">
        <v>2003</v>
      </c>
      <c r="S2798" t="s">
        <v>83</v>
      </c>
    </row>
    <row r="2799" spans="1:19" x14ac:dyDescent="0.25">
      <c r="A2799">
        <v>10106</v>
      </c>
      <c r="B2799" t="s">
        <v>267</v>
      </c>
      <c r="C2799" t="s">
        <v>227</v>
      </c>
      <c r="D2799" t="s">
        <v>228</v>
      </c>
      <c r="E2799" t="s">
        <v>110</v>
      </c>
      <c r="F2799" t="s">
        <v>30</v>
      </c>
      <c r="G2799" t="s">
        <v>33</v>
      </c>
      <c r="H2799">
        <v>17</v>
      </c>
      <c r="I2799">
        <v>41</v>
      </c>
      <c r="J2799">
        <v>100</v>
      </c>
      <c r="K2799">
        <v>105</v>
      </c>
      <c r="L2799">
        <v>4774.8599999999997</v>
      </c>
      <c r="M2799">
        <v>469.86</v>
      </c>
      <c r="N2799" s="1">
        <v>37669</v>
      </c>
      <c r="O2799" t="s">
        <v>25</v>
      </c>
      <c r="P2799">
        <v>1</v>
      </c>
      <c r="Q2799">
        <v>2</v>
      </c>
      <c r="R2799">
        <v>2003</v>
      </c>
      <c r="S2799" t="s">
        <v>226</v>
      </c>
    </row>
    <row r="2800" spans="1:19" x14ac:dyDescent="0.25">
      <c r="A2800">
        <v>10398</v>
      </c>
      <c r="B2800" t="s">
        <v>267</v>
      </c>
      <c r="C2800" t="s">
        <v>27</v>
      </c>
      <c r="D2800" t="s">
        <v>28</v>
      </c>
      <c r="E2800" t="s">
        <v>29</v>
      </c>
      <c r="F2800" t="s">
        <v>30</v>
      </c>
      <c r="G2800" t="s">
        <v>33</v>
      </c>
      <c r="H2800">
        <v>17</v>
      </c>
      <c r="I2800">
        <v>45</v>
      </c>
      <c r="J2800">
        <v>100</v>
      </c>
      <c r="K2800">
        <v>105</v>
      </c>
      <c r="L2800">
        <v>4811.8500000000004</v>
      </c>
      <c r="M2800">
        <v>86.85</v>
      </c>
      <c r="N2800" s="1">
        <v>38441</v>
      </c>
      <c r="O2800" t="s">
        <v>25</v>
      </c>
      <c r="P2800">
        <v>1</v>
      </c>
      <c r="Q2800">
        <v>3</v>
      </c>
      <c r="R2800">
        <v>2005</v>
      </c>
      <c r="S2800" t="s">
        <v>226</v>
      </c>
    </row>
    <row r="2801" spans="1:19" x14ac:dyDescent="0.25">
      <c r="A2801">
        <v>10280</v>
      </c>
      <c r="B2801" t="s">
        <v>269</v>
      </c>
      <c r="C2801" t="s">
        <v>108</v>
      </c>
      <c r="D2801" t="s">
        <v>109</v>
      </c>
      <c r="E2801" t="s">
        <v>110</v>
      </c>
      <c r="F2801" t="s">
        <v>30</v>
      </c>
      <c r="G2801" t="s">
        <v>33</v>
      </c>
      <c r="H2801">
        <v>17</v>
      </c>
      <c r="I2801">
        <v>35</v>
      </c>
      <c r="J2801">
        <v>100</v>
      </c>
      <c r="K2801">
        <v>92</v>
      </c>
      <c r="L2801">
        <v>3704.05</v>
      </c>
      <c r="M2801">
        <v>484.05</v>
      </c>
      <c r="N2801" s="1">
        <v>38216</v>
      </c>
      <c r="O2801" t="s">
        <v>25</v>
      </c>
      <c r="P2801">
        <v>3</v>
      </c>
      <c r="Q2801">
        <v>8</v>
      </c>
      <c r="R2801">
        <v>2004</v>
      </c>
      <c r="S2801" t="s">
        <v>226</v>
      </c>
    </row>
    <row r="2802" spans="1:19" x14ac:dyDescent="0.25">
      <c r="A2802">
        <v>10287</v>
      </c>
      <c r="B2802" t="s">
        <v>273</v>
      </c>
      <c r="C2802" t="s">
        <v>181</v>
      </c>
      <c r="D2802" t="s">
        <v>182</v>
      </c>
      <c r="E2802" t="s">
        <v>183</v>
      </c>
      <c r="F2802" t="s">
        <v>30</v>
      </c>
      <c r="G2802" t="s">
        <v>33</v>
      </c>
      <c r="H2802">
        <v>17</v>
      </c>
      <c r="I2802">
        <v>34</v>
      </c>
      <c r="J2802">
        <v>100</v>
      </c>
      <c r="K2802">
        <v>148</v>
      </c>
      <c r="L2802">
        <v>4300.32</v>
      </c>
      <c r="M2802">
        <v>-731.68</v>
      </c>
      <c r="N2802" s="1">
        <v>38229</v>
      </c>
      <c r="O2802" t="s">
        <v>25</v>
      </c>
      <c r="P2802">
        <v>3</v>
      </c>
      <c r="Q2802">
        <v>8</v>
      </c>
      <c r="R2802">
        <v>2004</v>
      </c>
      <c r="S2802" t="s">
        <v>83</v>
      </c>
    </row>
    <row r="2803" spans="1:19" x14ac:dyDescent="0.25">
      <c r="A2803">
        <v>10165</v>
      </c>
      <c r="B2803" t="s">
        <v>284</v>
      </c>
      <c r="C2803" t="s">
        <v>88</v>
      </c>
      <c r="D2803" t="s">
        <v>89</v>
      </c>
      <c r="E2803" t="s">
        <v>89</v>
      </c>
      <c r="F2803" t="s">
        <v>50</v>
      </c>
      <c r="G2803" t="s">
        <v>33</v>
      </c>
      <c r="H2803">
        <v>17</v>
      </c>
      <c r="I2803">
        <v>32</v>
      </c>
      <c r="J2803">
        <v>100</v>
      </c>
      <c r="K2803">
        <v>127</v>
      </c>
      <c r="L2803">
        <v>4661.76</v>
      </c>
      <c r="M2803">
        <v>597.76</v>
      </c>
      <c r="N2803" s="1">
        <v>37916</v>
      </c>
      <c r="O2803" t="s">
        <v>25</v>
      </c>
      <c r="P2803">
        <v>4</v>
      </c>
      <c r="Q2803">
        <v>10</v>
      </c>
      <c r="R2803">
        <v>2003</v>
      </c>
      <c r="S2803" t="s">
        <v>202</v>
      </c>
    </row>
    <row r="2804" spans="1:19" x14ac:dyDescent="0.25">
      <c r="A2804">
        <v>10182</v>
      </c>
      <c r="B2804" t="s">
        <v>295</v>
      </c>
      <c r="C2804" t="s">
        <v>115</v>
      </c>
      <c r="D2804" t="s">
        <v>116</v>
      </c>
      <c r="E2804" t="s">
        <v>22</v>
      </c>
      <c r="F2804" t="s">
        <v>23</v>
      </c>
      <c r="G2804" t="s">
        <v>33</v>
      </c>
      <c r="H2804">
        <v>17</v>
      </c>
      <c r="I2804">
        <v>49</v>
      </c>
      <c r="J2804">
        <v>100</v>
      </c>
      <c r="K2804">
        <v>107</v>
      </c>
      <c r="L2804">
        <v>6244.07</v>
      </c>
      <c r="M2804">
        <v>1001.07</v>
      </c>
      <c r="N2804" s="1">
        <v>37937</v>
      </c>
      <c r="O2804" t="s">
        <v>25</v>
      </c>
      <c r="P2804">
        <v>4</v>
      </c>
      <c r="Q2804">
        <v>11</v>
      </c>
      <c r="R2804">
        <v>2003</v>
      </c>
      <c r="S2804" t="s">
        <v>83</v>
      </c>
    </row>
    <row r="2805" spans="1:19" x14ac:dyDescent="0.25">
      <c r="A2805">
        <v>10122</v>
      </c>
      <c r="B2805" t="s">
        <v>306</v>
      </c>
      <c r="C2805" t="s">
        <v>176</v>
      </c>
      <c r="D2805" t="s">
        <v>177</v>
      </c>
      <c r="E2805" t="s">
        <v>29</v>
      </c>
      <c r="F2805" t="s">
        <v>30</v>
      </c>
      <c r="G2805" t="s">
        <v>24</v>
      </c>
      <c r="H2805">
        <v>17</v>
      </c>
      <c r="I2805">
        <v>31</v>
      </c>
      <c r="J2805">
        <v>44.66</v>
      </c>
      <c r="K2805">
        <v>40</v>
      </c>
      <c r="L2805">
        <v>1384.46</v>
      </c>
      <c r="M2805">
        <v>144.46</v>
      </c>
      <c r="N2805" s="1">
        <v>37749</v>
      </c>
      <c r="O2805" t="s">
        <v>25</v>
      </c>
      <c r="P2805">
        <v>2</v>
      </c>
      <c r="Q2805">
        <v>5</v>
      </c>
      <c r="R2805">
        <v>2003</v>
      </c>
      <c r="S2805" t="s">
        <v>26</v>
      </c>
    </row>
    <row r="2806" spans="1:19" x14ac:dyDescent="0.25">
      <c r="A2806">
        <v>10310</v>
      </c>
      <c r="B2806" t="s">
        <v>306</v>
      </c>
      <c r="C2806" t="s">
        <v>178</v>
      </c>
      <c r="D2806" t="s">
        <v>179</v>
      </c>
      <c r="E2806" t="s">
        <v>180</v>
      </c>
      <c r="F2806" t="s">
        <v>30</v>
      </c>
      <c r="G2806" t="s">
        <v>24</v>
      </c>
      <c r="H2806">
        <v>17</v>
      </c>
      <c r="I2806">
        <v>36</v>
      </c>
      <c r="J2806">
        <v>43.05</v>
      </c>
      <c r="K2806">
        <v>40</v>
      </c>
      <c r="L2806">
        <v>1549.8</v>
      </c>
      <c r="M2806">
        <v>109.8</v>
      </c>
      <c r="N2806" s="1">
        <v>38276</v>
      </c>
      <c r="O2806" t="s">
        <v>25</v>
      </c>
      <c r="P2806">
        <v>4</v>
      </c>
      <c r="Q2806">
        <v>10</v>
      </c>
      <c r="R2806">
        <v>2004</v>
      </c>
      <c r="S2806" t="s">
        <v>26</v>
      </c>
    </row>
    <row r="2807" spans="1:19" x14ac:dyDescent="0.25">
      <c r="A2807">
        <v>10306</v>
      </c>
      <c r="B2807" t="s">
        <v>308</v>
      </c>
      <c r="C2807" t="s">
        <v>197</v>
      </c>
      <c r="D2807" t="s">
        <v>198</v>
      </c>
      <c r="E2807" t="s">
        <v>77</v>
      </c>
      <c r="F2807" t="s">
        <v>30</v>
      </c>
      <c r="G2807" t="s">
        <v>24</v>
      </c>
      <c r="H2807">
        <v>17</v>
      </c>
      <c r="I2807">
        <v>46</v>
      </c>
      <c r="J2807">
        <v>50.33</v>
      </c>
      <c r="K2807">
        <v>62</v>
      </c>
      <c r="L2807">
        <v>2315.1799999999998</v>
      </c>
      <c r="M2807">
        <v>-536.82000000000005</v>
      </c>
      <c r="N2807" s="1">
        <v>38274</v>
      </c>
      <c r="O2807" t="s">
        <v>25</v>
      </c>
      <c r="P2807">
        <v>4</v>
      </c>
      <c r="Q2807">
        <v>10</v>
      </c>
      <c r="R2807">
        <v>2004</v>
      </c>
      <c r="S2807" t="s">
        <v>261</v>
      </c>
    </row>
    <row r="2808" spans="1:19" x14ac:dyDescent="0.25">
      <c r="A2808">
        <v>10135</v>
      </c>
      <c r="B2808" t="s">
        <v>311</v>
      </c>
      <c r="C2808" t="s">
        <v>115</v>
      </c>
      <c r="D2808" t="s">
        <v>116</v>
      </c>
      <c r="E2808" t="s">
        <v>22</v>
      </c>
      <c r="F2808" t="s">
        <v>23</v>
      </c>
      <c r="G2808" t="s">
        <v>24</v>
      </c>
      <c r="H2808">
        <v>17</v>
      </c>
      <c r="I2808">
        <v>30</v>
      </c>
      <c r="J2808">
        <v>89.8</v>
      </c>
      <c r="K2808">
        <v>102</v>
      </c>
      <c r="L2808">
        <v>2694</v>
      </c>
      <c r="M2808">
        <v>-366</v>
      </c>
      <c r="N2808" s="1">
        <v>37804</v>
      </c>
      <c r="O2808" t="s">
        <v>25</v>
      </c>
      <c r="P2808">
        <v>3</v>
      </c>
      <c r="Q2808">
        <v>7</v>
      </c>
      <c r="R2808">
        <v>2003</v>
      </c>
      <c r="S2808" t="s">
        <v>26</v>
      </c>
    </row>
    <row r="2809" spans="1:19" x14ac:dyDescent="0.25">
      <c r="A2809">
        <v>10350</v>
      </c>
      <c r="B2809" t="s">
        <v>314</v>
      </c>
      <c r="C2809" t="s">
        <v>78</v>
      </c>
      <c r="D2809" t="s">
        <v>79</v>
      </c>
      <c r="E2809" t="s">
        <v>80</v>
      </c>
      <c r="F2809" t="s">
        <v>30</v>
      </c>
      <c r="G2809" t="s">
        <v>33</v>
      </c>
      <c r="H2809">
        <v>17</v>
      </c>
      <c r="I2809">
        <v>44</v>
      </c>
      <c r="J2809">
        <v>100</v>
      </c>
      <c r="K2809">
        <v>58</v>
      </c>
      <c r="L2809">
        <v>6490.88</v>
      </c>
      <c r="M2809">
        <v>3938.88</v>
      </c>
      <c r="N2809" s="1">
        <v>38323</v>
      </c>
      <c r="O2809" t="s">
        <v>25</v>
      </c>
      <c r="P2809">
        <v>4</v>
      </c>
      <c r="Q2809">
        <v>12</v>
      </c>
      <c r="R2809">
        <v>2004</v>
      </c>
      <c r="S2809" t="s">
        <v>261</v>
      </c>
    </row>
    <row r="2810" spans="1:19" x14ac:dyDescent="0.25">
      <c r="A2810">
        <v>10386</v>
      </c>
      <c r="B2810" t="s">
        <v>324</v>
      </c>
      <c r="C2810" t="s">
        <v>78</v>
      </c>
      <c r="D2810" t="s">
        <v>79</v>
      </c>
      <c r="E2810" t="s">
        <v>80</v>
      </c>
      <c r="F2810" t="s">
        <v>30</v>
      </c>
      <c r="G2810" t="s">
        <v>33</v>
      </c>
      <c r="H2810">
        <v>17</v>
      </c>
      <c r="I2810">
        <v>32</v>
      </c>
      <c r="J2810">
        <v>94.34</v>
      </c>
      <c r="K2810">
        <v>80</v>
      </c>
      <c r="L2810">
        <v>3018.88</v>
      </c>
      <c r="M2810">
        <v>458.88</v>
      </c>
      <c r="N2810" s="1">
        <v>38412</v>
      </c>
      <c r="O2810" t="s">
        <v>169</v>
      </c>
      <c r="P2810">
        <v>1</v>
      </c>
      <c r="Q2810">
        <v>3</v>
      </c>
      <c r="R2810">
        <v>2005</v>
      </c>
      <c r="S2810" t="s">
        <v>234</v>
      </c>
    </row>
    <row r="2811" spans="1:19" x14ac:dyDescent="0.25">
      <c r="A2811">
        <v>10222</v>
      </c>
      <c r="B2811" t="s">
        <v>326</v>
      </c>
      <c r="C2811" t="s">
        <v>149</v>
      </c>
      <c r="D2811" t="s">
        <v>150</v>
      </c>
      <c r="E2811" t="s">
        <v>22</v>
      </c>
      <c r="F2811" t="s">
        <v>23</v>
      </c>
      <c r="G2811" t="s">
        <v>24</v>
      </c>
      <c r="H2811">
        <v>17</v>
      </c>
      <c r="I2811">
        <v>31</v>
      </c>
      <c r="J2811">
        <v>95.34</v>
      </c>
      <c r="K2811">
        <v>99</v>
      </c>
      <c r="L2811">
        <v>2955.54</v>
      </c>
      <c r="M2811">
        <v>-113.46</v>
      </c>
      <c r="N2811" s="1">
        <v>38036</v>
      </c>
      <c r="O2811" t="s">
        <v>25</v>
      </c>
      <c r="P2811">
        <v>1</v>
      </c>
      <c r="Q2811">
        <v>2</v>
      </c>
      <c r="R2811">
        <v>2004</v>
      </c>
      <c r="S2811" t="s">
        <v>255</v>
      </c>
    </row>
    <row r="2812" spans="1:19" x14ac:dyDescent="0.25">
      <c r="A2812">
        <v>10168</v>
      </c>
      <c r="B2812" t="s">
        <v>327</v>
      </c>
      <c r="C2812" t="s">
        <v>38</v>
      </c>
      <c r="D2812" t="s">
        <v>39</v>
      </c>
      <c r="E2812" t="s">
        <v>22</v>
      </c>
      <c r="F2812" t="s">
        <v>23</v>
      </c>
      <c r="G2812" t="s">
        <v>33</v>
      </c>
      <c r="H2812">
        <v>17</v>
      </c>
      <c r="I2812">
        <v>39</v>
      </c>
      <c r="J2812">
        <v>82.91</v>
      </c>
      <c r="K2812">
        <v>74</v>
      </c>
      <c r="L2812">
        <v>3233.49</v>
      </c>
      <c r="M2812">
        <v>347.49</v>
      </c>
      <c r="N2812" s="1">
        <v>37922</v>
      </c>
      <c r="O2812" t="s">
        <v>25</v>
      </c>
      <c r="P2812">
        <v>4</v>
      </c>
      <c r="Q2812">
        <v>10</v>
      </c>
      <c r="R2812">
        <v>2003</v>
      </c>
      <c r="S2812" t="s">
        <v>234</v>
      </c>
    </row>
    <row r="2813" spans="1:19" x14ac:dyDescent="0.25">
      <c r="A2813">
        <v>10275</v>
      </c>
      <c r="B2813" t="s">
        <v>327</v>
      </c>
      <c r="C2813" t="s">
        <v>56</v>
      </c>
      <c r="D2813" t="s">
        <v>57</v>
      </c>
      <c r="E2813" t="s">
        <v>29</v>
      </c>
      <c r="F2813" t="s">
        <v>30</v>
      </c>
      <c r="G2813" t="s">
        <v>24</v>
      </c>
      <c r="H2813">
        <v>17</v>
      </c>
      <c r="I2813">
        <v>31</v>
      </c>
      <c r="J2813">
        <v>72.55</v>
      </c>
      <c r="K2813">
        <v>74</v>
      </c>
      <c r="L2813">
        <v>2249.0500000000002</v>
      </c>
      <c r="M2813">
        <v>-44.95</v>
      </c>
      <c r="N2813" s="1">
        <v>38191</v>
      </c>
      <c r="O2813" t="s">
        <v>25</v>
      </c>
      <c r="P2813">
        <v>3</v>
      </c>
      <c r="Q2813">
        <v>7</v>
      </c>
      <c r="R2813">
        <v>2004</v>
      </c>
      <c r="S2813" t="s">
        <v>234</v>
      </c>
    </row>
    <row r="2814" spans="1:19" x14ac:dyDescent="0.25">
      <c r="A2814">
        <v>10373</v>
      </c>
      <c r="B2814" t="s">
        <v>327</v>
      </c>
      <c r="C2814" t="s">
        <v>160</v>
      </c>
      <c r="D2814" t="s">
        <v>161</v>
      </c>
      <c r="E2814" t="s">
        <v>62</v>
      </c>
      <c r="F2814" t="s">
        <v>30</v>
      </c>
      <c r="G2814" t="s">
        <v>24</v>
      </c>
      <c r="H2814">
        <v>17</v>
      </c>
      <c r="I2814">
        <v>45</v>
      </c>
      <c r="J2814">
        <v>55.62</v>
      </c>
      <c r="K2814">
        <v>74</v>
      </c>
      <c r="L2814">
        <v>2502.9</v>
      </c>
      <c r="M2814">
        <v>-827.1</v>
      </c>
      <c r="N2814" s="1">
        <v>38383</v>
      </c>
      <c r="O2814" t="s">
        <v>25</v>
      </c>
      <c r="P2814">
        <v>1</v>
      </c>
      <c r="Q2814">
        <v>1</v>
      </c>
      <c r="R2814">
        <v>2005</v>
      </c>
      <c r="S2814" t="s">
        <v>234</v>
      </c>
    </row>
    <row r="2815" spans="1:19" x14ac:dyDescent="0.25">
      <c r="A2815">
        <v>10165</v>
      </c>
      <c r="B2815" t="s">
        <v>247</v>
      </c>
      <c r="C2815" t="s">
        <v>88</v>
      </c>
      <c r="D2815" t="s">
        <v>89</v>
      </c>
      <c r="E2815" t="s">
        <v>89</v>
      </c>
      <c r="F2815" t="s">
        <v>50</v>
      </c>
      <c r="G2815" t="s">
        <v>24</v>
      </c>
      <c r="H2815">
        <v>18</v>
      </c>
      <c r="I2815">
        <v>31</v>
      </c>
      <c r="J2815">
        <v>71.099999999999994</v>
      </c>
      <c r="K2815">
        <v>60</v>
      </c>
      <c r="L2815">
        <v>2204.1</v>
      </c>
      <c r="M2815">
        <v>344.1</v>
      </c>
      <c r="N2815" s="1">
        <v>37916</v>
      </c>
      <c r="O2815" t="s">
        <v>25</v>
      </c>
      <c r="P2815">
        <v>4</v>
      </c>
      <c r="Q2815">
        <v>10</v>
      </c>
      <c r="R2815">
        <v>2003</v>
      </c>
      <c r="S2815" t="s">
        <v>202</v>
      </c>
    </row>
    <row r="2816" spans="1:19" x14ac:dyDescent="0.25">
      <c r="A2816">
        <v>10386</v>
      </c>
      <c r="B2816" t="s">
        <v>248</v>
      </c>
      <c r="C2816" t="s">
        <v>78</v>
      </c>
      <c r="D2816" t="s">
        <v>79</v>
      </c>
      <c r="E2816" t="s">
        <v>80</v>
      </c>
      <c r="F2816" t="s">
        <v>30</v>
      </c>
      <c r="G2816" t="s">
        <v>24</v>
      </c>
      <c r="H2816">
        <v>18</v>
      </c>
      <c r="I2816">
        <v>21</v>
      </c>
      <c r="J2816">
        <v>74.77</v>
      </c>
      <c r="K2816">
        <v>84</v>
      </c>
      <c r="L2816">
        <v>1570.17</v>
      </c>
      <c r="M2816">
        <v>-193.83</v>
      </c>
      <c r="N2816" s="1">
        <v>38412</v>
      </c>
      <c r="O2816" t="s">
        <v>169</v>
      </c>
      <c r="P2816">
        <v>1</v>
      </c>
      <c r="Q2816">
        <v>3</v>
      </c>
      <c r="R2816">
        <v>2005</v>
      </c>
      <c r="S2816" t="s">
        <v>234</v>
      </c>
    </row>
    <row r="2817" spans="1:19" x14ac:dyDescent="0.25">
      <c r="A2817">
        <v>10159</v>
      </c>
      <c r="B2817" t="s">
        <v>249</v>
      </c>
      <c r="C2817" t="s">
        <v>36</v>
      </c>
      <c r="D2817" t="s">
        <v>37</v>
      </c>
      <c r="E2817" t="s">
        <v>22</v>
      </c>
      <c r="F2817" t="s">
        <v>23</v>
      </c>
      <c r="G2817" t="s">
        <v>24</v>
      </c>
      <c r="H2817">
        <v>18</v>
      </c>
      <c r="I2817">
        <v>42</v>
      </c>
      <c r="J2817">
        <v>51.48</v>
      </c>
      <c r="K2817">
        <v>60</v>
      </c>
      <c r="L2817">
        <v>2162.16</v>
      </c>
      <c r="M2817">
        <v>-357.84</v>
      </c>
      <c r="N2817" s="1">
        <v>37904</v>
      </c>
      <c r="O2817" t="s">
        <v>25</v>
      </c>
      <c r="P2817">
        <v>4</v>
      </c>
      <c r="Q2817">
        <v>10</v>
      </c>
      <c r="R2817">
        <v>2003</v>
      </c>
      <c r="S2817" t="s">
        <v>26</v>
      </c>
    </row>
    <row r="2818" spans="1:19" x14ac:dyDescent="0.25">
      <c r="A2818">
        <v>10106</v>
      </c>
      <c r="B2818" t="s">
        <v>254</v>
      </c>
      <c r="C2818" t="s">
        <v>227</v>
      </c>
      <c r="D2818" t="s">
        <v>228</v>
      </c>
      <c r="E2818" t="s">
        <v>110</v>
      </c>
      <c r="F2818" t="s">
        <v>30</v>
      </c>
      <c r="G2818" t="s">
        <v>33</v>
      </c>
      <c r="H2818">
        <v>18</v>
      </c>
      <c r="I2818">
        <v>41</v>
      </c>
      <c r="J2818">
        <v>83.44</v>
      </c>
      <c r="K2818">
        <v>86</v>
      </c>
      <c r="L2818">
        <v>3421.04</v>
      </c>
      <c r="M2818">
        <v>-104.96</v>
      </c>
      <c r="N2818" s="1">
        <v>37669</v>
      </c>
      <c r="O2818" t="s">
        <v>25</v>
      </c>
      <c r="P2818">
        <v>1</v>
      </c>
      <c r="Q2818">
        <v>2</v>
      </c>
      <c r="R2818">
        <v>2003</v>
      </c>
      <c r="S2818" t="s">
        <v>255</v>
      </c>
    </row>
    <row r="2819" spans="1:19" x14ac:dyDescent="0.25">
      <c r="A2819">
        <v>10398</v>
      </c>
      <c r="B2819" t="s">
        <v>254</v>
      </c>
      <c r="C2819" t="s">
        <v>27</v>
      </c>
      <c r="D2819" t="s">
        <v>28</v>
      </c>
      <c r="E2819" t="s">
        <v>29</v>
      </c>
      <c r="F2819" t="s">
        <v>30</v>
      </c>
      <c r="G2819" t="s">
        <v>24</v>
      </c>
      <c r="H2819">
        <v>18</v>
      </c>
      <c r="I2819">
        <v>28</v>
      </c>
      <c r="J2819">
        <v>72.260000000000005</v>
      </c>
      <c r="K2819">
        <v>86</v>
      </c>
      <c r="L2819">
        <v>2023.28</v>
      </c>
      <c r="M2819">
        <v>-384.72</v>
      </c>
      <c r="N2819" s="1">
        <v>38441</v>
      </c>
      <c r="O2819" t="s">
        <v>25</v>
      </c>
      <c r="P2819">
        <v>1</v>
      </c>
      <c r="Q2819">
        <v>3</v>
      </c>
      <c r="R2819">
        <v>2005</v>
      </c>
      <c r="S2819" t="s">
        <v>255</v>
      </c>
    </row>
    <row r="2820" spans="1:19" x14ac:dyDescent="0.25">
      <c r="A2820">
        <v>10332</v>
      </c>
      <c r="B2820" t="s">
        <v>257</v>
      </c>
      <c r="C2820" t="s">
        <v>197</v>
      </c>
      <c r="D2820" t="s">
        <v>198</v>
      </c>
      <c r="E2820" t="s">
        <v>77</v>
      </c>
      <c r="F2820" t="s">
        <v>30</v>
      </c>
      <c r="G2820" t="s">
        <v>24</v>
      </c>
      <c r="H2820">
        <v>18</v>
      </c>
      <c r="I2820">
        <v>40</v>
      </c>
      <c r="J2820">
        <v>39.799999999999997</v>
      </c>
      <c r="K2820">
        <v>104</v>
      </c>
      <c r="L2820">
        <v>1592</v>
      </c>
      <c r="M2820">
        <v>-2568</v>
      </c>
      <c r="N2820" s="1">
        <v>38308</v>
      </c>
      <c r="O2820" t="s">
        <v>25</v>
      </c>
      <c r="P2820">
        <v>4</v>
      </c>
      <c r="Q2820">
        <v>11</v>
      </c>
      <c r="R2820">
        <v>2004</v>
      </c>
      <c r="S2820" t="s">
        <v>226</v>
      </c>
    </row>
    <row r="2821" spans="1:19" x14ac:dyDescent="0.25">
      <c r="A2821">
        <v>10168</v>
      </c>
      <c r="B2821" t="s">
        <v>298</v>
      </c>
      <c r="C2821" t="s">
        <v>38</v>
      </c>
      <c r="D2821" t="s">
        <v>39</v>
      </c>
      <c r="E2821" t="s">
        <v>22</v>
      </c>
      <c r="F2821" t="s">
        <v>23</v>
      </c>
      <c r="G2821" t="s">
        <v>24</v>
      </c>
      <c r="H2821">
        <v>18</v>
      </c>
      <c r="I2821">
        <v>27</v>
      </c>
      <c r="J2821">
        <v>73.02</v>
      </c>
      <c r="K2821">
        <v>68</v>
      </c>
      <c r="L2821">
        <v>1971.54</v>
      </c>
      <c r="M2821">
        <v>135.54</v>
      </c>
      <c r="N2821" s="1">
        <v>37922</v>
      </c>
      <c r="O2821" t="s">
        <v>25</v>
      </c>
      <c r="P2821">
        <v>4</v>
      </c>
      <c r="Q2821">
        <v>10</v>
      </c>
      <c r="R2821">
        <v>2003</v>
      </c>
      <c r="S2821" t="s">
        <v>234</v>
      </c>
    </row>
    <row r="2822" spans="1:19" x14ac:dyDescent="0.25">
      <c r="A2822">
        <v>10275</v>
      </c>
      <c r="B2822" t="s">
        <v>298</v>
      </c>
      <c r="C2822" t="s">
        <v>56</v>
      </c>
      <c r="D2822" t="s">
        <v>57</v>
      </c>
      <c r="E2822" t="s">
        <v>29</v>
      </c>
      <c r="F2822" t="s">
        <v>30</v>
      </c>
      <c r="G2822" t="s">
        <v>33</v>
      </c>
      <c r="H2822">
        <v>18</v>
      </c>
      <c r="I2822">
        <v>41</v>
      </c>
      <c r="J2822">
        <v>81.89</v>
      </c>
      <c r="K2822">
        <v>68</v>
      </c>
      <c r="L2822">
        <v>3357.49</v>
      </c>
      <c r="M2822">
        <v>569.49</v>
      </c>
      <c r="N2822" s="1">
        <v>38191</v>
      </c>
      <c r="O2822" t="s">
        <v>25</v>
      </c>
      <c r="P2822">
        <v>3</v>
      </c>
      <c r="Q2822">
        <v>7</v>
      </c>
      <c r="R2822">
        <v>2004</v>
      </c>
      <c r="S2822" t="s">
        <v>234</v>
      </c>
    </row>
    <row r="2823" spans="1:19" x14ac:dyDescent="0.25">
      <c r="A2823">
        <v>10316</v>
      </c>
      <c r="B2823" t="s">
        <v>321</v>
      </c>
      <c r="C2823" t="s">
        <v>158</v>
      </c>
      <c r="D2823" t="s">
        <v>159</v>
      </c>
      <c r="E2823" t="s">
        <v>77</v>
      </c>
      <c r="F2823" t="s">
        <v>30</v>
      </c>
      <c r="G2823" t="s">
        <v>33</v>
      </c>
      <c r="H2823">
        <v>18</v>
      </c>
      <c r="I2823">
        <v>48</v>
      </c>
      <c r="J2823">
        <v>74.45</v>
      </c>
      <c r="K2823">
        <v>72</v>
      </c>
      <c r="L2823">
        <v>3573.6</v>
      </c>
      <c r="M2823">
        <v>117.6</v>
      </c>
      <c r="N2823" s="1">
        <v>38292</v>
      </c>
      <c r="O2823" t="s">
        <v>25</v>
      </c>
      <c r="P2823">
        <v>4</v>
      </c>
      <c r="Q2823">
        <v>11</v>
      </c>
      <c r="R2823">
        <v>2004</v>
      </c>
      <c r="S2823" t="s">
        <v>255</v>
      </c>
    </row>
    <row r="2824" spans="1:19" x14ac:dyDescent="0.25">
      <c r="A2824">
        <v>10222</v>
      </c>
      <c r="B2824" t="s">
        <v>329</v>
      </c>
      <c r="C2824" t="s">
        <v>149</v>
      </c>
      <c r="D2824" t="s">
        <v>150</v>
      </c>
      <c r="E2824" t="s">
        <v>22</v>
      </c>
      <c r="F2824" t="s">
        <v>23</v>
      </c>
      <c r="G2824" t="s">
        <v>24</v>
      </c>
      <c r="H2824">
        <v>18</v>
      </c>
      <c r="I2824">
        <v>36</v>
      </c>
      <c r="J2824">
        <v>63.34</v>
      </c>
      <c r="K2824">
        <v>54</v>
      </c>
      <c r="L2824">
        <v>2280.2399999999998</v>
      </c>
      <c r="M2824">
        <v>336.24</v>
      </c>
      <c r="N2824" s="1">
        <v>38036</v>
      </c>
      <c r="O2824" t="s">
        <v>25</v>
      </c>
      <c r="P2824">
        <v>1</v>
      </c>
      <c r="Q2824">
        <v>2</v>
      </c>
      <c r="R2824">
        <v>2004</v>
      </c>
      <c r="S2824" t="s">
        <v>255</v>
      </c>
    </row>
  </sheetData>
  <sortState xmlns:xlrd2="http://schemas.microsoft.com/office/spreadsheetml/2017/richdata2" ref="A2:S2824">
    <sortCondition ref="H1:H2824"/>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4D889-17E7-4F9C-A428-30F92BBE3E92}">
  <sheetPr codeName="Sheet2"/>
  <dimension ref="A1:J124"/>
  <sheetViews>
    <sheetView topLeftCell="C1" zoomScale="85" zoomScaleNormal="85" workbookViewId="0">
      <selection activeCell="AB23" sqref="AB23"/>
    </sheetView>
  </sheetViews>
  <sheetFormatPr defaultRowHeight="15" x14ac:dyDescent="0.25"/>
  <cols>
    <col min="1" max="1" width="13.28515625" bestFit="1" customWidth="1"/>
    <col min="2" max="2" width="19.42578125" bestFit="1" customWidth="1"/>
    <col min="3" max="3" width="33.28515625" bestFit="1" customWidth="1"/>
    <col min="4" max="4" width="19.42578125" bestFit="1" customWidth="1"/>
    <col min="5" max="5" width="13.28515625" bestFit="1" customWidth="1"/>
    <col min="6" max="6" width="12.7109375" bestFit="1" customWidth="1"/>
    <col min="7" max="7" width="19.42578125" bestFit="1" customWidth="1"/>
    <col min="9" max="9" width="19" style="4" bestFit="1" customWidth="1"/>
    <col min="10" max="10" width="18.28515625" bestFit="1" customWidth="1"/>
  </cols>
  <sheetData>
    <row r="1" spans="1:10" x14ac:dyDescent="0.25">
      <c r="A1" t="s">
        <v>330</v>
      </c>
      <c r="C1" t="s">
        <v>333</v>
      </c>
      <c r="E1" s="2" t="s">
        <v>331</v>
      </c>
      <c r="F1" t="s">
        <v>333</v>
      </c>
      <c r="G1" t="s">
        <v>330</v>
      </c>
      <c r="I1" s="4" t="s">
        <v>339</v>
      </c>
      <c r="J1">
        <f>COUNTA(E12:E31)-1</f>
        <v>19</v>
      </c>
    </row>
    <row r="2" spans="1:10" x14ac:dyDescent="0.25">
      <c r="A2" s="8">
        <v>35286.849999999955</v>
      </c>
      <c r="C2" s="8">
        <v>99067</v>
      </c>
      <c r="E2" s="3" t="s">
        <v>336</v>
      </c>
      <c r="F2" s="8">
        <v>34612</v>
      </c>
      <c r="G2" s="8">
        <v>5255.5400000000063</v>
      </c>
      <c r="I2" s="4" t="s">
        <v>340</v>
      </c>
      <c r="J2">
        <f>COUNTA(A51:A124) - 1</f>
        <v>73</v>
      </c>
    </row>
    <row r="3" spans="1:10" x14ac:dyDescent="0.25">
      <c r="A3" s="2" t="s">
        <v>331</v>
      </c>
      <c r="B3" t="s">
        <v>333</v>
      </c>
      <c r="C3" s="2" t="s">
        <v>331</v>
      </c>
      <c r="D3" t="s">
        <v>334</v>
      </c>
      <c r="E3" s="3" t="s">
        <v>337</v>
      </c>
      <c r="F3" s="8">
        <v>46824</v>
      </c>
      <c r="G3" s="8">
        <v>12881.600000000051</v>
      </c>
      <c r="I3" s="4" t="s">
        <v>341</v>
      </c>
      <c r="J3">
        <f>COUNTA(A4:A7)-1</f>
        <v>3</v>
      </c>
    </row>
    <row r="4" spans="1:10" x14ac:dyDescent="0.25">
      <c r="A4" s="3" t="s">
        <v>50</v>
      </c>
      <c r="B4" s="8">
        <v>11809</v>
      </c>
      <c r="C4" s="3" t="s">
        <v>25</v>
      </c>
      <c r="D4" s="8">
        <v>2617</v>
      </c>
      <c r="E4" s="3" t="s">
        <v>338</v>
      </c>
      <c r="F4" s="8">
        <v>17631</v>
      </c>
      <c r="G4" s="8">
        <v>17149.709999999981</v>
      </c>
      <c r="I4" s="4" t="s">
        <v>342</v>
      </c>
      <c r="J4">
        <f>COUNTA(C28:C120)-1</f>
        <v>92</v>
      </c>
    </row>
    <row r="5" spans="1:10" x14ac:dyDescent="0.25">
      <c r="A5" s="3" t="s">
        <v>30</v>
      </c>
      <c r="B5" s="8">
        <v>49306</v>
      </c>
      <c r="C5" s="3" t="s">
        <v>141</v>
      </c>
      <c r="D5" s="8">
        <v>60</v>
      </c>
      <c r="E5" s="3" t="s">
        <v>332</v>
      </c>
      <c r="F5" s="8">
        <v>99067</v>
      </c>
      <c r="G5" s="8">
        <v>35286.850000000035</v>
      </c>
      <c r="I5" s="4" t="s">
        <v>343</v>
      </c>
      <c r="J5" s="7">
        <f>GETPIVOTDATA("Sum of QUANTITYORDERED",$E$1)</f>
        <v>99067</v>
      </c>
    </row>
    <row r="6" spans="1:10" x14ac:dyDescent="0.25">
      <c r="A6" s="3" t="s">
        <v>23</v>
      </c>
      <c r="B6" s="8">
        <v>37952</v>
      </c>
      <c r="C6" s="3" t="s">
        <v>169</v>
      </c>
      <c r="D6" s="8">
        <v>47</v>
      </c>
      <c r="I6" s="4" t="s">
        <v>345</v>
      </c>
      <c r="J6" s="6">
        <f>GETPIVOTDATA("Sum of PROFIT_LOSS",$E$1)</f>
        <v>35286.850000000035</v>
      </c>
    </row>
    <row r="7" spans="1:10" x14ac:dyDescent="0.25">
      <c r="A7" s="3" t="s">
        <v>332</v>
      </c>
      <c r="B7" s="8">
        <v>99067</v>
      </c>
      <c r="C7" s="3" t="s">
        <v>164</v>
      </c>
      <c r="D7" s="8">
        <v>44</v>
      </c>
      <c r="I7" s="4" t="s">
        <v>344</v>
      </c>
      <c r="J7" s="5">
        <f>GETPIVOTDATA("SALES",$E$11)</f>
        <v>10032628.850000003</v>
      </c>
    </row>
    <row r="8" spans="1:10" x14ac:dyDescent="0.25">
      <c r="A8" s="2" t="s">
        <v>331</v>
      </c>
      <c r="B8" t="s">
        <v>330</v>
      </c>
      <c r="C8" s="3" t="s">
        <v>125</v>
      </c>
      <c r="D8" s="8">
        <v>41</v>
      </c>
    </row>
    <row r="9" spans="1:10" x14ac:dyDescent="0.25">
      <c r="A9" s="3" t="s">
        <v>77</v>
      </c>
      <c r="B9" s="8">
        <v>-6913.54</v>
      </c>
      <c r="C9" s="3" t="s">
        <v>81</v>
      </c>
      <c r="D9" s="8">
        <v>14</v>
      </c>
    </row>
    <row r="10" spans="1:10" x14ac:dyDescent="0.25">
      <c r="A10" s="3" t="s">
        <v>69</v>
      </c>
      <c r="B10" s="8">
        <v>-6832.4699999999975</v>
      </c>
      <c r="C10" s="3" t="s">
        <v>332</v>
      </c>
      <c r="D10" s="8">
        <v>2823</v>
      </c>
    </row>
    <row r="11" spans="1:10" x14ac:dyDescent="0.25">
      <c r="A11" s="3" t="s">
        <v>29</v>
      </c>
      <c r="B11" s="8">
        <v>-5122.4800000000068</v>
      </c>
      <c r="C11" s="2" t="s">
        <v>331</v>
      </c>
      <c r="D11" t="s">
        <v>335</v>
      </c>
      <c r="E11" s="2" t="s">
        <v>331</v>
      </c>
      <c r="F11" t="s">
        <v>346</v>
      </c>
    </row>
    <row r="12" spans="1:10" x14ac:dyDescent="0.25">
      <c r="A12" s="3" t="s">
        <v>183</v>
      </c>
      <c r="B12" s="8">
        <v>-4168.4399999999987</v>
      </c>
      <c r="C12" s="3" t="s">
        <v>83</v>
      </c>
      <c r="D12" s="8">
        <v>967</v>
      </c>
      <c r="E12" s="3" t="s">
        <v>49</v>
      </c>
      <c r="F12" s="8">
        <v>630623.1</v>
      </c>
    </row>
    <row r="13" spans="1:10" x14ac:dyDescent="0.25">
      <c r="A13" s="3" t="s">
        <v>89</v>
      </c>
      <c r="B13" s="8">
        <v>-2783.5900000000006</v>
      </c>
      <c r="C13" s="3" t="s">
        <v>26</v>
      </c>
      <c r="D13" s="8">
        <v>331</v>
      </c>
      <c r="E13" s="3" t="s">
        <v>69</v>
      </c>
      <c r="F13" s="8">
        <v>202062.53000000003</v>
      </c>
    </row>
    <row r="14" spans="1:10" x14ac:dyDescent="0.25">
      <c r="A14" s="3" t="s">
        <v>153</v>
      </c>
      <c r="B14" s="8">
        <v>-2378.3799999999997</v>
      </c>
      <c r="C14" s="3" t="s">
        <v>234</v>
      </c>
      <c r="D14" s="8">
        <v>306</v>
      </c>
      <c r="E14" s="3" t="s">
        <v>153</v>
      </c>
      <c r="F14" s="8">
        <v>108412.61999999998</v>
      </c>
    </row>
    <row r="15" spans="1:10" x14ac:dyDescent="0.25">
      <c r="A15" s="3" t="s">
        <v>99</v>
      </c>
      <c r="B15" s="8">
        <v>-2226.44</v>
      </c>
      <c r="C15" s="3" t="s">
        <v>255</v>
      </c>
      <c r="D15" s="8">
        <v>234</v>
      </c>
      <c r="E15" s="3" t="s">
        <v>99</v>
      </c>
      <c r="F15" s="8">
        <v>224078.56000000003</v>
      </c>
    </row>
    <row r="16" spans="1:10" x14ac:dyDescent="0.25">
      <c r="A16" s="3" t="s">
        <v>175</v>
      </c>
      <c r="B16" s="8">
        <v>-1764.2699999999998</v>
      </c>
      <c r="C16" s="3" t="s">
        <v>261</v>
      </c>
      <c r="D16" s="8">
        <v>77</v>
      </c>
      <c r="E16" s="3" t="s">
        <v>137</v>
      </c>
      <c r="F16" s="8">
        <v>245637.15000000002</v>
      </c>
    </row>
    <row r="17" spans="1:6" x14ac:dyDescent="0.25">
      <c r="A17" s="3" t="s">
        <v>86</v>
      </c>
      <c r="B17" s="8">
        <v>1247.2099999999996</v>
      </c>
      <c r="C17" s="3" t="s">
        <v>202</v>
      </c>
      <c r="D17" s="8">
        <v>301</v>
      </c>
      <c r="E17" s="3" t="s">
        <v>62</v>
      </c>
      <c r="F17" s="8">
        <v>329581.91000000015</v>
      </c>
    </row>
    <row r="18" spans="1:6" x14ac:dyDescent="0.25">
      <c r="A18" s="3" t="s">
        <v>62</v>
      </c>
      <c r="B18" s="8">
        <v>1820.9099999999999</v>
      </c>
      <c r="C18" s="3" t="s">
        <v>226</v>
      </c>
      <c r="D18" s="8">
        <v>607</v>
      </c>
      <c r="E18" s="3" t="s">
        <v>29</v>
      </c>
      <c r="F18" s="8">
        <v>1110916.5200000003</v>
      </c>
    </row>
    <row r="19" spans="1:6" x14ac:dyDescent="0.25">
      <c r="A19" s="3" t="s">
        <v>107</v>
      </c>
      <c r="B19" s="8">
        <v>2334.81</v>
      </c>
      <c r="C19" s="3" t="s">
        <v>332</v>
      </c>
      <c r="D19" s="8">
        <v>2823</v>
      </c>
      <c r="E19" s="3" t="s">
        <v>180</v>
      </c>
      <c r="F19" s="8">
        <v>220472.08999999994</v>
      </c>
    </row>
    <row r="20" spans="1:6" x14ac:dyDescent="0.25">
      <c r="A20" s="3" t="s">
        <v>137</v>
      </c>
      <c r="B20" s="8">
        <v>2472.150000000001</v>
      </c>
      <c r="E20" s="3" t="s">
        <v>195</v>
      </c>
      <c r="F20" s="8">
        <v>57756.430000000008</v>
      </c>
    </row>
    <row r="21" spans="1:6" x14ac:dyDescent="0.25">
      <c r="A21" s="3" t="s">
        <v>80</v>
      </c>
      <c r="B21" s="8">
        <v>2916.9200000000155</v>
      </c>
      <c r="E21" s="3" t="s">
        <v>110</v>
      </c>
      <c r="F21" s="8">
        <v>374674.30999999971</v>
      </c>
    </row>
    <row r="22" spans="1:6" x14ac:dyDescent="0.25">
      <c r="A22" s="3" t="s">
        <v>195</v>
      </c>
      <c r="B22" s="8">
        <v>3414.4300000000003</v>
      </c>
      <c r="E22" s="3" t="s">
        <v>107</v>
      </c>
      <c r="F22" s="8">
        <v>188167.80999999997</v>
      </c>
    </row>
    <row r="23" spans="1:6" x14ac:dyDescent="0.25">
      <c r="A23" s="3" t="s">
        <v>180</v>
      </c>
      <c r="B23" s="8">
        <v>4520.0900000000011</v>
      </c>
      <c r="E23" s="3" t="s">
        <v>44</v>
      </c>
      <c r="F23" s="8">
        <v>307463.70000000007</v>
      </c>
    </row>
    <row r="24" spans="1:6" x14ac:dyDescent="0.25">
      <c r="A24" s="3" t="s">
        <v>44</v>
      </c>
      <c r="B24" s="8">
        <v>5923.7000000000007</v>
      </c>
      <c r="E24" s="3" t="s">
        <v>175</v>
      </c>
      <c r="F24" s="8">
        <v>94015.73</v>
      </c>
    </row>
    <row r="25" spans="1:6" x14ac:dyDescent="0.25">
      <c r="A25" s="3" t="s">
        <v>110</v>
      </c>
      <c r="B25" s="8">
        <v>5975.310000000004</v>
      </c>
      <c r="E25" s="3" t="s">
        <v>89</v>
      </c>
      <c r="F25" s="8">
        <v>288488.41000000015</v>
      </c>
    </row>
    <row r="26" spans="1:6" x14ac:dyDescent="0.25">
      <c r="A26" s="3" t="s">
        <v>49</v>
      </c>
      <c r="B26" s="8">
        <v>6796.0999999999985</v>
      </c>
      <c r="E26" s="3" t="s">
        <v>80</v>
      </c>
      <c r="F26" s="8">
        <v>1215686.9199999997</v>
      </c>
    </row>
    <row r="27" spans="1:6" x14ac:dyDescent="0.25">
      <c r="A27" s="3" t="s">
        <v>22</v>
      </c>
      <c r="B27" s="8">
        <v>30054.830000000042</v>
      </c>
      <c r="C27" s="2" t="s">
        <v>331</v>
      </c>
      <c r="D27" t="s">
        <v>330</v>
      </c>
      <c r="E27" s="3" t="s">
        <v>86</v>
      </c>
      <c r="F27" s="8">
        <v>210014.20999999996</v>
      </c>
    </row>
    <row r="28" spans="1:6" x14ac:dyDescent="0.25">
      <c r="A28" s="3" t="s">
        <v>332</v>
      </c>
      <c r="B28" s="8">
        <v>35286.850000000064</v>
      </c>
      <c r="C28" s="3" t="s">
        <v>142</v>
      </c>
      <c r="D28" s="8">
        <v>3339.4399999999996</v>
      </c>
      <c r="E28" s="3" t="s">
        <v>183</v>
      </c>
      <c r="F28" s="8">
        <v>117713.56</v>
      </c>
    </row>
    <row r="29" spans="1:6" x14ac:dyDescent="0.25">
      <c r="A29" s="2" t="s">
        <v>331</v>
      </c>
      <c r="B29" t="s">
        <v>330</v>
      </c>
      <c r="C29" s="3" t="s">
        <v>108</v>
      </c>
      <c r="D29" s="8">
        <v>2825.2600000000007</v>
      </c>
      <c r="E29" s="3" t="s">
        <v>77</v>
      </c>
      <c r="F29" s="8">
        <v>478880.46000000025</v>
      </c>
    </row>
    <row r="30" spans="1:6" x14ac:dyDescent="0.25">
      <c r="A30" s="3" t="s">
        <v>50</v>
      </c>
      <c r="B30" s="8">
        <v>4583.0500000000011</v>
      </c>
      <c r="C30" s="3" t="s">
        <v>121</v>
      </c>
      <c r="D30" s="8">
        <v>1046.1300000000015</v>
      </c>
      <c r="E30" s="3" t="s">
        <v>22</v>
      </c>
      <c r="F30" s="8">
        <v>3627982.8300000024</v>
      </c>
    </row>
    <row r="31" spans="1:6" x14ac:dyDescent="0.25">
      <c r="A31" s="3" t="s">
        <v>30</v>
      </c>
      <c r="B31" s="8">
        <v>2875.4100000000612</v>
      </c>
      <c r="C31" s="3" t="s">
        <v>130</v>
      </c>
      <c r="D31" s="8">
        <v>-824.04000000000008</v>
      </c>
      <c r="E31" s="3" t="s">
        <v>332</v>
      </c>
      <c r="F31" s="8">
        <v>10032628.850000003</v>
      </c>
    </row>
    <row r="32" spans="1:6" x14ac:dyDescent="0.25">
      <c r="A32" s="3" t="s">
        <v>23</v>
      </c>
      <c r="B32" s="8">
        <v>27828.390000000079</v>
      </c>
      <c r="C32" s="3" t="s">
        <v>229</v>
      </c>
      <c r="D32" s="8">
        <v>1839.4600000000007</v>
      </c>
    </row>
    <row r="33" spans="1:4" x14ac:dyDescent="0.25">
      <c r="A33" s="3" t="s">
        <v>332</v>
      </c>
      <c r="B33" s="8">
        <v>35286.850000000144</v>
      </c>
      <c r="C33" s="3" t="s">
        <v>47</v>
      </c>
      <c r="D33" s="8">
        <v>1452.4100000000008</v>
      </c>
    </row>
    <row r="34" spans="1:4" x14ac:dyDescent="0.25">
      <c r="C34" s="3" t="s">
        <v>91</v>
      </c>
      <c r="D34" s="8">
        <v>-474.87999999999954</v>
      </c>
    </row>
    <row r="35" spans="1:4" x14ac:dyDescent="0.25">
      <c r="A35" s="2" t="s">
        <v>331</v>
      </c>
      <c r="B35" t="s">
        <v>330</v>
      </c>
      <c r="C35" s="3" t="s">
        <v>113</v>
      </c>
      <c r="D35" s="8">
        <v>-394.67999999999972</v>
      </c>
    </row>
    <row r="36" spans="1:4" x14ac:dyDescent="0.25">
      <c r="A36" s="3" t="s">
        <v>347</v>
      </c>
      <c r="B36" s="8">
        <v>-10828.560000000005</v>
      </c>
      <c r="C36" s="3" t="s">
        <v>46</v>
      </c>
      <c r="D36" s="8">
        <v>-300.34000000000015</v>
      </c>
    </row>
    <row r="37" spans="1:4" x14ac:dyDescent="0.25">
      <c r="A37" s="3" t="s">
        <v>348</v>
      </c>
      <c r="B37" s="8">
        <v>9545.9</v>
      </c>
      <c r="C37" s="3" t="s">
        <v>256</v>
      </c>
      <c r="D37" s="8">
        <v>1685.2600000000002</v>
      </c>
    </row>
    <row r="38" spans="1:4" x14ac:dyDescent="0.25">
      <c r="A38" s="3" t="s">
        <v>349</v>
      </c>
      <c r="B38" s="8">
        <v>9921.390000000014</v>
      </c>
      <c r="C38" s="3" t="s">
        <v>197</v>
      </c>
      <c r="D38" s="8">
        <v>-5116.1900000000005</v>
      </c>
    </row>
    <row r="39" spans="1:4" x14ac:dyDescent="0.25">
      <c r="A39" s="3" t="s">
        <v>350</v>
      </c>
      <c r="B39" s="8">
        <v>-3616.0400000000036</v>
      </c>
      <c r="C39" s="3" t="s">
        <v>63</v>
      </c>
      <c r="D39" s="8">
        <v>1010.1899999999987</v>
      </c>
    </row>
    <row r="40" spans="1:4" x14ac:dyDescent="0.25">
      <c r="A40" s="3" t="s">
        <v>351</v>
      </c>
      <c r="B40" s="8">
        <v>4612.5600000000077</v>
      </c>
      <c r="C40" s="3" t="s">
        <v>236</v>
      </c>
      <c r="D40" s="8">
        <v>1137.9199999999998</v>
      </c>
    </row>
    <row r="41" spans="1:4" x14ac:dyDescent="0.25">
      <c r="A41" s="3" t="s">
        <v>352</v>
      </c>
      <c r="B41" s="8">
        <v>-4444.2200000000012</v>
      </c>
      <c r="C41" s="3" t="s">
        <v>187</v>
      </c>
      <c r="D41" s="8">
        <v>1557.5899999999997</v>
      </c>
    </row>
    <row r="42" spans="1:4" x14ac:dyDescent="0.25">
      <c r="A42" s="3" t="s">
        <v>353</v>
      </c>
      <c r="B42" s="8">
        <v>4593.9700000000012</v>
      </c>
      <c r="C42" s="3" t="s">
        <v>207</v>
      </c>
      <c r="D42" s="8">
        <v>-285.65000000000003</v>
      </c>
    </row>
    <row r="43" spans="1:4" x14ac:dyDescent="0.25">
      <c r="A43" s="3" t="s">
        <v>354</v>
      </c>
      <c r="B43" s="8">
        <v>-5887.4299999999976</v>
      </c>
      <c r="C43" s="3" t="s">
        <v>196</v>
      </c>
      <c r="D43" s="8">
        <v>-2151.9500000000003</v>
      </c>
    </row>
    <row r="44" spans="1:4" x14ac:dyDescent="0.25">
      <c r="A44" s="3" t="s">
        <v>355</v>
      </c>
      <c r="B44" s="8">
        <v>9193.2700000000023</v>
      </c>
      <c r="C44" s="3" t="s">
        <v>102</v>
      </c>
      <c r="D44" s="8">
        <v>1623.62</v>
      </c>
    </row>
    <row r="45" spans="1:4" x14ac:dyDescent="0.25">
      <c r="A45" s="3" t="s">
        <v>356</v>
      </c>
      <c r="B45" s="8">
        <v>18138.220000000019</v>
      </c>
      <c r="C45" s="3" t="s">
        <v>97</v>
      </c>
      <c r="D45" s="8">
        <v>-935.07999999999993</v>
      </c>
    </row>
    <row r="46" spans="1:4" x14ac:dyDescent="0.25">
      <c r="A46" s="3" t="s">
        <v>357</v>
      </c>
      <c r="B46" s="8">
        <v>2052.6699999999942</v>
      </c>
      <c r="C46" s="3" t="s">
        <v>93</v>
      </c>
      <c r="D46" s="8">
        <v>951.97</v>
      </c>
    </row>
    <row r="47" spans="1:4" x14ac:dyDescent="0.25">
      <c r="A47" s="3" t="s">
        <v>358</v>
      </c>
      <c r="B47" s="8">
        <v>2005.1200000000008</v>
      </c>
      <c r="C47" s="3" t="s">
        <v>90</v>
      </c>
      <c r="D47" s="8">
        <v>2946.1999999999989</v>
      </c>
    </row>
    <row r="48" spans="1:4" x14ac:dyDescent="0.25">
      <c r="A48" s="3" t="s">
        <v>332</v>
      </c>
      <c r="B48" s="8">
        <v>35286.850000000035</v>
      </c>
      <c r="C48" s="3" t="s">
        <v>193</v>
      </c>
      <c r="D48" s="8">
        <v>3414.4300000000003</v>
      </c>
    </row>
    <row r="49" spans="1:4" x14ac:dyDescent="0.25">
      <c r="C49" s="3" t="s">
        <v>149</v>
      </c>
      <c r="D49" s="8">
        <v>-2393.7699999999995</v>
      </c>
    </row>
    <row r="50" spans="1:4" x14ac:dyDescent="0.25">
      <c r="A50" s="2" t="s">
        <v>331</v>
      </c>
      <c r="B50" t="s">
        <v>330</v>
      </c>
      <c r="C50" s="3" t="s">
        <v>119</v>
      </c>
      <c r="D50" s="8">
        <v>-1454.0200000000007</v>
      </c>
    </row>
    <row r="51" spans="1:4" x14ac:dyDescent="0.25">
      <c r="A51" s="3" t="s">
        <v>28</v>
      </c>
      <c r="B51" s="8">
        <v>-7902.06</v>
      </c>
      <c r="C51" s="3" t="s">
        <v>36</v>
      </c>
      <c r="D51" s="8">
        <v>3145.4999999999991</v>
      </c>
    </row>
    <row r="52" spans="1:4" x14ac:dyDescent="0.25">
      <c r="A52" s="3" t="s">
        <v>222</v>
      </c>
      <c r="B52" s="8">
        <v>-6210.92</v>
      </c>
      <c r="C52" s="3" t="s">
        <v>87</v>
      </c>
      <c r="D52" s="8">
        <v>28.28000000000084</v>
      </c>
    </row>
    <row r="53" spans="1:4" x14ac:dyDescent="0.25">
      <c r="A53" s="3" t="s">
        <v>177</v>
      </c>
      <c r="B53" s="8">
        <v>-5592.86</v>
      </c>
      <c r="C53" s="3" t="s">
        <v>173</v>
      </c>
      <c r="D53" s="8">
        <v>-1764.2699999999998</v>
      </c>
    </row>
    <row r="54" spans="1:4" x14ac:dyDescent="0.25">
      <c r="A54" s="3" t="s">
        <v>198</v>
      </c>
      <c r="B54" s="8">
        <v>-5116.1900000000005</v>
      </c>
      <c r="C54" s="3" t="s">
        <v>40</v>
      </c>
      <c r="D54" s="8">
        <v>461.40999999999963</v>
      </c>
    </row>
    <row r="55" spans="1:4" x14ac:dyDescent="0.25">
      <c r="A55" s="3" t="s">
        <v>182</v>
      </c>
      <c r="B55" s="8">
        <v>-4168.4399999999987</v>
      </c>
      <c r="C55" s="3" t="s">
        <v>135</v>
      </c>
      <c r="D55" s="8">
        <v>1637.6000000000004</v>
      </c>
    </row>
    <row r="56" spans="1:4" x14ac:dyDescent="0.25">
      <c r="A56" s="3" t="s">
        <v>68</v>
      </c>
      <c r="B56" s="8">
        <v>-3707.37</v>
      </c>
      <c r="C56" s="3" t="s">
        <v>65</v>
      </c>
      <c r="D56" s="8">
        <v>3717.1400000000003</v>
      </c>
    </row>
    <row r="57" spans="1:4" x14ac:dyDescent="0.25">
      <c r="A57" s="3" t="s">
        <v>120</v>
      </c>
      <c r="B57" s="8">
        <v>-3137.8000000000015</v>
      </c>
      <c r="C57" s="3" t="s">
        <v>170</v>
      </c>
      <c r="D57" s="8">
        <v>-618.22</v>
      </c>
    </row>
    <row r="58" spans="1:4" x14ac:dyDescent="0.25">
      <c r="A58" s="3" t="s">
        <v>168</v>
      </c>
      <c r="B58" s="8">
        <v>-3125.1000000000004</v>
      </c>
      <c r="C58" s="3" t="s">
        <v>144</v>
      </c>
      <c r="D58" s="8">
        <v>2066.04</v>
      </c>
    </row>
    <row r="59" spans="1:4" x14ac:dyDescent="0.25">
      <c r="A59" s="3" t="s">
        <v>89</v>
      </c>
      <c r="B59" s="8">
        <v>-2783.5900000000006</v>
      </c>
      <c r="C59" s="3" t="s">
        <v>88</v>
      </c>
      <c r="D59" s="8">
        <v>-606.32000000000119</v>
      </c>
    </row>
    <row r="60" spans="1:4" x14ac:dyDescent="0.25">
      <c r="A60" s="3" t="s">
        <v>150</v>
      </c>
      <c r="B60" s="8">
        <v>-2393.7699999999995</v>
      </c>
      <c r="C60" s="3" t="s">
        <v>145</v>
      </c>
      <c r="D60" s="8">
        <v>1505.860000000001</v>
      </c>
    </row>
    <row r="61" spans="1:4" x14ac:dyDescent="0.25">
      <c r="A61" s="3" t="s">
        <v>124</v>
      </c>
      <c r="B61" s="8">
        <v>-2228.21</v>
      </c>
      <c r="C61" s="3" t="s">
        <v>78</v>
      </c>
      <c r="D61" s="8">
        <v>3819.1099999999988</v>
      </c>
    </row>
    <row r="62" spans="1:4" x14ac:dyDescent="0.25">
      <c r="A62" s="3" t="s">
        <v>152</v>
      </c>
      <c r="B62" s="8">
        <v>-2172.4799999999991</v>
      </c>
      <c r="C62" s="3" t="s">
        <v>73</v>
      </c>
      <c r="D62" s="8">
        <v>2803.7300000000009</v>
      </c>
    </row>
    <row r="63" spans="1:4" x14ac:dyDescent="0.25">
      <c r="A63" s="3" t="s">
        <v>76</v>
      </c>
      <c r="B63" s="8">
        <v>-2089.7300000000005</v>
      </c>
      <c r="C63" s="3" t="s">
        <v>54</v>
      </c>
      <c r="D63" s="8">
        <v>-1181.2100000000003</v>
      </c>
    </row>
    <row r="64" spans="1:4" x14ac:dyDescent="0.25">
      <c r="A64" s="3" t="s">
        <v>161</v>
      </c>
      <c r="B64" s="8">
        <v>-2018.6199999999994</v>
      </c>
      <c r="C64" s="3" t="s">
        <v>235</v>
      </c>
      <c r="D64" s="8">
        <v>746.41999999999985</v>
      </c>
    </row>
    <row r="65" spans="1:4" x14ac:dyDescent="0.25">
      <c r="A65" s="3" t="s">
        <v>101</v>
      </c>
      <c r="B65" s="8">
        <v>-2008.3600000000001</v>
      </c>
      <c r="C65" s="3" t="s">
        <v>156</v>
      </c>
      <c r="D65" s="8">
        <v>1225.8799999999999</v>
      </c>
    </row>
    <row r="66" spans="1:4" x14ac:dyDescent="0.25">
      <c r="A66" s="3" t="s">
        <v>174</v>
      </c>
      <c r="B66" s="8">
        <v>-1764.2699999999998</v>
      </c>
      <c r="C66" s="3" t="s">
        <v>158</v>
      </c>
      <c r="D66" s="8">
        <v>-1369.1599999999999</v>
      </c>
    </row>
    <row r="67" spans="1:4" x14ac:dyDescent="0.25">
      <c r="A67" s="3" t="s">
        <v>128</v>
      </c>
      <c r="B67" s="8">
        <v>-1542.9299999999998</v>
      </c>
      <c r="C67" s="3" t="s">
        <v>171</v>
      </c>
      <c r="D67" s="8">
        <v>-2177.2700000000004</v>
      </c>
    </row>
    <row r="68" spans="1:4" x14ac:dyDescent="0.25">
      <c r="A68" s="3" t="s">
        <v>159</v>
      </c>
      <c r="B68" s="8">
        <v>-1369.1599999999999</v>
      </c>
      <c r="C68" s="3" t="s">
        <v>199</v>
      </c>
      <c r="D68" s="8">
        <v>834.55000000000018</v>
      </c>
    </row>
    <row r="69" spans="1:4" x14ac:dyDescent="0.25">
      <c r="A69" s="3" t="s">
        <v>218</v>
      </c>
      <c r="B69" s="8">
        <v>-1364.52</v>
      </c>
      <c r="C69" s="3" t="s">
        <v>42</v>
      </c>
      <c r="D69" s="8">
        <v>3447.28</v>
      </c>
    </row>
    <row r="70" spans="1:4" x14ac:dyDescent="0.25">
      <c r="A70" s="3" t="s">
        <v>96</v>
      </c>
      <c r="B70" s="8">
        <v>-1279.75</v>
      </c>
      <c r="C70" s="3" t="s">
        <v>212</v>
      </c>
      <c r="D70" s="8">
        <v>-284.37999999999977</v>
      </c>
    </row>
    <row r="71" spans="1:4" x14ac:dyDescent="0.25">
      <c r="A71" s="3" t="s">
        <v>55</v>
      </c>
      <c r="B71" s="8">
        <v>-1181.2100000000003</v>
      </c>
      <c r="C71" s="3" t="s">
        <v>166</v>
      </c>
      <c r="D71" s="8">
        <v>600.67999999999824</v>
      </c>
    </row>
    <row r="72" spans="1:4" x14ac:dyDescent="0.25">
      <c r="A72" s="3" t="s">
        <v>112</v>
      </c>
      <c r="B72" s="8">
        <v>-1120.6700000000012</v>
      </c>
      <c r="C72" s="3" t="s">
        <v>56</v>
      </c>
      <c r="D72" s="8">
        <v>3418.9000000000024</v>
      </c>
    </row>
    <row r="73" spans="1:4" x14ac:dyDescent="0.25">
      <c r="A73" s="3" t="s">
        <v>190</v>
      </c>
      <c r="B73" s="8">
        <v>-980.85000000000059</v>
      </c>
      <c r="C73" s="3" t="s">
        <v>20</v>
      </c>
      <c r="D73" s="8">
        <v>395.43999999999846</v>
      </c>
    </row>
    <row r="74" spans="1:4" x14ac:dyDescent="0.25">
      <c r="A74" s="3" t="s">
        <v>98</v>
      </c>
      <c r="B74" s="8">
        <v>-935.07999999999993</v>
      </c>
      <c r="C74" s="3" t="s">
        <v>184</v>
      </c>
      <c r="D74" s="8">
        <v>3475.3300000000008</v>
      </c>
    </row>
    <row r="75" spans="1:4" x14ac:dyDescent="0.25">
      <c r="A75" s="3" t="s">
        <v>74</v>
      </c>
      <c r="B75" s="8">
        <v>-775.13999999999828</v>
      </c>
      <c r="C75" s="3" t="s">
        <v>31</v>
      </c>
      <c r="D75" s="8">
        <v>4715.3400000000011</v>
      </c>
    </row>
    <row r="76" spans="1:4" x14ac:dyDescent="0.25">
      <c r="A76" s="3" t="s">
        <v>132</v>
      </c>
      <c r="B76" s="8">
        <v>-744.00999999999976</v>
      </c>
      <c r="C76" s="3" t="s">
        <v>176</v>
      </c>
      <c r="D76" s="8">
        <v>-5592.86</v>
      </c>
    </row>
    <row r="77" spans="1:4" x14ac:dyDescent="0.25">
      <c r="A77" s="3" t="s">
        <v>92</v>
      </c>
      <c r="B77" s="8">
        <v>-474.87999999999954</v>
      </c>
      <c r="C77" s="3" t="s">
        <v>58</v>
      </c>
      <c r="D77" s="8">
        <v>3238.3799999999992</v>
      </c>
    </row>
    <row r="78" spans="1:4" x14ac:dyDescent="0.25">
      <c r="A78" s="3" t="s">
        <v>114</v>
      </c>
      <c r="B78" s="8">
        <v>-394.67999999999972</v>
      </c>
      <c r="C78" s="3" t="s">
        <v>147</v>
      </c>
      <c r="D78" s="8">
        <v>1932.4600000000003</v>
      </c>
    </row>
    <row r="79" spans="1:4" x14ac:dyDescent="0.25">
      <c r="A79" s="3" t="s">
        <v>228</v>
      </c>
      <c r="B79" s="8">
        <v>-325.28000000000026</v>
      </c>
      <c r="C79" s="3" t="s">
        <v>204</v>
      </c>
      <c r="D79" s="8">
        <v>1062.9299999999998</v>
      </c>
    </row>
    <row r="80" spans="1:4" x14ac:dyDescent="0.25">
      <c r="A80" s="3" t="s">
        <v>213</v>
      </c>
      <c r="B80" s="8">
        <v>-284.37999999999977</v>
      </c>
      <c r="C80" s="3" t="s">
        <v>167</v>
      </c>
      <c r="D80" s="8">
        <v>-3125.1000000000004</v>
      </c>
    </row>
    <row r="81" spans="1:4" x14ac:dyDescent="0.25">
      <c r="A81" s="3" t="s">
        <v>239</v>
      </c>
      <c r="B81" s="8">
        <v>-205.89999999999992</v>
      </c>
      <c r="C81" s="3" t="s">
        <v>217</v>
      </c>
      <c r="D81" s="8">
        <v>-1364.52</v>
      </c>
    </row>
    <row r="82" spans="1:4" x14ac:dyDescent="0.25">
      <c r="A82" s="3" t="s">
        <v>35</v>
      </c>
      <c r="B82" s="8">
        <v>-197.03999999999974</v>
      </c>
      <c r="C82" s="3" t="s">
        <v>131</v>
      </c>
      <c r="D82" s="8">
        <v>-744.00999999999976</v>
      </c>
    </row>
    <row r="83" spans="1:4" x14ac:dyDescent="0.25">
      <c r="A83" s="3" t="s">
        <v>94</v>
      </c>
      <c r="B83" s="8">
        <v>-136.87</v>
      </c>
      <c r="C83" s="3" t="s">
        <v>140</v>
      </c>
      <c r="D83" s="8">
        <v>-3578.869999999999</v>
      </c>
    </row>
    <row r="84" spans="1:4" x14ac:dyDescent="0.25">
      <c r="A84" s="3" t="s">
        <v>53</v>
      </c>
      <c r="B84" s="8">
        <v>174.19000000000011</v>
      </c>
      <c r="C84" s="3" t="s">
        <v>115</v>
      </c>
      <c r="D84" s="8">
        <v>3155.0599999999945</v>
      </c>
    </row>
    <row r="85" spans="1:4" x14ac:dyDescent="0.25">
      <c r="A85" s="3" t="s">
        <v>208</v>
      </c>
      <c r="B85" s="8">
        <v>460.77000000000021</v>
      </c>
      <c r="C85" s="3" t="s">
        <v>45</v>
      </c>
      <c r="D85" s="8">
        <v>1582.1799999999994</v>
      </c>
    </row>
    <row r="86" spans="1:4" x14ac:dyDescent="0.25">
      <c r="A86" s="3" t="s">
        <v>41</v>
      </c>
      <c r="B86" s="8">
        <v>461.40999999999963</v>
      </c>
      <c r="C86" s="3" t="s">
        <v>129</v>
      </c>
      <c r="D86" s="8">
        <v>-1088.8399999999997</v>
      </c>
    </row>
    <row r="87" spans="1:4" x14ac:dyDescent="0.25">
      <c r="A87" s="3" t="s">
        <v>157</v>
      </c>
      <c r="B87" s="8">
        <v>607.65999999999985</v>
      </c>
      <c r="C87" s="3" t="s">
        <v>192</v>
      </c>
      <c r="D87" s="8">
        <v>5354.94</v>
      </c>
    </row>
    <row r="88" spans="1:4" x14ac:dyDescent="0.25">
      <c r="A88" s="3" t="s">
        <v>200</v>
      </c>
      <c r="B88" s="8">
        <v>834.55000000000018</v>
      </c>
      <c r="C88" s="3" t="s">
        <v>223</v>
      </c>
      <c r="D88" s="8">
        <v>1466.2299999999996</v>
      </c>
    </row>
    <row r="89" spans="1:4" x14ac:dyDescent="0.25">
      <c r="A89" s="3" t="s">
        <v>155</v>
      </c>
      <c r="B89" s="8">
        <v>936.85</v>
      </c>
      <c r="C89" s="3" t="s">
        <v>117</v>
      </c>
      <c r="D89" s="8">
        <v>1471.3000000000002</v>
      </c>
    </row>
    <row r="90" spans="1:4" x14ac:dyDescent="0.25">
      <c r="A90" s="3" t="s">
        <v>64</v>
      </c>
      <c r="B90" s="8">
        <v>1010.1899999999987</v>
      </c>
      <c r="C90" s="3" t="s">
        <v>186</v>
      </c>
      <c r="D90" s="8">
        <v>-3369.04</v>
      </c>
    </row>
    <row r="91" spans="1:4" x14ac:dyDescent="0.25">
      <c r="A91" s="3" t="s">
        <v>122</v>
      </c>
      <c r="B91" s="8">
        <v>1046.1300000000015</v>
      </c>
      <c r="C91" s="3" t="s">
        <v>127</v>
      </c>
      <c r="D91" s="8">
        <v>-1542.9299999999998</v>
      </c>
    </row>
    <row r="92" spans="1:4" x14ac:dyDescent="0.25">
      <c r="A92" s="3" t="s">
        <v>237</v>
      </c>
      <c r="B92" s="8">
        <v>1137.9199999999998</v>
      </c>
      <c r="C92" s="3" t="s">
        <v>160</v>
      </c>
      <c r="D92" s="8">
        <v>-2018.6199999999994</v>
      </c>
    </row>
    <row r="93" spans="1:4" x14ac:dyDescent="0.25">
      <c r="A93" s="3" t="s">
        <v>163</v>
      </c>
      <c r="B93" s="8">
        <v>1310.2700000000004</v>
      </c>
      <c r="C93" s="3" t="s">
        <v>151</v>
      </c>
      <c r="D93" s="8">
        <v>-2172.4799999999991</v>
      </c>
    </row>
    <row r="94" spans="1:4" x14ac:dyDescent="0.25">
      <c r="A94" s="3" t="s">
        <v>48</v>
      </c>
      <c r="B94" s="8">
        <v>1452.4100000000008</v>
      </c>
      <c r="C94" s="3" t="s">
        <v>123</v>
      </c>
      <c r="D94" s="8">
        <v>-2228.21</v>
      </c>
    </row>
    <row r="95" spans="1:4" x14ac:dyDescent="0.25">
      <c r="A95" s="3" t="s">
        <v>224</v>
      </c>
      <c r="B95" s="8">
        <v>1466.2299999999996</v>
      </c>
      <c r="C95" s="3" t="s">
        <v>27</v>
      </c>
      <c r="D95" s="8">
        <v>-7902.06</v>
      </c>
    </row>
    <row r="96" spans="1:4" x14ac:dyDescent="0.25">
      <c r="A96" s="3" t="s">
        <v>118</v>
      </c>
      <c r="B96" s="8">
        <v>1471.3000000000002</v>
      </c>
      <c r="C96" s="3" t="s">
        <v>227</v>
      </c>
      <c r="D96" s="8">
        <v>-325.28000000000026</v>
      </c>
    </row>
    <row r="97" spans="1:4" x14ac:dyDescent="0.25">
      <c r="A97" s="3" t="s">
        <v>146</v>
      </c>
      <c r="B97" s="8">
        <v>1505.860000000001</v>
      </c>
      <c r="C97" s="3" t="s">
        <v>154</v>
      </c>
      <c r="D97" s="8">
        <v>936.85</v>
      </c>
    </row>
    <row r="98" spans="1:4" x14ac:dyDescent="0.25">
      <c r="A98" s="3" t="s">
        <v>188</v>
      </c>
      <c r="B98" s="8">
        <v>1557.5899999999997</v>
      </c>
      <c r="C98" s="3" t="s">
        <v>238</v>
      </c>
      <c r="D98" s="8">
        <v>-205.89999999999992</v>
      </c>
    </row>
    <row r="99" spans="1:4" x14ac:dyDescent="0.25">
      <c r="A99" s="3" t="s">
        <v>136</v>
      </c>
      <c r="B99" s="8">
        <v>1637.6000000000004</v>
      </c>
      <c r="C99" s="3" t="s">
        <v>67</v>
      </c>
      <c r="D99" s="8">
        <v>-3707.37</v>
      </c>
    </row>
    <row r="100" spans="1:4" x14ac:dyDescent="0.25">
      <c r="A100" s="3" t="s">
        <v>139</v>
      </c>
      <c r="B100" s="8">
        <v>1661.54</v>
      </c>
      <c r="C100" s="3" t="s">
        <v>95</v>
      </c>
      <c r="D100" s="8">
        <v>-1279.75</v>
      </c>
    </row>
    <row r="101" spans="1:4" x14ac:dyDescent="0.25">
      <c r="A101" s="3" t="s">
        <v>79</v>
      </c>
      <c r="B101" s="8">
        <v>1695.4400000000087</v>
      </c>
      <c r="C101" s="3" t="s">
        <v>111</v>
      </c>
      <c r="D101" s="8">
        <v>-1120.6700000000012</v>
      </c>
    </row>
    <row r="102" spans="1:4" x14ac:dyDescent="0.25">
      <c r="A102" s="3" t="s">
        <v>179</v>
      </c>
      <c r="B102" s="8">
        <v>1824.5799999999992</v>
      </c>
      <c r="C102" s="3" t="s">
        <v>214</v>
      </c>
      <c r="D102" s="8">
        <v>2447.5100000000007</v>
      </c>
    </row>
    <row r="103" spans="1:4" x14ac:dyDescent="0.25">
      <c r="A103" s="3" t="s">
        <v>230</v>
      </c>
      <c r="B103" s="8">
        <v>1839.4600000000007</v>
      </c>
      <c r="C103" s="3" t="s">
        <v>221</v>
      </c>
      <c r="D103" s="8">
        <v>-6210.92</v>
      </c>
    </row>
    <row r="104" spans="1:4" x14ac:dyDescent="0.25">
      <c r="A104" s="3" t="s">
        <v>148</v>
      </c>
      <c r="B104" s="8">
        <v>1932.4600000000003</v>
      </c>
      <c r="C104" s="3" t="s">
        <v>71</v>
      </c>
      <c r="D104" s="8">
        <v>2932.9799999999996</v>
      </c>
    </row>
    <row r="105" spans="1:4" x14ac:dyDescent="0.25">
      <c r="A105" s="3" t="s">
        <v>85</v>
      </c>
      <c r="B105" s="8">
        <v>2367.8799999999997</v>
      </c>
      <c r="C105" s="3" t="s">
        <v>138</v>
      </c>
      <c r="D105" s="8">
        <v>-404.50000000000006</v>
      </c>
    </row>
    <row r="106" spans="1:4" x14ac:dyDescent="0.25">
      <c r="A106" s="3" t="s">
        <v>215</v>
      </c>
      <c r="B106" s="8">
        <v>2447.5100000000007</v>
      </c>
      <c r="C106" s="3" t="s">
        <v>189</v>
      </c>
      <c r="D106" s="8">
        <v>-980.85000000000059</v>
      </c>
    </row>
    <row r="107" spans="1:4" x14ac:dyDescent="0.25">
      <c r="A107" s="3" t="s">
        <v>57</v>
      </c>
      <c r="B107" s="8">
        <v>2594.8600000000015</v>
      </c>
      <c r="C107" s="3" t="s">
        <v>103</v>
      </c>
      <c r="D107" s="8">
        <v>3025.0700000000006</v>
      </c>
    </row>
    <row r="108" spans="1:4" x14ac:dyDescent="0.25">
      <c r="A108" s="3" t="s">
        <v>109</v>
      </c>
      <c r="B108" s="8">
        <v>2825.2600000000007</v>
      </c>
      <c r="C108" s="3" t="s">
        <v>38</v>
      </c>
      <c r="D108" s="8">
        <v>3212.0699999999997</v>
      </c>
    </row>
    <row r="109" spans="1:4" x14ac:dyDescent="0.25">
      <c r="A109" s="3" t="s">
        <v>72</v>
      </c>
      <c r="B109" s="8">
        <v>2932.9799999999996</v>
      </c>
      <c r="C109" s="3" t="s">
        <v>52</v>
      </c>
      <c r="D109" s="8">
        <v>174.19000000000011</v>
      </c>
    </row>
    <row r="110" spans="1:4" x14ac:dyDescent="0.25">
      <c r="A110" s="3" t="s">
        <v>104</v>
      </c>
      <c r="B110" s="8">
        <v>3025.0700000000006</v>
      </c>
      <c r="C110" s="3" t="s">
        <v>162</v>
      </c>
      <c r="D110" s="8">
        <v>1310.2700000000004</v>
      </c>
    </row>
    <row r="111" spans="1:4" x14ac:dyDescent="0.25">
      <c r="A111" s="3" t="s">
        <v>116</v>
      </c>
      <c r="B111" s="8">
        <v>3155.0599999999945</v>
      </c>
      <c r="C111" s="3" t="s">
        <v>105</v>
      </c>
      <c r="D111" s="8">
        <v>3877.7400000000007</v>
      </c>
    </row>
    <row r="112" spans="1:4" x14ac:dyDescent="0.25">
      <c r="A112" s="3" t="s">
        <v>39</v>
      </c>
      <c r="B112" s="8">
        <v>3212.0699999999997</v>
      </c>
      <c r="C112" s="3" t="s">
        <v>178</v>
      </c>
      <c r="D112" s="8">
        <v>1824.5799999999992</v>
      </c>
    </row>
    <row r="113" spans="1:4" x14ac:dyDescent="0.25">
      <c r="A113" s="3" t="s">
        <v>143</v>
      </c>
      <c r="B113" s="8">
        <v>3339.4399999999996</v>
      </c>
      <c r="C113" s="3" t="s">
        <v>60</v>
      </c>
      <c r="D113" s="8">
        <v>4820.380000000001</v>
      </c>
    </row>
    <row r="114" spans="1:4" x14ac:dyDescent="0.25">
      <c r="A114" s="3" t="s">
        <v>194</v>
      </c>
      <c r="B114" s="8">
        <v>3414.4300000000003</v>
      </c>
      <c r="C114" s="3" t="s">
        <v>34</v>
      </c>
      <c r="D114" s="8">
        <v>-197.03999999999974</v>
      </c>
    </row>
    <row r="115" spans="1:4" x14ac:dyDescent="0.25">
      <c r="A115" s="3" t="s">
        <v>43</v>
      </c>
      <c r="B115" s="8">
        <v>3447.28</v>
      </c>
      <c r="C115" s="3" t="s">
        <v>75</v>
      </c>
      <c r="D115" s="8">
        <v>-2089.7300000000005</v>
      </c>
    </row>
    <row r="116" spans="1:4" x14ac:dyDescent="0.25">
      <c r="A116" s="3" t="s">
        <v>185</v>
      </c>
      <c r="B116" s="8">
        <v>3475.3300000000008</v>
      </c>
      <c r="C116" s="3" t="s">
        <v>181</v>
      </c>
      <c r="D116" s="8">
        <v>-4168.4399999999987</v>
      </c>
    </row>
    <row r="117" spans="1:4" x14ac:dyDescent="0.25">
      <c r="A117" s="3" t="s">
        <v>66</v>
      </c>
      <c r="B117" s="8">
        <v>3717.1400000000003</v>
      </c>
      <c r="C117" s="3" t="s">
        <v>51</v>
      </c>
      <c r="D117" s="8">
        <v>5977.2600000000029</v>
      </c>
    </row>
    <row r="118" spans="1:4" x14ac:dyDescent="0.25">
      <c r="A118" s="3" t="s">
        <v>106</v>
      </c>
      <c r="B118" s="8">
        <v>3877.7400000000007</v>
      </c>
      <c r="C118" s="3" t="s">
        <v>84</v>
      </c>
      <c r="D118" s="8">
        <v>2367.8799999999997</v>
      </c>
    </row>
    <row r="119" spans="1:4" x14ac:dyDescent="0.25">
      <c r="A119" s="3" t="s">
        <v>37</v>
      </c>
      <c r="B119" s="8">
        <v>4727.6799999999994</v>
      </c>
      <c r="C119" s="3" t="s">
        <v>100</v>
      </c>
      <c r="D119" s="8">
        <v>-2008.3600000000001</v>
      </c>
    </row>
    <row r="120" spans="1:4" x14ac:dyDescent="0.25">
      <c r="A120" s="3" t="s">
        <v>61</v>
      </c>
      <c r="B120" s="8">
        <v>4820.380000000001</v>
      </c>
      <c r="C120" s="3" t="s">
        <v>332</v>
      </c>
      <c r="D120" s="8">
        <v>35286.85</v>
      </c>
    </row>
    <row r="121" spans="1:4" x14ac:dyDescent="0.25">
      <c r="A121" s="3" t="s">
        <v>59</v>
      </c>
      <c r="B121" s="8">
        <v>4862</v>
      </c>
    </row>
    <row r="122" spans="1:4" x14ac:dyDescent="0.25">
      <c r="A122" s="3" t="s">
        <v>32</v>
      </c>
      <c r="B122" s="8">
        <v>5015.6800000000039</v>
      </c>
    </row>
    <row r="123" spans="1:4" x14ac:dyDescent="0.25">
      <c r="A123" s="3" t="s">
        <v>21</v>
      </c>
      <c r="B123" s="8">
        <v>15736.769999999999</v>
      </c>
    </row>
    <row r="124" spans="1:4" x14ac:dyDescent="0.25">
      <c r="A124" s="3" t="s">
        <v>332</v>
      </c>
      <c r="B124" s="8">
        <v>35286.85000000002</v>
      </c>
    </row>
  </sheetData>
  <sheetProtection sheet="1" objects="1" scenarios="1" selectLockedCells="1" pivotTables="0" selectUnlockedCells="1"/>
  <pageMargins left="0.7" right="0.7" top="0.75" bottom="0.75" header="0.3" footer="0.3"/>
  <pageSetup orientation="portrait" r:id="rId13"/>
  <drawing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51543-D209-4BD5-BBCE-96C31B80DDF6}">
  <sheetPr codeName="Sheet3">
    <tabColor theme="4" tint="-0.249977111117893"/>
  </sheetPr>
  <dimension ref="A1"/>
  <sheetViews>
    <sheetView showRowColHeaders="0" tabSelected="1" topLeftCell="A29" zoomScale="55" zoomScaleNormal="55" workbookViewId="0">
      <selection activeCell="AB23" sqref="AB23"/>
    </sheetView>
  </sheetViews>
  <sheetFormatPr defaultRowHeight="15" x14ac:dyDescent="0.25"/>
  <sheetData/>
  <sheetProtection sheet="1" scenarios="1" selectLockedCells="1" selectUn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Sheet2</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Chikamso</dc:creator>
  <cp:lastModifiedBy>CHIDI-AKOMA CHIKAMSO</cp:lastModifiedBy>
  <dcterms:created xsi:type="dcterms:W3CDTF">2015-06-05T18:17:20Z</dcterms:created>
  <dcterms:modified xsi:type="dcterms:W3CDTF">2024-11-02T14:05:47Z</dcterms:modified>
</cp:coreProperties>
</file>